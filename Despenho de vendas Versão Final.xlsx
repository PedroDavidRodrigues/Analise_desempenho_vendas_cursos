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terna Aprendiz\Documents\05 janeiro\1-projecto análise de desempenho\"/>
    </mc:Choice>
  </mc:AlternateContent>
  <bookViews>
    <workbookView xWindow="-120" yWindow="-120" windowWidth="20730" windowHeight="11160" activeTab="1"/>
  </bookViews>
  <sheets>
    <sheet name="Base" sheetId="29" r:id="rId1"/>
    <sheet name="Relatório" sheetId="39" r:id="rId2"/>
    <sheet name="Dashboard" sheetId="42" r:id="rId3"/>
    <sheet name="Tabela Dinamica1" sheetId="43" r:id="rId4"/>
    <sheet name="Tabela_Dinamica2" sheetId="44" r:id="rId5"/>
    <sheet name="Apoio" sheetId="38" r:id="rId6"/>
    <sheet name="Materia" sheetId="37" r:id="rId7"/>
    <sheet name="Teoria (2)" sheetId="2" state="hidden" r:id="rId8"/>
    <sheet name="Teoria (3)" sheetId="3" state="hidden" r:id="rId9"/>
  </sheets>
  <definedNames>
    <definedName name="_xlnm._FilterDatabase" localSheetId="0" hidden="1">Base!$B$7:$L$1007</definedName>
    <definedName name="_xlnm._FilterDatabase" localSheetId="7" hidden="1">'Teoria (2)'!#REF!</definedName>
    <definedName name="_xlnm._FilterDatabase" localSheetId="8" hidden="1">'Teoria (3)'!#REF!</definedName>
    <definedName name="anaaa">'Tabela Dinamica1'!$B$16</definedName>
    <definedName name="_xlnm.Print_Area" localSheetId="7">'Teoria (2)'!#REF!</definedName>
    <definedName name="_xlnm.Print_Area" localSheetId="8">'Teoria (3)'!#REF!</definedName>
    <definedName name="biiiii">'Tabela Dinamica1'!$I$16</definedName>
    <definedName name="cieenn">'Tabela Dinamica1'!$F$16</definedName>
    <definedName name="ciencia">'Tabela Dinamica1'!$F$5</definedName>
    <definedName name="Excel">'Tabela Dinamica1'!$I$4</definedName>
    <definedName name="SegmentaçãodeDados_Mês">#N/A</definedName>
    <definedName name="Total_1">'Tabela Dinamica1'!$B$5</definedName>
  </definedNames>
  <calcPr calcId="162913"/>
  <pivotCaches>
    <pivotCache cacheId="0" r:id="rId10"/>
  </pivotCaches>
  <fileRecoveryPr repairLoad="1"/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0" i="39" l="1"/>
  <c r="I60" i="39"/>
  <c r="F60" i="39"/>
  <c r="L59" i="39"/>
  <c r="I59" i="39"/>
  <c r="F59" i="39"/>
  <c r="L58" i="39"/>
  <c r="I58" i="39"/>
  <c r="F58" i="39"/>
  <c r="L57" i="39"/>
  <c r="I57" i="39"/>
  <c r="F57" i="39"/>
  <c r="L56" i="39"/>
  <c r="I56" i="39"/>
  <c r="F56" i="39"/>
  <c r="J38" i="39"/>
  <c r="G38" i="39"/>
  <c r="D38" i="39"/>
  <c r="J37" i="39"/>
  <c r="G37" i="39"/>
  <c r="D37" i="39"/>
  <c r="J36" i="39"/>
  <c r="G36" i="39"/>
  <c r="D36" i="39"/>
  <c r="P7" i="39"/>
  <c r="M7" i="39"/>
  <c r="J7" i="39"/>
  <c r="G7" i="39"/>
  <c r="D7" i="39"/>
  <c r="P6" i="39"/>
  <c r="M6" i="39"/>
  <c r="J6" i="39"/>
  <c r="G6" i="39"/>
  <c r="D6" i="39"/>
  <c r="P5" i="39"/>
  <c r="M5" i="39"/>
  <c r="J5" i="39"/>
  <c r="G5" i="39"/>
  <c r="D5" i="39"/>
  <c r="P4" i="39"/>
  <c r="M4" i="39"/>
  <c r="J4" i="39"/>
  <c r="G4" i="39"/>
  <c r="D4" i="39"/>
  <c r="E1009" i="29"/>
  <c r="J1007" i="29"/>
  <c r="E1007" i="29"/>
  <c r="C1007" i="29"/>
  <c r="J1006" i="29"/>
  <c r="E1006" i="29"/>
  <c r="C1006" i="29"/>
  <c r="J1005" i="29"/>
  <c r="E1005" i="29"/>
  <c r="C1005" i="29"/>
  <c r="J1004" i="29"/>
  <c r="E1004" i="29"/>
  <c r="C1004" i="29"/>
  <c r="J1003" i="29"/>
  <c r="E1003" i="29"/>
  <c r="C1003" i="29"/>
  <c r="J1002" i="29"/>
  <c r="E1002" i="29"/>
  <c r="C1002" i="29"/>
  <c r="J1001" i="29"/>
  <c r="E1001" i="29"/>
  <c r="C1001" i="29"/>
  <c r="J1000" i="29"/>
  <c r="E1000" i="29"/>
  <c r="C1000" i="29"/>
  <c r="J999" i="29"/>
  <c r="E999" i="29"/>
  <c r="C999" i="29"/>
  <c r="J998" i="29"/>
  <c r="E998" i="29"/>
  <c r="C998" i="29"/>
  <c r="J997" i="29"/>
  <c r="E997" i="29"/>
  <c r="C997" i="29"/>
  <c r="J996" i="29"/>
  <c r="E996" i="29"/>
  <c r="C996" i="29"/>
  <c r="J995" i="29"/>
  <c r="E995" i="29"/>
  <c r="C995" i="29"/>
  <c r="J994" i="29"/>
  <c r="E994" i="29"/>
  <c r="C994" i="29"/>
  <c r="J993" i="29"/>
  <c r="E993" i="29"/>
  <c r="C993" i="29"/>
  <c r="J992" i="29"/>
  <c r="E992" i="29"/>
  <c r="C992" i="29"/>
  <c r="J991" i="29"/>
  <c r="E991" i="29"/>
  <c r="C991" i="29"/>
  <c r="J990" i="29"/>
  <c r="E990" i="29"/>
  <c r="C990" i="29"/>
  <c r="J989" i="29"/>
  <c r="E989" i="29"/>
  <c r="C989" i="29"/>
  <c r="J988" i="29"/>
  <c r="E988" i="29"/>
  <c r="C988" i="29"/>
  <c r="J987" i="29"/>
  <c r="E987" i="29"/>
  <c r="C987" i="29"/>
  <c r="J986" i="29"/>
  <c r="E986" i="29"/>
  <c r="C986" i="29"/>
  <c r="J985" i="29"/>
  <c r="E985" i="29"/>
  <c r="C985" i="29"/>
  <c r="J984" i="29"/>
  <c r="E984" i="29"/>
  <c r="C984" i="29"/>
  <c r="J983" i="29"/>
  <c r="E983" i="29"/>
  <c r="C983" i="29"/>
  <c r="J982" i="29"/>
  <c r="E982" i="29"/>
  <c r="C982" i="29"/>
  <c r="J981" i="29"/>
  <c r="E981" i="29"/>
  <c r="C981" i="29"/>
  <c r="J980" i="29"/>
  <c r="E980" i="29"/>
  <c r="C980" i="29"/>
  <c r="J979" i="29"/>
  <c r="E979" i="29"/>
  <c r="C979" i="29"/>
  <c r="J978" i="29"/>
  <c r="E978" i="29"/>
  <c r="C978" i="29"/>
  <c r="J977" i="29"/>
  <c r="E977" i="29"/>
  <c r="C977" i="29"/>
  <c r="J976" i="29"/>
  <c r="E976" i="29"/>
  <c r="C976" i="29"/>
  <c r="J975" i="29"/>
  <c r="E975" i="29"/>
  <c r="C975" i="29"/>
  <c r="J974" i="29"/>
  <c r="E974" i="29"/>
  <c r="C974" i="29"/>
  <c r="J973" i="29"/>
  <c r="E973" i="29"/>
  <c r="C973" i="29"/>
  <c r="J972" i="29"/>
  <c r="E972" i="29"/>
  <c r="C972" i="29"/>
  <c r="J971" i="29"/>
  <c r="E971" i="29"/>
  <c r="C971" i="29"/>
  <c r="J970" i="29"/>
  <c r="E970" i="29"/>
  <c r="C970" i="29"/>
  <c r="J969" i="29"/>
  <c r="E969" i="29"/>
  <c r="C969" i="29"/>
  <c r="J968" i="29"/>
  <c r="E968" i="29"/>
  <c r="C968" i="29"/>
  <c r="J967" i="29"/>
  <c r="E967" i="29"/>
  <c r="C967" i="29"/>
  <c r="J966" i="29"/>
  <c r="E966" i="29"/>
  <c r="C966" i="29"/>
  <c r="J965" i="29"/>
  <c r="E965" i="29"/>
  <c r="C965" i="29"/>
  <c r="J964" i="29"/>
  <c r="E964" i="29"/>
  <c r="C964" i="29"/>
  <c r="J963" i="29"/>
  <c r="E963" i="29"/>
  <c r="C963" i="29"/>
  <c r="J962" i="29"/>
  <c r="E962" i="29"/>
  <c r="C962" i="29"/>
  <c r="J961" i="29"/>
  <c r="E961" i="29"/>
  <c r="C961" i="29"/>
  <c r="J960" i="29"/>
  <c r="E960" i="29"/>
  <c r="C960" i="29"/>
  <c r="J959" i="29"/>
  <c r="E959" i="29"/>
  <c r="C959" i="29"/>
  <c r="J958" i="29"/>
  <c r="E958" i="29"/>
  <c r="C958" i="29"/>
  <c r="J957" i="29"/>
  <c r="E957" i="29"/>
  <c r="C957" i="29"/>
  <c r="J956" i="29"/>
  <c r="E956" i="29"/>
  <c r="C956" i="29"/>
  <c r="J955" i="29"/>
  <c r="E955" i="29"/>
  <c r="C955" i="29"/>
  <c r="J954" i="29"/>
  <c r="E954" i="29"/>
  <c r="C954" i="29"/>
  <c r="J953" i="29"/>
  <c r="E953" i="29"/>
  <c r="C953" i="29"/>
  <c r="J952" i="29"/>
  <c r="E952" i="29"/>
  <c r="C952" i="29"/>
  <c r="J951" i="29"/>
  <c r="E951" i="29"/>
  <c r="C951" i="29"/>
  <c r="J950" i="29"/>
  <c r="E950" i="29"/>
  <c r="C950" i="29"/>
  <c r="J949" i="29"/>
  <c r="E949" i="29"/>
  <c r="C949" i="29"/>
  <c r="J948" i="29"/>
  <c r="E948" i="29"/>
  <c r="C948" i="29"/>
  <c r="J947" i="29"/>
  <c r="E947" i="29"/>
  <c r="C947" i="29"/>
  <c r="J946" i="29"/>
  <c r="E946" i="29"/>
  <c r="C946" i="29"/>
  <c r="J945" i="29"/>
  <c r="E945" i="29"/>
  <c r="C945" i="29"/>
  <c r="J944" i="29"/>
  <c r="E944" i="29"/>
  <c r="C944" i="29"/>
  <c r="J943" i="29"/>
  <c r="E943" i="29"/>
  <c r="C943" i="29"/>
  <c r="J942" i="29"/>
  <c r="E942" i="29"/>
  <c r="C942" i="29"/>
  <c r="J941" i="29"/>
  <c r="E941" i="29"/>
  <c r="C941" i="29"/>
  <c r="J940" i="29"/>
  <c r="E940" i="29"/>
  <c r="C940" i="29"/>
  <c r="J939" i="29"/>
  <c r="E939" i="29"/>
  <c r="C939" i="29"/>
  <c r="J938" i="29"/>
  <c r="E938" i="29"/>
  <c r="C938" i="29"/>
  <c r="J937" i="29"/>
  <c r="E937" i="29"/>
  <c r="C937" i="29"/>
  <c r="J936" i="29"/>
  <c r="E936" i="29"/>
  <c r="C936" i="29"/>
  <c r="J935" i="29"/>
  <c r="E935" i="29"/>
  <c r="C935" i="29"/>
  <c r="J934" i="29"/>
  <c r="E934" i="29"/>
  <c r="C934" i="29"/>
  <c r="J933" i="29"/>
  <c r="E933" i="29"/>
  <c r="C933" i="29"/>
  <c r="J932" i="29"/>
  <c r="E932" i="29"/>
  <c r="C932" i="29"/>
  <c r="J931" i="29"/>
  <c r="E931" i="29"/>
  <c r="C931" i="29"/>
  <c r="J930" i="29"/>
  <c r="E930" i="29"/>
  <c r="C930" i="29"/>
  <c r="J929" i="29"/>
  <c r="E929" i="29"/>
  <c r="C929" i="29"/>
  <c r="J928" i="29"/>
  <c r="E928" i="29"/>
  <c r="C928" i="29"/>
  <c r="J927" i="29"/>
  <c r="E927" i="29"/>
  <c r="C927" i="29"/>
  <c r="J926" i="29"/>
  <c r="E926" i="29"/>
  <c r="C926" i="29"/>
  <c r="J925" i="29"/>
  <c r="E925" i="29"/>
  <c r="C925" i="29"/>
  <c r="J924" i="29"/>
  <c r="E924" i="29"/>
  <c r="C924" i="29"/>
  <c r="J923" i="29"/>
  <c r="E923" i="29"/>
  <c r="C923" i="29"/>
  <c r="J922" i="29"/>
  <c r="E922" i="29"/>
  <c r="C922" i="29"/>
  <c r="J921" i="29"/>
  <c r="E921" i="29"/>
  <c r="C921" i="29"/>
  <c r="J920" i="29"/>
  <c r="E920" i="29"/>
  <c r="C920" i="29"/>
  <c r="J919" i="29"/>
  <c r="E919" i="29"/>
  <c r="C919" i="29"/>
  <c r="J918" i="29"/>
  <c r="E918" i="29"/>
  <c r="C918" i="29"/>
  <c r="J917" i="29"/>
  <c r="E917" i="29"/>
  <c r="C917" i="29"/>
  <c r="J916" i="29"/>
  <c r="E916" i="29"/>
  <c r="C916" i="29"/>
  <c r="J915" i="29"/>
  <c r="E915" i="29"/>
  <c r="C915" i="29"/>
  <c r="J914" i="29"/>
  <c r="E914" i="29"/>
  <c r="C914" i="29"/>
  <c r="J913" i="29"/>
  <c r="E913" i="29"/>
  <c r="C913" i="29"/>
  <c r="J912" i="29"/>
  <c r="E912" i="29"/>
  <c r="C912" i="29"/>
  <c r="J911" i="29"/>
  <c r="E911" i="29"/>
  <c r="C911" i="29"/>
  <c r="J910" i="29"/>
  <c r="E910" i="29"/>
  <c r="C910" i="29"/>
  <c r="J909" i="29"/>
  <c r="E909" i="29"/>
  <c r="C909" i="29"/>
  <c r="J908" i="29"/>
  <c r="E908" i="29"/>
  <c r="C908" i="29"/>
  <c r="J907" i="29"/>
  <c r="E907" i="29"/>
  <c r="C907" i="29"/>
  <c r="J906" i="29"/>
  <c r="E906" i="29"/>
  <c r="C906" i="29"/>
  <c r="J905" i="29"/>
  <c r="E905" i="29"/>
  <c r="C905" i="29"/>
  <c r="J904" i="29"/>
  <c r="E904" i="29"/>
  <c r="C904" i="29"/>
  <c r="J903" i="29"/>
  <c r="E903" i="29"/>
  <c r="C903" i="29"/>
  <c r="J902" i="29"/>
  <c r="E902" i="29"/>
  <c r="C902" i="29"/>
  <c r="J901" i="29"/>
  <c r="E901" i="29"/>
  <c r="C901" i="29"/>
  <c r="J900" i="29"/>
  <c r="E900" i="29"/>
  <c r="C900" i="29"/>
  <c r="J899" i="29"/>
  <c r="E899" i="29"/>
  <c r="C899" i="29"/>
  <c r="J898" i="29"/>
  <c r="E898" i="29"/>
  <c r="C898" i="29"/>
  <c r="J897" i="29"/>
  <c r="E897" i="29"/>
  <c r="C897" i="29"/>
  <c r="J896" i="29"/>
  <c r="E896" i="29"/>
  <c r="C896" i="29"/>
  <c r="J895" i="29"/>
  <c r="E895" i="29"/>
  <c r="C895" i="29"/>
  <c r="J894" i="29"/>
  <c r="E894" i="29"/>
  <c r="C894" i="29"/>
  <c r="J893" i="29"/>
  <c r="E893" i="29"/>
  <c r="C893" i="29"/>
  <c r="J892" i="29"/>
  <c r="E892" i="29"/>
  <c r="C892" i="29"/>
  <c r="J891" i="29"/>
  <c r="E891" i="29"/>
  <c r="C891" i="29"/>
  <c r="J890" i="29"/>
  <c r="E890" i="29"/>
  <c r="C890" i="29"/>
  <c r="J889" i="29"/>
  <c r="E889" i="29"/>
  <c r="C889" i="29"/>
  <c r="J888" i="29"/>
  <c r="E888" i="29"/>
  <c r="C888" i="29"/>
  <c r="J887" i="29"/>
  <c r="E887" i="29"/>
  <c r="C887" i="29"/>
  <c r="J886" i="29"/>
  <c r="E886" i="29"/>
  <c r="C886" i="29"/>
  <c r="J885" i="29"/>
  <c r="E885" i="29"/>
  <c r="C885" i="29"/>
  <c r="J884" i="29"/>
  <c r="E884" i="29"/>
  <c r="C884" i="29"/>
  <c r="J883" i="29"/>
  <c r="E883" i="29"/>
  <c r="C883" i="29"/>
  <c r="J882" i="29"/>
  <c r="E882" i="29"/>
  <c r="C882" i="29"/>
  <c r="J881" i="29"/>
  <c r="E881" i="29"/>
  <c r="C881" i="29"/>
  <c r="J880" i="29"/>
  <c r="E880" i="29"/>
  <c r="C880" i="29"/>
  <c r="J879" i="29"/>
  <c r="E879" i="29"/>
  <c r="C879" i="29"/>
  <c r="J878" i="29"/>
  <c r="E878" i="29"/>
  <c r="C878" i="29"/>
  <c r="J877" i="29"/>
  <c r="E877" i="29"/>
  <c r="C877" i="29"/>
  <c r="J876" i="29"/>
  <c r="E876" i="29"/>
  <c r="C876" i="29"/>
  <c r="J875" i="29"/>
  <c r="E875" i="29"/>
  <c r="C875" i="29"/>
  <c r="J874" i="29"/>
  <c r="E874" i="29"/>
  <c r="C874" i="29"/>
  <c r="J873" i="29"/>
  <c r="E873" i="29"/>
  <c r="C873" i="29"/>
  <c r="J872" i="29"/>
  <c r="E872" i="29"/>
  <c r="C872" i="29"/>
  <c r="J871" i="29"/>
  <c r="E871" i="29"/>
  <c r="C871" i="29"/>
  <c r="J870" i="29"/>
  <c r="E870" i="29"/>
  <c r="C870" i="29"/>
  <c r="J869" i="29"/>
  <c r="E869" i="29"/>
  <c r="C869" i="29"/>
  <c r="J868" i="29"/>
  <c r="E868" i="29"/>
  <c r="C868" i="29"/>
  <c r="J867" i="29"/>
  <c r="E867" i="29"/>
  <c r="C867" i="29"/>
  <c r="J866" i="29"/>
  <c r="E866" i="29"/>
  <c r="C866" i="29"/>
  <c r="J865" i="29"/>
  <c r="E865" i="29"/>
  <c r="C865" i="29"/>
  <c r="J864" i="29"/>
  <c r="E864" i="29"/>
  <c r="C864" i="29"/>
  <c r="J863" i="29"/>
  <c r="E863" i="29"/>
  <c r="C863" i="29"/>
  <c r="J862" i="29"/>
  <c r="E862" i="29"/>
  <c r="C862" i="29"/>
  <c r="J861" i="29"/>
  <c r="E861" i="29"/>
  <c r="C861" i="29"/>
  <c r="J860" i="29"/>
  <c r="E860" i="29"/>
  <c r="C860" i="29"/>
  <c r="J859" i="29"/>
  <c r="E859" i="29"/>
  <c r="C859" i="29"/>
  <c r="J858" i="29"/>
  <c r="E858" i="29"/>
  <c r="C858" i="29"/>
  <c r="J857" i="29"/>
  <c r="E857" i="29"/>
  <c r="C857" i="29"/>
  <c r="J856" i="29"/>
  <c r="E856" i="29"/>
  <c r="C856" i="29"/>
  <c r="J855" i="29"/>
  <c r="E855" i="29"/>
  <c r="C855" i="29"/>
  <c r="J854" i="29"/>
  <c r="E854" i="29"/>
  <c r="C854" i="29"/>
  <c r="J853" i="29"/>
  <c r="E853" i="29"/>
  <c r="C853" i="29"/>
  <c r="J852" i="29"/>
  <c r="E852" i="29"/>
  <c r="C852" i="29"/>
  <c r="J851" i="29"/>
  <c r="E851" i="29"/>
  <c r="C851" i="29"/>
  <c r="J850" i="29"/>
  <c r="E850" i="29"/>
  <c r="C850" i="29"/>
  <c r="J849" i="29"/>
  <c r="E849" i="29"/>
  <c r="C849" i="29"/>
  <c r="J848" i="29"/>
  <c r="E848" i="29"/>
  <c r="C848" i="29"/>
  <c r="J847" i="29"/>
  <c r="E847" i="29"/>
  <c r="C847" i="29"/>
  <c r="J846" i="29"/>
  <c r="E846" i="29"/>
  <c r="C846" i="29"/>
  <c r="J845" i="29"/>
  <c r="E845" i="29"/>
  <c r="C845" i="29"/>
  <c r="J844" i="29"/>
  <c r="E844" i="29"/>
  <c r="C844" i="29"/>
  <c r="J843" i="29"/>
  <c r="E843" i="29"/>
  <c r="C843" i="29"/>
  <c r="J842" i="29"/>
  <c r="E842" i="29"/>
  <c r="C842" i="29"/>
  <c r="J841" i="29"/>
  <c r="E841" i="29"/>
  <c r="C841" i="29"/>
  <c r="J840" i="29"/>
  <c r="E840" i="29"/>
  <c r="C840" i="29"/>
  <c r="J839" i="29"/>
  <c r="E839" i="29"/>
  <c r="C839" i="29"/>
  <c r="J838" i="29"/>
  <c r="E838" i="29"/>
  <c r="C838" i="29"/>
  <c r="J837" i="29"/>
  <c r="E837" i="29"/>
  <c r="C837" i="29"/>
  <c r="J836" i="29"/>
  <c r="E836" i="29"/>
  <c r="C836" i="29"/>
  <c r="J835" i="29"/>
  <c r="E835" i="29"/>
  <c r="C835" i="29"/>
  <c r="J834" i="29"/>
  <c r="E834" i="29"/>
  <c r="C834" i="29"/>
  <c r="J833" i="29"/>
  <c r="E833" i="29"/>
  <c r="C833" i="29"/>
  <c r="J832" i="29"/>
  <c r="E832" i="29"/>
  <c r="C832" i="29"/>
  <c r="J831" i="29"/>
  <c r="E831" i="29"/>
  <c r="C831" i="29"/>
  <c r="J830" i="29"/>
  <c r="E830" i="29"/>
  <c r="C830" i="29"/>
  <c r="J829" i="29"/>
  <c r="E829" i="29"/>
  <c r="C829" i="29"/>
  <c r="J828" i="29"/>
  <c r="E828" i="29"/>
  <c r="C828" i="29"/>
  <c r="J827" i="29"/>
  <c r="E827" i="29"/>
  <c r="C827" i="29"/>
  <c r="J826" i="29"/>
  <c r="E826" i="29"/>
  <c r="C826" i="29"/>
  <c r="J825" i="29"/>
  <c r="E825" i="29"/>
  <c r="C825" i="29"/>
  <c r="J824" i="29"/>
  <c r="E824" i="29"/>
  <c r="C824" i="29"/>
  <c r="J823" i="29"/>
  <c r="E823" i="29"/>
  <c r="C823" i="29"/>
  <c r="J822" i="29"/>
  <c r="E822" i="29"/>
  <c r="C822" i="29"/>
  <c r="J821" i="29"/>
  <c r="E821" i="29"/>
  <c r="C821" i="29"/>
  <c r="J820" i="29"/>
  <c r="E820" i="29"/>
  <c r="C820" i="29"/>
  <c r="J819" i="29"/>
  <c r="E819" i="29"/>
  <c r="C819" i="29"/>
  <c r="J818" i="29"/>
  <c r="E818" i="29"/>
  <c r="C818" i="29"/>
  <c r="J817" i="29"/>
  <c r="E817" i="29"/>
  <c r="C817" i="29"/>
  <c r="J816" i="29"/>
  <c r="E816" i="29"/>
  <c r="C816" i="29"/>
  <c r="J815" i="29"/>
  <c r="E815" i="29"/>
  <c r="C815" i="29"/>
  <c r="J814" i="29"/>
  <c r="E814" i="29"/>
  <c r="C814" i="29"/>
  <c r="J813" i="29"/>
  <c r="E813" i="29"/>
  <c r="C813" i="29"/>
  <c r="J812" i="29"/>
  <c r="E812" i="29"/>
  <c r="C812" i="29"/>
  <c r="J811" i="29"/>
  <c r="E811" i="29"/>
  <c r="C811" i="29"/>
  <c r="J810" i="29"/>
  <c r="E810" i="29"/>
  <c r="C810" i="29"/>
  <c r="J809" i="29"/>
  <c r="E809" i="29"/>
  <c r="C809" i="29"/>
  <c r="J808" i="29"/>
  <c r="E808" i="29"/>
  <c r="C808" i="29"/>
  <c r="J807" i="29"/>
  <c r="E807" i="29"/>
  <c r="C807" i="29"/>
  <c r="J806" i="29"/>
  <c r="E806" i="29"/>
  <c r="C806" i="29"/>
  <c r="J805" i="29"/>
  <c r="E805" i="29"/>
  <c r="C805" i="29"/>
  <c r="J804" i="29"/>
  <c r="E804" i="29"/>
  <c r="C804" i="29"/>
  <c r="J803" i="29"/>
  <c r="E803" i="29"/>
  <c r="C803" i="29"/>
  <c r="J802" i="29"/>
  <c r="E802" i="29"/>
  <c r="C802" i="29"/>
  <c r="J801" i="29"/>
  <c r="E801" i="29"/>
  <c r="C801" i="29"/>
  <c r="J800" i="29"/>
  <c r="E800" i="29"/>
  <c r="C800" i="29"/>
  <c r="J799" i="29"/>
  <c r="E799" i="29"/>
  <c r="C799" i="29"/>
  <c r="J798" i="29"/>
  <c r="E798" i="29"/>
  <c r="C798" i="29"/>
  <c r="J797" i="29"/>
  <c r="E797" i="29"/>
  <c r="C797" i="29"/>
  <c r="J796" i="29"/>
  <c r="E796" i="29"/>
  <c r="C796" i="29"/>
  <c r="J795" i="29"/>
  <c r="E795" i="29"/>
  <c r="C795" i="29"/>
  <c r="J794" i="29"/>
  <c r="E794" i="29"/>
  <c r="C794" i="29"/>
  <c r="J793" i="29"/>
  <c r="E793" i="29"/>
  <c r="C793" i="29"/>
  <c r="J792" i="29"/>
  <c r="E792" i="29"/>
  <c r="C792" i="29"/>
  <c r="J791" i="29"/>
  <c r="E791" i="29"/>
  <c r="C791" i="29"/>
  <c r="J790" i="29"/>
  <c r="E790" i="29"/>
  <c r="C790" i="29"/>
  <c r="J789" i="29"/>
  <c r="E789" i="29"/>
  <c r="C789" i="29"/>
  <c r="J788" i="29"/>
  <c r="E788" i="29"/>
  <c r="C788" i="29"/>
  <c r="J787" i="29"/>
  <c r="E787" i="29"/>
  <c r="C787" i="29"/>
  <c r="J786" i="29"/>
  <c r="E786" i="29"/>
  <c r="C786" i="29"/>
  <c r="J785" i="29"/>
  <c r="E785" i="29"/>
  <c r="C785" i="29"/>
  <c r="J784" i="29"/>
  <c r="E784" i="29"/>
  <c r="C784" i="29"/>
  <c r="J783" i="29"/>
  <c r="E783" i="29"/>
  <c r="C783" i="29"/>
  <c r="J782" i="29"/>
  <c r="E782" i="29"/>
  <c r="C782" i="29"/>
  <c r="J781" i="29"/>
  <c r="E781" i="29"/>
  <c r="C781" i="29"/>
  <c r="J780" i="29"/>
  <c r="E780" i="29"/>
  <c r="C780" i="29"/>
  <c r="J779" i="29"/>
  <c r="E779" i="29"/>
  <c r="C779" i="29"/>
  <c r="J778" i="29"/>
  <c r="E778" i="29"/>
  <c r="C778" i="29"/>
  <c r="J777" i="29"/>
  <c r="E777" i="29"/>
  <c r="C777" i="29"/>
  <c r="J776" i="29"/>
  <c r="E776" i="29"/>
  <c r="C776" i="29"/>
  <c r="J775" i="29"/>
  <c r="E775" i="29"/>
  <c r="C775" i="29"/>
  <c r="J774" i="29"/>
  <c r="E774" i="29"/>
  <c r="C774" i="29"/>
  <c r="J773" i="29"/>
  <c r="E773" i="29"/>
  <c r="C773" i="29"/>
  <c r="J772" i="29"/>
  <c r="E772" i="29"/>
  <c r="C772" i="29"/>
  <c r="J771" i="29"/>
  <c r="E771" i="29"/>
  <c r="C771" i="29"/>
  <c r="J770" i="29"/>
  <c r="E770" i="29"/>
  <c r="C770" i="29"/>
  <c r="J769" i="29"/>
  <c r="E769" i="29"/>
  <c r="C769" i="29"/>
  <c r="J768" i="29"/>
  <c r="E768" i="29"/>
  <c r="C768" i="29"/>
  <c r="J767" i="29"/>
  <c r="E767" i="29"/>
  <c r="C767" i="29"/>
  <c r="J766" i="29"/>
  <c r="E766" i="29"/>
  <c r="C766" i="29"/>
  <c r="J765" i="29"/>
  <c r="E765" i="29"/>
  <c r="C765" i="29"/>
  <c r="J764" i="29"/>
  <c r="E764" i="29"/>
  <c r="C764" i="29"/>
  <c r="J763" i="29"/>
  <c r="E763" i="29"/>
  <c r="C763" i="29"/>
  <c r="J762" i="29"/>
  <c r="E762" i="29"/>
  <c r="C762" i="29"/>
  <c r="J761" i="29"/>
  <c r="E761" i="29"/>
  <c r="C761" i="29"/>
  <c r="J760" i="29"/>
  <c r="E760" i="29"/>
  <c r="C760" i="29"/>
  <c r="J759" i="29"/>
  <c r="E759" i="29"/>
  <c r="C759" i="29"/>
  <c r="J758" i="29"/>
  <c r="E758" i="29"/>
  <c r="C758" i="29"/>
  <c r="J757" i="29"/>
  <c r="E757" i="29"/>
  <c r="C757" i="29"/>
  <c r="J756" i="29"/>
  <c r="E756" i="29"/>
  <c r="C756" i="29"/>
  <c r="J755" i="29"/>
  <c r="E755" i="29"/>
  <c r="C755" i="29"/>
  <c r="J754" i="29"/>
  <c r="E754" i="29"/>
  <c r="C754" i="29"/>
  <c r="J753" i="29"/>
  <c r="E753" i="29"/>
  <c r="C753" i="29"/>
  <c r="J752" i="29"/>
  <c r="E752" i="29"/>
  <c r="C752" i="29"/>
  <c r="J751" i="29"/>
  <c r="E751" i="29"/>
  <c r="C751" i="29"/>
  <c r="J750" i="29"/>
  <c r="E750" i="29"/>
  <c r="C750" i="29"/>
  <c r="J749" i="29"/>
  <c r="E749" i="29"/>
  <c r="C749" i="29"/>
  <c r="J748" i="29"/>
  <c r="E748" i="29"/>
  <c r="C748" i="29"/>
  <c r="J747" i="29"/>
  <c r="E747" i="29"/>
  <c r="C747" i="29"/>
  <c r="J746" i="29"/>
  <c r="E746" i="29"/>
  <c r="C746" i="29"/>
  <c r="J745" i="29"/>
  <c r="E745" i="29"/>
  <c r="C745" i="29"/>
  <c r="J744" i="29"/>
  <c r="E744" i="29"/>
  <c r="C744" i="29"/>
  <c r="J743" i="29"/>
  <c r="E743" i="29"/>
  <c r="C743" i="29"/>
  <c r="J742" i="29"/>
  <c r="E742" i="29"/>
  <c r="C742" i="29"/>
  <c r="J741" i="29"/>
  <c r="E741" i="29"/>
  <c r="C741" i="29"/>
  <c r="J740" i="29"/>
  <c r="E740" i="29"/>
  <c r="C740" i="29"/>
  <c r="J739" i="29"/>
  <c r="E739" i="29"/>
  <c r="C739" i="29"/>
  <c r="J738" i="29"/>
  <c r="E738" i="29"/>
  <c r="C738" i="29"/>
  <c r="J737" i="29"/>
  <c r="E737" i="29"/>
  <c r="C737" i="29"/>
  <c r="J736" i="29"/>
  <c r="E736" i="29"/>
  <c r="C736" i="29"/>
  <c r="J735" i="29"/>
  <c r="E735" i="29"/>
  <c r="C735" i="29"/>
  <c r="J734" i="29"/>
  <c r="E734" i="29"/>
  <c r="C734" i="29"/>
  <c r="J733" i="29"/>
  <c r="E733" i="29"/>
  <c r="C733" i="29"/>
  <c r="J732" i="29"/>
  <c r="E732" i="29"/>
  <c r="C732" i="29"/>
  <c r="J731" i="29"/>
  <c r="E731" i="29"/>
  <c r="C731" i="29"/>
  <c r="J730" i="29"/>
  <c r="E730" i="29"/>
  <c r="C730" i="29"/>
  <c r="J729" i="29"/>
  <c r="E729" i="29"/>
  <c r="C729" i="29"/>
  <c r="J728" i="29"/>
  <c r="E728" i="29"/>
  <c r="C728" i="29"/>
  <c r="J727" i="29"/>
  <c r="E727" i="29"/>
  <c r="C727" i="29"/>
  <c r="J726" i="29"/>
  <c r="E726" i="29"/>
  <c r="C726" i="29"/>
  <c r="J725" i="29"/>
  <c r="E725" i="29"/>
  <c r="C725" i="29"/>
  <c r="J724" i="29"/>
  <c r="E724" i="29"/>
  <c r="C724" i="29"/>
  <c r="J723" i="29"/>
  <c r="E723" i="29"/>
  <c r="C723" i="29"/>
  <c r="J722" i="29"/>
  <c r="E722" i="29"/>
  <c r="C722" i="29"/>
  <c r="J721" i="29"/>
  <c r="E721" i="29"/>
  <c r="C721" i="29"/>
  <c r="J720" i="29"/>
  <c r="E720" i="29"/>
  <c r="C720" i="29"/>
  <c r="J719" i="29"/>
  <c r="E719" i="29"/>
  <c r="C719" i="29"/>
  <c r="J718" i="29"/>
  <c r="E718" i="29"/>
  <c r="C718" i="29"/>
  <c r="J717" i="29"/>
  <c r="E717" i="29"/>
  <c r="C717" i="29"/>
  <c r="J716" i="29"/>
  <c r="E716" i="29"/>
  <c r="C716" i="29"/>
  <c r="J715" i="29"/>
  <c r="E715" i="29"/>
  <c r="C715" i="29"/>
  <c r="J714" i="29"/>
  <c r="E714" i="29"/>
  <c r="C714" i="29"/>
  <c r="J713" i="29"/>
  <c r="E713" i="29"/>
  <c r="C713" i="29"/>
  <c r="J712" i="29"/>
  <c r="E712" i="29"/>
  <c r="C712" i="29"/>
  <c r="J711" i="29"/>
  <c r="E711" i="29"/>
  <c r="C711" i="29"/>
  <c r="J710" i="29"/>
  <c r="E710" i="29"/>
  <c r="C710" i="29"/>
  <c r="J709" i="29"/>
  <c r="E709" i="29"/>
  <c r="C709" i="29"/>
  <c r="J708" i="29"/>
  <c r="E708" i="29"/>
  <c r="C708" i="29"/>
  <c r="J707" i="29"/>
  <c r="E707" i="29"/>
  <c r="C707" i="29"/>
  <c r="J706" i="29"/>
  <c r="E706" i="29"/>
  <c r="C706" i="29"/>
  <c r="J705" i="29"/>
  <c r="E705" i="29"/>
  <c r="C705" i="29"/>
  <c r="J704" i="29"/>
  <c r="E704" i="29"/>
  <c r="C704" i="29"/>
  <c r="J703" i="29"/>
  <c r="E703" i="29"/>
  <c r="C703" i="29"/>
  <c r="J702" i="29"/>
  <c r="E702" i="29"/>
  <c r="C702" i="29"/>
  <c r="J701" i="29"/>
  <c r="E701" i="29"/>
  <c r="C701" i="29"/>
  <c r="J700" i="29"/>
  <c r="E700" i="29"/>
  <c r="C700" i="29"/>
  <c r="J699" i="29"/>
  <c r="E699" i="29"/>
  <c r="C699" i="29"/>
  <c r="J698" i="29"/>
  <c r="E698" i="29"/>
  <c r="C698" i="29"/>
  <c r="J697" i="29"/>
  <c r="E697" i="29"/>
  <c r="C697" i="29"/>
  <c r="J696" i="29"/>
  <c r="E696" i="29"/>
  <c r="C696" i="29"/>
  <c r="J695" i="29"/>
  <c r="E695" i="29"/>
  <c r="C695" i="29"/>
  <c r="J694" i="29"/>
  <c r="E694" i="29"/>
  <c r="C694" i="29"/>
  <c r="J693" i="29"/>
  <c r="E693" i="29"/>
  <c r="C693" i="29"/>
  <c r="J692" i="29"/>
  <c r="E692" i="29"/>
  <c r="C692" i="29"/>
  <c r="J691" i="29"/>
  <c r="E691" i="29"/>
  <c r="C691" i="29"/>
  <c r="J690" i="29"/>
  <c r="E690" i="29"/>
  <c r="C690" i="29"/>
  <c r="J689" i="29"/>
  <c r="E689" i="29"/>
  <c r="C689" i="29"/>
  <c r="J688" i="29"/>
  <c r="E688" i="29"/>
  <c r="C688" i="29"/>
  <c r="J687" i="29"/>
  <c r="E687" i="29"/>
  <c r="C687" i="29"/>
  <c r="J686" i="29"/>
  <c r="E686" i="29"/>
  <c r="C686" i="29"/>
  <c r="J685" i="29"/>
  <c r="E685" i="29"/>
  <c r="C685" i="29"/>
  <c r="J684" i="29"/>
  <c r="E684" i="29"/>
  <c r="C684" i="29"/>
  <c r="J683" i="29"/>
  <c r="E683" i="29"/>
  <c r="C683" i="29"/>
  <c r="J682" i="29"/>
  <c r="E682" i="29"/>
  <c r="C682" i="29"/>
  <c r="J681" i="29"/>
  <c r="E681" i="29"/>
  <c r="C681" i="29"/>
  <c r="J680" i="29"/>
  <c r="E680" i="29"/>
  <c r="C680" i="29"/>
  <c r="J679" i="29"/>
  <c r="E679" i="29"/>
  <c r="C679" i="29"/>
  <c r="J678" i="29"/>
  <c r="E678" i="29"/>
  <c r="C678" i="29"/>
  <c r="J677" i="29"/>
  <c r="E677" i="29"/>
  <c r="C677" i="29"/>
  <c r="J676" i="29"/>
  <c r="E676" i="29"/>
  <c r="C676" i="29"/>
  <c r="J675" i="29"/>
  <c r="E675" i="29"/>
  <c r="C675" i="29"/>
  <c r="J674" i="29"/>
  <c r="E674" i="29"/>
  <c r="C674" i="29"/>
  <c r="J673" i="29"/>
  <c r="E673" i="29"/>
  <c r="C673" i="29"/>
  <c r="J672" i="29"/>
  <c r="E672" i="29"/>
  <c r="C672" i="29"/>
  <c r="J671" i="29"/>
  <c r="E671" i="29"/>
  <c r="C671" i="29"/>
  <c r="J670" i="29"/>
  <c r="E670" i="29"/>
  <c r="C670" i="29"/>
  <c r="J669" i="29"/>
  <c r="E669" i="29"/>
  <c r="C669" i="29"/>
  <c r="J668" i="29"/>
  <c r="E668" i="29"/>
  <c r="C668" i="29"/>
  <c r="J667" i="29"/>
  <c r="E667" i="29"/>
  <c r="C667" i="29"/>
  <c r="J666" i="29"/>
  <c r="E666" i="29"/>
  <c r="C666" i="29"/>
  <c r="J665" i="29"/>
  <c r="E665" i="29"/>
  <c r="C665" i="29"/>
  <c r="J664" i="29"/>
  <c r="E664" i="29"/>
  <c r="C664" i="29"/>
  <c r="J663" i="29"/>
  <c r="E663" i="29"/>
  <c r="C663" i="29"/>
  <c r="J662" i="29"/>
  <c r="E662" i="29"/>
  <c r="C662" i="29"/>
  <c r="J661" i="29"/>
  <c r="E661" i="29"/>
  <c r="C661" i="29"/>
  <c r="J660" i="29"/>
  <c r="E660" i="29"/>
  <c r="C660" i="29"/>
  <c r="J659" i="29"/>
  <c r="E659" i="29"/>
  <c r="C659" i="29"/>
  <c r="J658" i="29"/>
  <c r="E658" i="29"/>
  <c r="C658" i="29"/>
  <c r="J657" i="29"/>
  <c r="E657" i="29"/>
  <c r="C657" i="29"/>
  <c r="J656" i="29"/>
  <c r="E656" i="29"/>
  <c r="C656" i="29"/>
  <c r="J655" i="29"/>
  <c r="E655" i="29"/>
  <c r="C655" i="29"/>
  <c r="J654" i="29"/>
  <c r="E654" i="29"/>
  <c r="C654" i="29"/>
  <c r="J653" i="29"/>
  <c r="E653" i="29"/>
  <c r="C653" i="29"/>
  <c r="J652" i="29"/>
  <c r="E652" i="29"/>
  <c r="C652" i="29"/>
  <c r="J651" i="29"/>
  <c r="E651" i="29"/>
  <c r="C651" i="29"/>
  <c r="J650" i="29"/>
  <c r="E650" i="29"/>
  <c r="C650" i="29"/>
  <c r="J649" i="29"/>
  <c r="E649" i="29"/>
  <c r="C649" i="29"/>
  <c r="J648" i="29"/>
  <c r="E648" i="29"/>
  <c r="C648" i="29"/>
  <c r="J647" i="29"/>
  <c r="E647" i="29"/>
  <c r="C647" i="29"/>
  <c r="J646" i="29"/>
  <c r="E646" i="29"/>
  <c r="C646" i="29"/>
  <c r="J645" i="29"/>
  <c r="E645" i="29"/>
  <c r="C645" i="29"/>
  <c r="J644" i="29"/>
  <c r="E644" i="29"/>
  <c r="C644" i="29"/>
  <c r="J643" i="29"/>
  <c r="E643" i="29"/>
  <c r="C643" i="29"/>
  <c r="J642" i="29"/>
  <c r="E642" i="29"/>
  <c r="C642" i="29"/>
  <c r="J641" i="29"/>
  <c r="E641" i="29"/>
  <c r="C641" i="29"/>
  <c r="J640" i="29"/>
  <c r="E640" i="29"/>
  <c r="C640" i="29"/>
  <c r="J639" i="29"/>
  <c r="E639" i="29"/>
  <c r="C639" i="29"/>
  <c r="J638" i="29"/>
  <c r="E638" i="29"/>
  <c r="C638" i="29"/>
  <c r="J637" i="29"/>
  <c r="E637" i="29"/>
  <c r="C637" i="29"/>
  <c r="J636" i="29"/>
  <c r="E636" i="29"/>
  <c r="C636" i="29"/>
  <c r="J635" i="29"/>
  <c r="E635" i="29"/>
  <c r="C635" i="29"/>
  <c r="J634" i="29"/>
  <c r="E634" i="29"/>
  <c r="C634" i="29"/>
  <c r="J633" i="29"/>
  <c r="E633" i="29"/>
  <c r="C633" i="29"/>
  <c r="J632" i="29"/>
  <c r="E632" i="29"/>
  <c r="C632" i="29"/>
  <c r="J631" i="29"/>
  <c r="E631" i="29"/>
  <c r="C631" i="29"/>
  <c r="J630" i="29"/>
  <c r="E630" i="29"/>
  <c r="C630" i="29"/>
  <c r="J629" i="29"/>
  <c r="E629" i="29"/>
  <c r="C629" i="29"/>
  <c r="J628" i="29"/>
  <c r="E628" i="29"/>
  <c r="C628" i="29"/>
  <c r="J627" i="29"/>
  <c r="E627" i="29"/>
  <c r="C627" i="29"/>
  <c r="J626" i="29"/>
  <c r="E626" i="29"/>
  <c r="C626" i="29"/>
  <c r="J625" i="29"/>
  <c r="E625" i="29"/>
  <c r="C625" i="29"/>
  <c r="J624" i="29"/>
  <c r="E624" i="29"/>
  <c r="C624" i="29"/>
  <c r="J623" i="29"/>
  <c r="E623" i="29"/>
  <c r="C623" i="29"/>
  <c r="J622" i="29"/>
  <c r="E622" i="29"/>
  <c r="C622" i="29"/>
  <c r="J621" i="29"/>
  <c r="E621" i="29"/>
  <c r="C621" i="29"/>
  <c r="J620" i="29"/>
  <c r="E620" i="29"/>
  <c r="C620" i="29"/>
  <c r="J619" i="29"/>
  <c r="E619" i="29"/>
  <c r="C619" i="29"/>
  <c r="J618" i="29"/>
  <c r="E618" i="29"/>
  <c r="C618" i="29"/>
  <c r="J617" i="29"/>
  <c r="E617" i="29"/>
  <c r="C617" i="29"/>
  <c r="J616" i="29"/>
  <c r="E616" i="29"/>
  <c r="C616" i="29"/>
  <c r="J615" i="29"/>
  <c r="E615" i="29"/>
  <c r="C615" i="29"/>
  <c r="J614" i="29"/>
  <c r="E614" i="29"/>
  <c r="C614" i="29"/>
  <c r="J613" i="29"/>
  <c r="E613" i="29"/>
  <c r="C613" i="29"/>
  <c r="J612" i="29"/>
  <c r="E612" i="29"/>
  <c r="C612" i="29"/>
  <c r="J611" i="29"/>
  <c r="E611" i="29"/>
  <c r="C611" i="29"/>
  <c r="J610" i="29"/>
  <c r="E610" i="29"/>
  <c r="C610" i="29"/>
  <c r="J609" i="29"/>
  <c r="E609" i="29"/>
  <c r="C609" i="29"/>
  <c r="J608" i="29"/>
  <c r="E608" i="29"/>
  <c r="C608" i="29"/>
  <c r="J607" i="29"/>
  <c r="E607" i="29"/>
  <c r="C607" i="29"/>
  <c r="J606" i="29"/>
  <c r="E606" i="29"/>
  <c r="C606" i="29"/>
  <c r="J605" i="29"/>
  <c r="E605" i="29"/>
  <c r="C605" i="29"/>
  <c r="J604" i="29"/>
  <c r="E604" i="29"/>
  <c r="C604" i="29"/>
  <c r="J603" i="29"/>
  <c r="E603" i="29"/>
  <c r="C603" i="29"/>
  <c r="J602" i="29"/>
  <c r="E602" i="29"/>
  <c r="C602" i="29"/>
  <c r="J601" i="29"/>
  <c r="E601" i="29"/>
  <c r="C601" i="29"/>
  <c r="J600" i="29"/>
  <c r="E600" i="29"/>
  <c r="C600" i="29"/>
  <c r="J599" i="29"/>
  <c r="E599" i="29"/>
  <c r="C599" i="29"/>
  <c r="J598" i="29"/>
  <c r="E598" i="29"/>
  <c r="C598" i="29"/>
  <c r="J597" i="29"/>
  <c r="E597" i="29"/>
  <c r="C597" i="29"/>
  <c r="J596" i="29"/>
  <c r="E596" i="29"/>
  <c r="C596" i="29"/>
  <c r="J595" i="29"/>
  <c r="E595" i="29"/>
  <c r="C595" i="29"/>
  <c r="J594" i="29"/>
  <c r="E594" i="29"/>
  <c r="C594" i="29"/>
  <c r="J593" i="29"/>
  <c r="E593" i="29"/>
  <c r="C593" i="29"/>
  <c r="J592" i="29"/>
  <c r="E592" i="29"/>
  <c r="C592" i="29"/>
  <c r="J591" i="29"/>
  <c r="E591" i="29"/>
  <c r="C591" i="29"/>
  <c r="J590" i="29"/>
  <c r="E590" i="29"/>
  <c r="C590" i="29"/>
  <c r="J589" i="29"/>
  <c r="E589" i="29"/>
  <c r="C589" i="29"/>
  <c r="J588" i="29"/>
  <c r="E588" i="29"/>
  <c r="C588" i="29"/>
  <c r="J587" i="29"/>
  <c r="E587" i="29"/>
  <c r="C587" i="29"/>
  <c r="J586" i="29"/>
  <c r="E586" i="29"/>
  <c r="C586" i="29"/>
  <c r="J585" i="29"/>
  <c r="E585" i="29"/>
  <c r="C585" i="29"/>
  <c r="J584" i="29"/>
  <c r="E584" i="29"/>
  <c r="C584" i="29"/>
  <c r="J583" i="29"/>
  <c r="E583" i="29"/>
  <c r="C583" i="29"/>
  <c r="J582" i="29"/>
  <c r="E582" i="29"/>
  <c r="C582" i="29"/>
  <c r="J581" i="29"/>
  <c r="E581" i="29"/>
  <c r="C581" i="29"/>
  <c r="J580" i="29"/>
  <c r="E580" i="29"/>
  <c r="C580" i="29"/>
  <c r="J579" i="29"/>
  <c r="E579" i="29"/>
  <c r="C579" i="29"/>
  <c r="J578" i="29"/>
  <c r="E578" i="29"/>
  <c r="C578" i="29"/>
  <c r="J577" i="29"/>
  <c r="E577" i="29"/>
  <c r="C577" i="29"/>
  <c r="J576" i="29"/>
  <c r="E576" i="29"/>
  <c r="C576" i="29"/>
  <c r="J575" i="29"/>
  <c r="E575" i="29"/>
  <c r="C575" i="29"/>
  <c r="J574" i="29"/>
  <c r="E574" i="29"/>
  <c r="C574" i="29"/>
  <c r="J573" i="29"/>
  <c r="E573" i="29"/>
  <c r="C573" i="29"/>
  <c r="J572" i="29"/>
  <c r="E572" i="29"/>
  <c r="C572" i="29"/>
  <c r="J571" i="29"/>
  <c r="E571" i="29"/>
  <c r="C571" i="29"/>
  <c r="J570" i="29"/>
  <c r="E570" i="29"/>
  <c r="C570" i="29"/>
  <c r="J569" i="29"/>
  <c r="E569" i="29"/>
  <c r="C569" i="29"/>
  <c r="J568" i="29"/>
  <c r="E568" i="29"/>
  <c r="C568" i="29"/>
  <c r="J567" i="29"/>
  <c r="E567" i="29"/>
  <c r="C567" i="29"/>
  <c r="J566" i="29"/>
  <c r="E566" i="29"/>
  <c r="C566" i="29"/>
  <c r="J565" i="29"/>
  <c r="E565" i="29"/>
  <c r="C565" i="29"/>
  <c r="J564" i="29"/>
  <c r="E564" i="29"/>
  <c r="C564" i="29"/>
  <c r="J563" i="29"/>
  <c r="E563" i="29"/>
  <c r="C563" i="29"/>
  <c r="J562" i="29"/>
  <c r="E562" i="29"/>
  <c r="C562" i="29"/>
  <c r="J561" i="29"/>
  <c r="E561" i="29"/>
  <c r="C561" i="29"/>
  <c r="J560" i="29"/>
  <c r="E560" i="29"/>
  <c r="C560" i="29"/>
  <c r="J559" i="29"/>
  <c r="E559" i="29"/>
  <c r="C559" i="29"/>
  <c r="J558" i="29"/>
  <c r="E558" i="29"/>
  <c r="C558" i="29"/>
  <c r="J557" i="29"/>
  <c r="E557" i="29"/>
  <c r="C557" i="29"/>
  <c r="J556" i="29"/>
  <c r="E556" i="29"/>
  <c r="C556" i="29"/>
  <c r="J555" i="29"/>
  <c r="E555" i="29"/>
  <c r="C555" i="29"/>
  <c r="J554" i="29"/>
  <c r="E554" i="29"/>
  <c r="C554" i="29"/>
  <c r="J553" i="29"/>
  <c r="E553" i="29"/>
  <c r="C553" i="29"/>
  <c r="J552" i="29"/>
  <c r="E552" i="29"/>
  <c r="C552" i="29"/>
  <c r="J551" i="29"/>
  <c r="E551" i="29"/>
  <c r="C551" i="29"/>
  <c r="J550" i="29"/>
  <c r="E550" i="29"/>
  <c r="C550" i="29"/>
  <c r="J549" i="29"/>
  <c r="E549" i="29"/>
  <c r="C549" i="29"/>
  <c r="J548" i="29"/>
  <c r="E548" i="29"/>
  <c r="C548" i="29"/>
  <c r="J547" i="29"/>
  <c r="E547" i="29"/>
  <c r="C547" i="29"/>
  <c r="J546" i="29"/>
  <c r="E546" i="29"/>
  <c r="C546" i="29"/>
  <c r="J545" i="29"/>
  <c r="E545" i="29"/>
  <c r="C545" i="29"/>
  <c r="J544" i="29"/>
  <c r="E544" i="29"/>
  <c r="C544" i="29"/>
  <c r="J543" i="29"/>
  <c r="E543" i="29"/>
  <c r="C543" i="29"/>
  <c r="J542" i="29"/>
  <c r="E542" i="29"/>
  <c r="C542" i="29"/>
  <c r="J541" i="29"/>
  <c r="E541" i="29"/>
  <c r="C541" i="29"/>
  <c r="J540" i="29"/>
  <c r="E540" i="29"/>
  <c r="C540" i="29"/>
  <c r="J539" i="29"/>
  <c r="E539" i="29"/>
  <c r="C539" i="29"/>
  <c r="J538" i="29"/>
  <c r="E538" i="29"/>
  <c r="C538" i="29"/>
  <c r="J537" i="29"/>
  <c r="E537" i="29"/>
  <c r="C537" i="29"/>
  <c r="J536" i="29"/>
  <c r="E536" i="29"/>
  <c r="C536" i="29"/>
  <c r="J535" i="29"/>
  <c r="E535" i="29"/>
  <c r="C535" i="29"/>
  <c r="J534" i="29"/>
  <c r="E534" i="29"/>
  <c r="C534" i="29"/>
  <c r="J533" i="29"/>
  <c r="E533" i="29"/>
  <c r="C533" i="29"/>
  <c r="J532" i="29"/>
  <c r="E532" i="29"/>
  <c r="C532" i="29"/>
  <c r="J531" i="29"/>
  <c r="E531" i="29"/>
  <c r="C531" i="29"/>
  <c r="J530" i="29"/>
  <c r="E530" i="29"/>
  <c r="C530" i="29"/>
  <c r="J529" i="29"/>
  <c r="E529" i="29"/>
  <c r="C529" i="29"/>
  <c r="J528" i="29"/>
  <c r="E528" i="29"/>
  <c r="C528" i="29"/>
  <c r="J527" i="29"/>
  <c r="E527" i="29"/>
  <c r="C527" i="29"/>
  <c r="J526" i="29"/>
  <c r="E526" i="29"/>
  <c r="C526" i="29"/>
  <c r="J525" i="29"/>
  <c r="E525" i="29"/>
  <c r="C525" i="29"/>
  <c r="J524" i="29"/>
  <c r="E524" i="29"/>
  <c r="C524" i="29"/>
  <c r="J523" i="29"/>
  <c r="E523" i="29"/>
  <c r="C523" i="29"/>
  <c r="J522" i="29"/>
  <c r="E522" i="29"/>
  <c r="C522" i="29"/>
  <c r="J521" i="29"/>
  <c r="E521" i="29"/>
  <c r="C521" i="29"/>
  <c r="J520" i="29"/>
  <c r="E520" i="29"/>
  <c r="C520" i="29"/>
  <c r="J519" i="29"/>
  <c r="E519" i="29"/>
  <c r="C519" i="29"/>
  <c r="J518" i="29"/>
  <c r="E518" i="29"/>
  <c r="C518" i="29"/>
  <c r="J517" i="29"/>
  <c r="E517" i="29"/>
  <c r="C517" i="29"/>
  <c r="J516" i="29"/>
  <c r="E516" i="29"/>
  <c r="C516" i="29"/>
  <c r="J515" i="29"/>
  <c r="E515" i="29"/>
  <c r="C515" i="29"/>
  <c r="J514" i="29"/>
  <c r="E514" i="29"/>
  <c r="C514" i="29"/>
  <c r="J513" i="29"/>
  <c r="E513" i="29"/>
  <c r="C513" i="29"/>
  <c r="J512" i="29"/>
  <c r="E512" i="29"/>
  <c r="C512" i="29"/>
  <c r="J511" i="29"/>
  <c r="E511" i="29"/>
  <c r="C511" i="29"/>
  <c r="J510" i="29"/>
  <c r="E510" i="29"/>
  <c r="C510" i="29"/>
  <c r="J509" i="29"/>
  <c r="E509" i="29"/>
  <c r="C509" i="29"/>
  <c r="J508" i="29"/>
  <c r="E508" i="29"/>
  <c r="C508" i="29"/>
  <c r="J507" i="29"/>
  <c r="E507" i="29"/>
  <c r="C507" i="29"/>
  <c r="J506" i="29"/>
  <c r="E506" i="29"/>
  <c r="C506" i="29"/>
  <c r="J505" i="29"/>
  <c r="E505" i="29"/>
  <c r="C505" i="29"/>
  <c r="J504" i="29"/>
  <c r="E504" i="29"/>
  <c r="C504" i="29"/>
  <c r="J503" i="29"/>
  <c r="E503" i="29"/>
  <c r="C503" i="29"/>
  <c r="J502" i="29"/>
  <c r="E502" i="29"/>
  <c r="C502" i="29"/>
  <c r="J501" i="29"/>
  <c r="E501" i="29"/>
  <c r="C501" i="29"/>
  <c r="J500" i="29"/>
  <c r="E500" i="29"/>
  <c r="C500" i="29"/>
  <c r="J499" i="29"/>
  <c r="E499" i="29"/>
  <c r="C499" i="29"/>
  <c r="J498" i="29"/>
  <c r="E498" i="29"/>
  <c r="C498" i="29"/>
  <c r="J497" i="29"/>
  <c r="E497" i="29"/>
  <c r="C497" i="29"/>
  <c r="J496" i="29"/>
  <c r="E496" i="29"/>
  <c r="C496" i="29"/>
  <c r="J495" i="29"/>
  <c r="E495" i="29"/>
  <c r="C495" i="29"/>
  <c r="J494" i="29"/>
  <c r="E494" i="29"/>
  <c r="C494" i="29"/>
  <c r="J493" i="29"/>
  <c r="E493" i="29"/>
  <c r="C493" i="29"/>
  <c r="J492" i="29"/>
  <c r="E492" i="29"/>
  <c r="C492" i="29"/>
  <c r="J491" i="29"/>
  <c r="E491" i="29"/>
  <c r="C491" i="29"/>
  <c r="J490" i="29"/>
  <c r="E490" i="29"/>
  <c r="C490" i="29"/>
  <c r="J489" i="29"/>
  <c r="E489" i="29"/>
  <c r="C489" i="29"/>
  <c r="J488" i="29"/>
  <c r="E488" i="29"/>
  <c r="C488" i="29"/>
  <c r="J487" i="29"/>
  <c r="E487" i="29"/>
  <c r="C487" i="29"/>
  <c r="J486" i="29"/>
  <c r="E486" i="29"/>
  <c r="C486" i="29"/>
  <c r="J485" i="29"/>
  <c r="E485" i="29"/>
  <c r="C485" i="29"/>
  <c r="J484" i="29"/>
  <c r="E484" i="29"/>
  <c r="C484" i="29"/>
  <c r="J483" i="29"/>
  <c r="E483" i="29"/>
  <c r="C483" i="29"/>
  <c r="J482" i="29"/>
  <c r="E482" i="29"/>
  <c r="C482" i="29"/>
  <c r="J481" i="29"/>
  <c r="E481" i="29"/>
  <c r="C481" i="29"/>
  <c r="J480" i="29"/>
  <c r="E480" i="29"/>
  <c r="C480" i="29"/>
  <c r="J479" i="29"/>
  <c r="E479" i="29"/>
  <c r="C479" i="29"/>
  <c r="J478" i="29"/>
  <c r="E478" i="29"/>
  <c r="C478" i="29"/>
  <c r="J477" i="29"/>
  <c r="E477" i="29"/>
  <c r="C477" i="29"/>
  <c r="J476" i="29"/>
  <c r="E476" i="29"/>
  <c r="C476" i="29"/>
  <c r="J475" i="29"/>
  <c r="E475" i="29"/>
  <c r="C475" i="29"/>
  <c r="J474" i="29"/>
  <c r="E474" i="29"/>
  <c r="C474" i="29"/>
  <c r="J473" i="29"/>
  <c r="E473" i="29"/>
  <c r="C473" i="29"/>
  <c r="J472" i="29"/>
  <c r="E472" i="29"/>
  <c r="C472" i="29"/>
  <c r="J471" i="29"/>
  <c r="E471" i="29"/>
  <c r="C471" i="29"/>
  <c r="J470" i="29"/>
  <c r="E470" i="29"/>
  <c r="C470" i="29"/>
  <c r="J469" i="29"/>
  <c r="E469" i="29"/>
  <c r="C469" i="29"/>
  <c r="J468" i="29"/>
  <c r="E468" i="29"/>
  <c r="C468" i="29"/>
  <c r="J467" i="29"/>
  <c r="E467" i="29"/>
  <c r="C467" i="29"/>
  <c r="J466" i="29"/>
  <c r="E466" i="29"/>
  <c r="C466" i="29"/>
  <c r="J465" i="29"/>
  <c r="E465" i="29"/>
  <c r="C465" i="29"/>
  <c r="J464" i="29"/>
  <c r="E464" i="29"/>
  <c r="C464" i="29"/>
  <c r="J463" i="29"/>
  <c r="E463" i="29"/>
  <c r="C463" i="29"/>
  <c r="J462" i="29"/>
  <c r="E462" i="29"/>
  <c r="C462" i="29"/>
  <c r="J461" i="29"/>
  <c r="E461" i="29"/>
  <c r="C461" i="29"/>
  <c r="J460" i="29"/>
  <c r="E460" i="29"/>
  <c r="C460" i="29"/>
  <c r="J459" i="29"/>
  <c r="E459" i="29"/>
  <c r="C459" i="29"/>
  <c r="J458" i="29"/>
  <c r="E458" i="29"/>
  <c r="C458" i="29"/>
  <c r="J457" i="29"/>
  <c r="E457" i="29"/>
  <c r="C457" i="29"/>
  <c r="J456" i="29"/>
  <c r="E456" i="29"/>
  <c r="C456" i="29"/>
  <c r="J455" i="29"/>
  <c r="E455" i="29"/>
  <c r="C455" i="29"/>
  <c r="J454" i="29"/>
  <c r="E454" i="29"/>
  <c r="C454" i="29"/>
  <c r="J453" i="29"/>
  <c r="E453" i="29"/>
  <c r="C453" i="29"/>
  <c r="J452" i="29"/>
  <c r="E452" i="29"/>
  <c r="C452" i="29"/>
  <c r="J451" i="29"/>
  <c r="E451" i="29"/>
  <c r="C451" i="29"/>
  <c r="J450" i="29"/>
  <c r="E450" i="29"/>
  <c r="C450" i="29"/>
  <c r="J449" i="29"/>
  <c r="E449" i="29"/>
  <c r="C449" i="29"/>
  <c r="J448" i="29"/>
  <c r="E448" i="29"/>
  <c r="C448" i="29"/>
  <c r="J447" i="29"/>
  <c r="E447" i="29"/>
  <c r="C447" i="29"/>
  <c r="J446" i="29"/>
  <c r="E446" i="29"/>
  <c r="C446" i="29"/>
  <c r="J445" i="29"/>
  <c r="E445" i="29"/>
  <c r="C445" i="29"/>
  <c r="J444" i="29"/>
  <c r="E444" i="29"/>
  <c r="C444" i="29"/>
  <c r="J443" i="29"/>
  <c r="E443" i="29"/>
  <c r="C443" i="29"/>
  <c r="J442" i="29"/>
  <c r="E442" i="29"/>
  <c r="C442" i="29"/>
  <c r="J441" i="29"/>
  <c r="E441" i="29"/>
  <c r="C441" i="29"/>
  <c r="J440" i="29"/>
  <c r="E440" i="29"/>
  <c r="C440" i="29"/>
  <c r="J439" i="29"/>
  <c r="E439" i="29"/>
  <c r="C439" i="29"/>
  <c r="J438" i="29"/>
  <c r="E438" i="29"/>
  <c r="C438" i="29"/>
  <c r="J437" i="29"/>
  <c r="E437" i="29"/>
  <c r="C437" i="29"/>
  <c r="J436" i="29"/>
  <c r="E436" i="29"/>
  <c r="C436" i="29"/>
  <c r="J435" i="29"/>
  <c r="E435" i="29"/>
  <c r="C435" i="29"/>
  <c r="J434" i="29"/>
  <c r="E434" i="29"/>
  <c r="C434" i="29"/>
  <c r="J433" i="29"/>
  <c r="E433" i="29"/>
  <c r="C433" i="29"/>
  <c r="J432" i="29"/>
  <c r="E432" i="29"/>
  <c r="C432" i="29"/>
  <c r="J431" i="29"/>
  <c r="E431" i="29"/>
  <c r="C431" i="29"/>
  <c r="J430" i="29"/>
  <c r="E430" i="29"/>
  <c r="C430" i="29"/>
  <c r="J429" i="29"/>
  <c r="E429" i="29"/>
  <c r="C429" i="29"/>
  <c r="J428" i="29"/>
  <c r="E428" i="29"/>
  <c r="C428" i="29"/>
  <c r="J427" i="29"/>
  <c r="E427" i="29"/>
  <c r="C427" i="29"/>
  <c r="J426" i="29"/>
  <c r="E426" i="29"/>
  <c r="C426" i="29"/>
  <c r="J425" i="29"/>
  <c r="E425" i="29"/>
  <c r="C425" i="29"/>
  <c r="J424" i="29"/>
  <c r="E424" i="29"/>
  <c r="C424" i="29"/>
  <c r="J423" i="29"/>
  <c r="E423" i="29"/>
  <c r="C423" i="29"/>
  <c r="J422" i="29"/>
  <c r="E422" i="29"/>
  <c r="C422" i="29"/>
  <c r="J421" i="29"/>
  <c r="E421" i="29"/>
  <c r="C421" i="29"/>
  <c r="J420" i="29"/>
  <c r="E420" i="29"/>
  <c r="C420" i="29"/>
  <c r="J419" i="29"/>
  <c r="E419" i="29"/>
  <c r="C419" i="29"/>
  <c r="J418" i="29"/>
  <c r="E418" i="29"/>
  <c r="C418" i="29"/>
  <c r="J417" i="29"/>
  <c r="E417" i="29"/>
  <c r="C417" i="29"/>
  <c r="J416" i="29"/>
  <c r="E416" i="29"/>
  <c r="C416" i="29"/>
  <c r="J415" i="29"/>
  <c r="E415" i="29"/>
  <c r="C415" i="29"/>
  <c r="J414" i="29"/>
  <c r="E414" i="29"/>
  <c r="C414" i="29"/>
  <c r="J413" i="29"/>
  <c r="E413" i="29"/>
  <c r="C413" i="29"/>
  <c r="J412" i="29"/>
  <c r="E412" i="29"/>
  <c r="C412" i="29"/>
  <c r="J411" i="29"/>
  <c r="E411" i="29"/>
  <c r="C411" i="29"/>
  <c r="J410" i="29"/>
  <c r="E410" i="29"/>
  <c r="C410" i="29"/>
  <c r="J409" i="29"/>
  <c r="E409" i="29"/>
  <c r="C409" i="29"/>
  <c r="J408" i="29"/>
  <c r="E408" i="29"/>
  <c r="C408" i="29"/>
  <c r="J407" i="29"/>
  <c r="E407" i="29"/>
  <c r="C407" i="29"/>
  <c r="J406" i="29"/>
  <c r="E406" i="29"/>
  <c r="C406" i="29"/>
  <c r="J405" i="29"/>
  <c r="E405" i="29"/>
  <c r="C405" i="29"/>
  <c r="J404" i="29"/>
  <c r="E404" i="29"/>
  <c r="C404" i="29"/>
  <c r="J403" i="29"/>
  <c r="E403" i="29"/>
  <c r="C403" i="29"/>
  <c r="J402" i="29"/>
  <c r="E402" i="29"/>
  <c r="C402" i="29"/>
  <c r="J401" i="29"/>
  <c r="E401" i="29"/>
  <c r="C401" i="29"/>
  <c r="J400" i="29"/>
  <c r="E400" i="29"/>
  <c r="C400" i="29"/>
  <c r="J399" i="29"/>
  <c r="E399" i="29"/>
  <c r="C399" i="29"/>
  <c r="J398" i="29"/>
  <c r="E398" i="29"/>
  <c r="C398" i="29"/>
  <c r="J397" i="29"/>
  <c r="E397" i="29"/>
  <c r="C397" i="29"/>
  <c r="J396" i="29"/>
  <c r="E396" i="29"/>
  <c r="C396" i="29"/>
  <c r="J395" i="29"/>
  <c r="E395" i="29"/>
  <c r="C395" i="29"/>
  <c r="J394" i="29"/>
  <c r="E394" i="29"/>
  <c r="C394" i="29"/>
  <c r="J393" i="29"/>
  <c r="E393" i="29"/>
  <c r="C393" i="29"/>
  <c r="J392" i="29"/>
  <c r="E392" i="29"/>
  <c r="C392" i="29"/>
  <c r="J391" i="29"/>
  <c r="E391" i="29"/>
  <c r="C391" i="29"/>
  <c r="J390" i="29"/>
  <c r="E390" i="29"/>
  <c r="C390" i="29"/>
  <c r="J389" i="29"/>
  <c r="E389" i="29"/>
  <c r="C389" i="29"/>
  <c r="J388" i="29"/>
  <c r="E388" i="29"/>
  <c r="C388" i="29"/>
  <c r="J387" i="29"/>
  <c r="E387" i="29"/>
  <c r="C387" i="29"/>
  <c r="J386" i="29"/>
  <c r="E386" i="29"/>
  <c r="C386" i="29"/>
  <c r="J385" i="29"/>
  <c r="E385" i="29"/>
  <c r="C385" i="29"/>
  <c r="J384" i="29"/>
  <c r="E384" i="29"/>
  <c r="C384" i="29"/>
  <c r="J383" i="29"/>
  <c r="E383" i="29"/>
  <c r="C383" i="29"/>
  <c r="J382" i="29"/>
  <c r="E382" i="29"/>
  <c r="C382" i="29"/>
  <c r="J381" i="29"/>
  <c r="E381" i="29"/>
  <c r="C381" i="29"/>
  <c r="J380" i="29"/>
  <c r="E380" i="29"/>
  <c r="C380" i="29"/>
  <c r="J379" i="29"/>
  <c r="E379" i="29"/>
  <c r="C379" i="29"/>
  <c r="J378" i="29"/>
  <c r="E378" i="29"/>
  <c r="C378" i="29"/>
  <c r="J377" i="29"/>
  <c r="E377" i="29"/>
  <c r="C377" i="29"/>
  <c r="J376" i="29"/>
  <c r="E376" i="29"/>
  <c r="C376" i="29"/>
  <c r="J375" i="29"/>
  <c r="E375" i="29"/>
  <c r="C375" i="29"/>
  <c r="J374" i="29"/>
  <c r="E374" i="29"/>
  <c r="C374" i="29"/>
  <c r="J373" i="29"/>
  <c r="E373" i="29"/>
  <c r="C373" i="29"/>
  <c r="J372" i="29"/>
  <c r="E372" i="29"/>
  <c r="C372" i="29"/>
  <c r="J371" i="29"/>
  <c r="E371" i="29"/>
  <c r="C371" i="29"/>
  <c r="J370" i="29"/>
  <c r="E370" i="29"/>
  <c r="C370" i="29"/>
  <c r="J369" i="29"/>
  <c r="E369" i="29"/>
  <c r="C369" i="29"/>
  <c r="J368" i="29"/>
  <c r="E368" i="29"/>
  <c r="C368" i="29"/>
  <c r="J367" i="29"/>
  <c r="E367" i="29"/>
  <c r="C367" i="29"/>
  <c r="J366" i="29"/>
  <c r="E366" i="29"/>
  <c r="C366" i="29"/>
  <c r="J365" i="29"/>
  <c r="E365" i="29"/>
  <c r="C365" i="29"/>
  <c r="J364" i="29"/>
  <c r="E364" i="29"/>
  <c r="C364" i="29"/>
  <c r="J363" i="29"/>
  <c r="E363" i="29"/>
  <c r="C363" i="29"/>
  <c r="J362" i="29"/>
  <c r="E362" i="29"/>
  <c r="C362" i="29"/>
  <c r="J361" i="29"/>
  <c r="E361" i="29"/>
  <c r="C361" i="29"/>
  <c r="J360" i="29"/>
  <c r="E360" i="29"/>
  <c r="C360" i="29"/>
  <c r="J359" i="29"/>
  <c r="E359" i="29"/>
  <c r="C359" i="29"/>
  <c r="J358" i="29"/>
  <c r="E358" i="29"/>
  <c r="C358" i="29"/>
  <c r="J357" i="29"/>
  <c r="E357" i="29"/>
  <c r="C357" i="29"/>
  <c r="J356" i="29"/>
  <c r="E356" i="29"/>
  <c r="C356" i="29"/>
  <c r="J355" i="29"/>
  <c r="E355" i="29"/>
  <c r="C355" i="29"/>
  <c r="J354" i="29"/>
  <c r="E354" i="29"/>
  <c r="C354" i="29"/>
  <c r="J353" i="29"/>
  <c r="E353" i="29"/>
  <c r="C353" i="29"/>
  <c r="J352" i="29"/>
  <c r="E352" i="29"/>
  <c r="C352" i="29"/>
  <c r="J351" i="29"/>
  <c r="E351" i="29"/>
  <c r="C351" i="29"/>
  <c r="J350" i="29"/>
  <c r="E350" i="29"/>
  <c r="C350" i="29"/>
  <c r="J349" i="29"/>
  <c r="E349" i="29"/>
  <c r="C349" i="29"/>
  <c r="J348" i="29"/>
  <c r="E348" i="29"/>
  <c r="C348" i="29"/>
  <c r="J347" i="29"/>
  <c r="E347" i="29"/>
  <c r="C347" i="29"/>
  <c r="J346" i="29"/>
  <c r="E346" i="29"/>
  <c r="C346" i="29"/>
  <c r="J345" i="29"/>
  <c r="E345" i="29"/>
  <c r="C345" i="29"/>
  <c r="J344" i="29"/>
  <c r="E344" i="29"/>
  <c r="C344" i="29"/>
  <c r="J343" i="29"/>
  <c r="E343" i="29"/>
  <c r="C343" i="29"/>
  <c r="J342" i="29"/>
  <c r="E342" i="29"/>
  <c r="C342" i="29"/>
  <c r="J341" i="29"/>
  <c r="E341" i="29"/>
  <c r="C341" i="29"/>
  <c r="J340" i="29"/>
  <c r="E340" i="29"/>
  <c r="C340" i="29"/>
  <c r="J339" i="29"/>
  <c r="E339" i="29"/>
  <c r="C339" i="29"/>
  <c r="J338" i="29"/>
  <c r="E338" i="29"/>
  <c r="C338" i="29"/>
  <c r="J337" i="29"/>
  <c r="E337" i="29"/>
  <c r="C337" i="29"/>
  <c r="J336" i="29"/>
  <c r="E336" i="29"/>
  <c r="C336" i="29"/>
  <c r="J335" i="29"/>
  <c r="E335" i="29"/>
  <c r="C335" i="29"/>
  <c r="J334" i="29"/>
  <c r="E334" i="29"/>
  <c r="C334" i="29"/>
  <c r="J333" i="29"/>
  <c r="E333" i="29"/>
  <c r="C333" i="29"/>
  <c r="J332" i="29"/>
  <c r="E332" i="29"/>
  <c r="C332" i="29"/>
  <c r="J331" i="29"/>
  <c r="E331" i="29"/>
  <c r="C331" i="29"/>
  <c r="J330" i="29"/>
  <c r="E330" i="29"/>
  <c r="C330" i="29"/>
  <c r="J329" i="29"/>
  <c r="E329" i="29"/>
  <c r="C329" i="29"/>
  <c r="J328" i="29"/>
  <c r="E328" i="29"/>
  <c r="C328" i="29"/>
  <c r="J327" i="29"/>
  <c r="E327" i="29"/>
  <c r="C327" i="29"/>
  <c r="J326" i="29"/>
  <c r="E326" i="29"/>
  <c r="C326" i="29"/>
  <c r="J325" i="29"/>
  <c r="E325" i="29"/>
  <c r="C325" i="29"/>
  <c r="J324" i="29"/>
  <c r="E324" i="29"/>
  <c r="C324" i="29"/>
  <c r="J323" i="29"/>
  <c r="E323" i="29"/>
  <c r="C323" i="29"/>
  <c r="J322" i="29"/>
  <c r="E322" i="29"/>
  <c r="C322" i="29"/>
  <c r="J321" i="29"/>
  <c r="E321" i="29"/>
  <c r="C321" i="29"/>
  <c r="J320" i="29"/>
  <c r="E320" i="29"/>
  <c r="C320" i="29"/>
  <c r="J319" i="29"/>
  <c r="E319" i="29"/>
  <c r="C319" i="29"/>
  <c r="J318" i="29"/>
  <c r="E318" i="29"/>
  <c r="C318" i="29"/>
  <c r="J317" i="29"/>
  <c r="E317" i="29"/>
  <c r="C317" i="29"/>
  <c r="J316" i="29"/>
  <c r="E316" i="29"/>
  <c r="C316" i="29"/>
  <c r="J315" i="29"/>
  <c r="E315" i="29"/>
  <c r="C315" i="29"/>
  <c r="J314" i="29"/>
  <c r="E314" i="29"/>
  <c r="C314" i="29"/>
  <c r="J313" i="29"/>
  <c r="E313" i="29"/>
  <c r="C313" i="29"/>
  <c r="J312" i="29"/>
  <c r="E312" i="29"/>
  <c r="C312" i="29"/>
  <c r="J311" i="29"/>
  <c r="E311" i="29"/>
  <c r="C311" i="29"/>
  <c r="J310" i="29"/>
  <c r="E310" i="29"/>
  <c r="C310" i="29"/>
  <c r="J309" i="29"/>
  <c r="E309" i="29"/>
  <c r="C309" i="29"/>
  <c r="J308" i="29"/>
  <c r="E308" i="29"/>
  <c r="C308" i="29"/>
  <c r="J307" i="29"/>
  <c r="E307" i="29"/>
  <c r="C307" i="29"/>
  <c r="J306" i="29"/>
  <c r="E306" i="29"/>
  <c r="C306" i="29"/>
  <c r="J305" i="29"/>
  <c r="E305" i="29"/>
  <c r="C305" i="29"/>
  <c r="J304" i="29"/>
  <c r="E304" i="29"/>
  <c r="C304" i="29"/>
  <c r="J303" i="29"/>
  <c r="E303" i="29"/>
  <c r="C303" i="29"/>
  <c r="J302" i="29"/>
  <c r="E302" i="29"/>
  <c r="C302" i="29"/>
  <c r="J301" i="29"/>
  <c r="E301" i="29"/>
  <c r="C301" i="29"/>
  <c r="J300" i="29"/>
  <c r="E300" i="29"/>
  <c r="C300" i="29"/>
  <c r="J299" i="29"/>
  <c r="E299" i="29"/>
  <c r="C299" i="29"/>
  <c r="J298" i="29"/>
  <c r="E298" i="29"/>
  <c r="C298" i="29"/>
  <c r="J297" i="29"/>
  <c r="E297" i="29"/>
  <c r="C297" i="29"/>
  <c r="J296" i="29"/>
  <c r="E296" i="29"/>
  <c r="C296" i="29"/>
  <c r="J295" i="29"/>
  <c r="E295" i="29"/>
  <c r="C295" i="29"/>
  <c r="J294" i="29"/>
  <c r="E294" i="29"/>
  <c r="C294" i="29"/>
  <c r="J293" i="29"/>
  <c r="E293" i="29"/>
  <c r="C293" i="29"/>
  <c r="J292" i="29"/>
  <c r="E292" i="29"/>
  <c r="C292" i="29"/>
  <c r="J291" i="29"/>
  <c r="E291" i="29"/>
  <c r="C291" i="29"/>
  <c r="J290" i="29"/>
  <c r="E290" i="29"/>
  <c r="C290" i="29"/>
  <c r="J289" i="29"/>
  <c r="E289" i="29"/>
  <c r="C289" i="29"/>
  <c r="J288" i="29"/>
  <c r="E288" i="29"/>
  <c r="C288" i="29"/>
  <c r="J287" i="29"/>
  <c r="E287" i="29"/>
  <c r="C287" i="29"/>
  <c r="J286" i="29"/>
  <c r="E286" i="29"/>
  <c r="C286" i="29"/>
  <c r="J285" i="29"/>
  <c r="E285" i="29"/>
  <c r="C285" i="29"/>
  <c r="J284" i="29"/>
  <c r="E284" i="29"/>
  <c r="C284" i="29"/>
  <c r="J283" i="29"/>
  <c r="E283" i="29"/>
  <c r="C283" i="29"/>
  <c r="J282" i="29"/>
  <c r="E282" i="29"/>
  <c r="C282" i="29"/>
  <c r="J281" i="29"/>
  <c r="E281" i="29"/>
  <c r="C281" i="29"/>
  <c r="J280" i="29"/>
  <c r="E280" i="29"/>
  <c r="C280" i="29"/>
  <c r="J279" i="29"/>
  <c r="E279" i="29"/>
  <c r="C279" i="29"/>
  <c r="J278" i="29"/>
  <c r="E278" i="29"/>
  <c r="C278" i="29"/>
  <c r="J277" i="29"/>
  <c r="E277" i="29"/>
  <c r="C277" i="29"/>
  <c r="J276" i="29"/>
  <c r="E276" i="29"/>
  <c r="C276" i="29"/>
  <c r="J275" i="29"/>
  <c r="E275" i="29"/>
  <c r="C275" i="29"/>
  <c r="J274" i="29"/>
  <c r="E274" i="29"/>
  <c r="C274" i="29"/>
  <c r="J273" i="29"/>
  <c r="E273" i="29"/>
  <c r="C273" i="29"/>
  <c r="J272" i="29"/>
  <c r="E272" i="29"/>
  <c r="C272" i="29"/>
  <c r="J271" i="29"/>
  <c r="E271" i="29"/>
  <c r="C271" i="29"/>
  <c r="J270" i="29"/>
  <c r="E270" i="29"/>
  <c r="C270" i="29"/>
  <c r="J269" i="29"/>
  <c r="E269" i="29"/>
  <c r="C269" i="29"/>
  <c r="J268" i="29"/>
  <c r="E268" i="29"/>
  <c r="C268" i="29"/>
  <c r="J267" i="29"/>
  <c r="E267" i="29"/>
  <c r="C267" i="29"/>
  <c r="J266" i="29"/>
  <c r="E266" i="29"/>
  <c r="C266" i="29"/>
  <c r="J265" i="29"/>
  <c r="E265" i="29"/>
  <c r="C265" i="29"/>
  <c r="J264" i="29"/>
  <c r="E264" i="29"/>
  <c r="C264" i="29"/>
  <c r="J263" i="29"/>
  <c r="E263" i="29"/>
  <c r="C263" i="29"/>
  <c r="J262" i="29"/>
  <c r="E262" i="29"/>
  <c r="C262" i="29"/>
  <c r="J261" i="29"/>
  <c r="E261" i="29"/>
  <c r="C261" i="29"/>
  <c r="J260" i="29"/>
  <c r="E260" i="29"/>
  <c r="C260" i="29"/>
  <c r="J259" i="29"/>
  <c r="E259" i="29"/>
  <c r="C259" i="29"/>
  <c r="J258" i="29"/>
  <c r="E258" i="29"/>
  <c r="C258" i="29"/>
  <c r="J257" i="29"/>
  <c r="E257" i="29"/>
  <c r="C257" i="29"/>
  <c r="J256" i="29"/>
  <c r="E256" i="29"/>
  <c r="C256" i="29"/>
  <c r="J255" i="29"/>
  <c r="E255" i="29"/>
  <c r="C255" i="29"/>
  <c r="J254" i="29"/>
  <c r="E254" i="29"/>
  <c r="C254" i="29"/>
  <c r="J253" i="29"/>
  <c r="E253" i="29"/>
  <c r="C253" i="29"/>
  <c r="J252" i="29"/>
  <c r="E252" i="29"/>
  <c r="C252" i="29"/>
  <c r="J251" i="29"/>
  <c r="E251" i="29"/>
  <c r="C251" i="29"/>
  <c r="J250" i="29"/>
  <c r="E250" i="29"/>
  <c r="C250" i="29"/>
  <c r="J249" i="29"/>
  <c r="E249" i="29"/>
  <c r="C249" i="29"/>
  <c r="J248" i="29"/>
  <c r="E248" i="29"/>
  <c r="C248" i="29"/>
  <c r="J247" i="29"/>
  <c r="E247" i="29"/>
  <c r="C247" i="29"/>
  <c r="J246" i="29"/>
  <c r="E246" i="29"/>
  <c r="C246" i="29"/>
  <c r="J245" i="29"/>
  <c r="E245" i="29"/>
  <c r="C245" i="29"/>
  <c r="J244" i="29"/>
  <c r="E244" i="29"/>
  <c r="C244" i="29"/>
  <c r="J243" i="29"/>
  <c r="E243" i="29"/>
  <c r="C243" i="29"/>
  <c r="J242" i="29"/>
  <c r="E242" i="29"/>
  <c r="C242" i="29"/>
  <c r="J241" i="29"/>
  <c r="E241" i="29"/>
  <c r="C241" i="29"/>
  <c r="J240" i="29"/>
  <c r="E240" i="29"/>
  <c r="C240" i="29"/>
  <c r="J239" i="29"/>
  <c r="E239" i="29"/>
  <c r="C239" i="29"/>
  <c r="J238" i="29"/>
  <c r="E238" i="29"/>
  <c r="C238" i="29"/>
  <c r="J237" i="29"/>
  <c r="E237" i="29"/>
  <c r="C237" i="29"/>
  <c r="J236" i="29"/>
  <c r="E236" i="29"/>
  <c r="C236" i="29"/>
  <c r="J235" i="29"/>
  <c r="E235" i="29"/>
  <c r="C235" i="29"/>
  <c r="J234" i="29"/>
  <c r="E234" i="29"/>
  <c r="C234" i="29"/>
  <c r="J233" i="29"/>
  <c r="E233" i="29"/>
  <c r="C233" i="29"/>
  <c r="J232" i="29"/>
  <c r="E232" i="29"/>
  <c r="C232" i="29"/>
  <c r="J231" i="29"/>
  <c r="E231" i="29"/>
  <c r="C231" i="29"/>
  <c r="J230" i="29"/>
  <c r="E230" i="29"/>
  <c r="C230" i="29"/>
  <c r="J229" i="29"/>
  <c r="E229" i="29"/>
  <c r="C229" i="29"/>
  <c r="J228" i="29"/>
  <c r="E228" i="29"/>
  <c r="C228" i="29"/>
  <c r="J227" i="29"/>
  <c r="E227" i="29"/>
  <c r="C227" i="29"/>
  <c r="J226" i="29"/>
  <c r="E226" i="29"/>
  <c r="C226" i="29"/>
  <c r="J225" i="29"/>
  <c r="E225" i="29"/>
  <c r="C225" i="29"/>
  <c r="J224" i="29"/>
  <c r="E224" i="29"/>
  <c r="C224" i="29"/>
  <c r="J223" i="29"/>
  <c r="E223" i="29"/>
  <c r="C223" i="29"/>
  <c r="J222" i="29"/>
  <c r="E222" i="29"/>
  <c r="C222" i="29"/>
  <c r="J221" i="29"/>
  <c r="E221" i="29"/>
  <c r="C221" i="29"/>
  <c r="J220" i="29"/>
  <c r="E220" i="29"/>
  <c r="C220" i="29"/>
  <c r="J219" i="29"/>
  <c r="E219" i="29"/>
  <c r="C219" i="29"/>
  <c r="J218" i="29"/>
  <c r="E218" i="29"/>
  <c r="C218" i="29"/>
  <c r="J217" i="29"/>
  <c r="E217" i="29"/>
  <c r="C217" i="29"/>
  <c r="J216" i="29"/>
  <c r="E216" i="29"/>
  <c r="C216" i="29"/>
  <c r="J215" i="29"/>
  <c r="E215" i="29"/>
  <c r="C215" i="29"/>
  <c r="J214" i="29"/>
  <c r="E214" i="29"/>
  <c r="C214" i="29"/>
  <c r="J213" i="29"/>
  <c r="E213" i="29"/>
  <c r="C213" i="29"/>
  <c r="J212" i="29"/>
  <c r="E212" i="29"/>
  <c r="C212" i="29"/>
  <c r="J211" i="29"/>
  <c r="E211" i="29"/>
  <c r="C211" i="29"/>
  <c r="J210" i="29"/>
  <c r="E210" i="29"/>
  <c r="C210" i="29"/>
  <c r="J209" i="29"/>
  <c r="E209" i="29"/>
  <c r="C209" i="29"/>
  <c r="J208" i="29"/>
  <c r="E208" i="29"/>
  <c r="C208" i="29"/>
  <c r="J207" i="29"/>
  <c r="E207" i="29"/>
  <c r="C207" i="29"/>
  <c r="J206" i="29"/>
  <c r="E206" i="29"/>
  <c r="C206" i="29"/>
  <c r="J205" i="29"/>
  <c r="E205" i="29"/>
  <c r="C205" i="29"/>
  <c r="J204" i="29"/>
  <c r="E204" i="29"/>
  <c r="C204" i="29"/>
  <c r="J203" i="29"/>
  <c r="E203" i="29"/>
  <c r="C203" i="29"/>
  <c r="J202" i="29"/>
  <c r="E202" i="29"/>
  <c r="C202" i="29"/>
  <c r="J201" i="29"/>
  <c r="E201" i="29"/>
  <c r="C201" i="29"/>
  <c r="J200" i="29"/>
  <c r="E200" i="29"/>
  <c r="C200" i="29"/>
  <c r="J199" i="29"/>
  <c r="E199" i="29"/>
  <c r="C199" i="29"/>
  <c r="J198" i="29"/>
  <c r="E198" i="29"/>
  <c r="C198" i="29"/>
  <c r="J197" i="29"/>
  <c r="E197" i="29"/>
  <c r="C197" i="29"/>
  <c r="J196" i="29"/>
  <c r="E196" i="29"/>
  <c r="C196" i="29"/>
  <c r="J195" i="29"/>
  <c r="E195" i="29"/>
  <c r="C195" i="29"/>
  <c r="J194" i="29"/>
  <c r="E194" i="29"/>
  <c r="C194" i="29"/>
  <c r="J193" i="29"/>
  <c r="E193" i="29"/>
  <c r="C193" i="29"/>
  <c r="J192" i="29"/>
  <c r="E192" i="29"/>
  <c r="C192" i="29"/>
  <c r="J191" i="29"/>
  <c r="E191" i="29"/>
  <c r="C191" i="29"/>
  <c r="J190" i="29"/>
  <c r="E190" i="29"/>
  <c r="C190" i="29"/>
  <c r="J189" i="29"/>
  <c r="E189" i="29"/>
  <c r="C189" i="29"/>
  <c r="J188" i="29"/>
  <c r="E188" i="29"/>
  <c r="C188" i="29"/>
  <c r="J187" i="29"/>
  <c r="E187" i="29"/>
  <c r="C187" i="29"/>
  <c r="J186" i="29"/>
  <c r="E186" i="29"/>
  <c r="C186" i="29"/>
  <c r="J185" i="29"/>
  <c r="E185" i="29"/>
  <c r="C185" i="29"/>
  <c r="J184" i="29"/>
  <c r="E184" i="29"/>
  <c r="C184" i="29"/>
  <c r="J183" i="29"/>
  <c r="E183" i="29"/>
  <c r="C183" i="29"/>
  <c r="J182" i="29"/>
  <c r="E182" i="29"/>
  <c r="C182" i="29"/>
  <c r="J181" i="29"/>
  <c r="E181" i="29"/>
  <c r="C181" i="29"/>
  <c r="J180" i="29"/>
  <c r="E180" i="29"/>
  <c r="C180" i="29"/>
  <c r="J179" i="29"/>
  <c r="E179" i="29"/>
  <c r="C179" i="29"/>
  <c r="J178" i="29"/>
  <c r="E178" i="29"/>
  <c r="C178" i="29"/>
  <c r="J177" i="29"/>
  <c r="E177" i="29"/>
  <c r="C177" i="29"/>
  <c r="J176" i="29"/>
  <c r="E176" i="29"/>
  <c r="C176" i="29"/>
  <c r="J175" i="29"/>
  <c r="E175" i="29"/>
  <c r="C175" i="29"/>
  <c r="J174" i="29"/>
  <c r="E174" i="29"/>
  <c r="C174" i="29"/>
  <c r="J173" i="29"/>
  <c r="E173" i="29"/>
  <c r="C173" i="29"/>
  <c r="J172" i="29"/>
  <c r="E172" i="29"/>
  <c r="C172" i="29"/>
  <c r="J171" i="29"/>
  <c r="E171" i="29"/>
  <c r="C171" i="29"/>
  <c r="J170" i="29"/>
  <c r="E170" i="29"/>
  <c r="C170" i="29"/>
  <c r="J169" i="29"/>
  <c r="E169" i="29"/>
  <c r="C169" i="29"/>
  <c r="J168" i="29"/>
  <c r="E168" i="29"/>
  <c r="C168" i="29"/>
  <c r="J167" i="29"/>
  <c r="E167" i="29"/>
  <c r="C167" i="29"/>
  <c r="J166" i="29"/>
  <c r="E166" i="29"/>
  <c r="C166" i="29"/>
  <c r="J165" i="29"/>
  <c r="E165" i="29"/>
  <c r="C165" i="29"/>
  <c r="J164" i="29"/>
  <c r="E164" i="29"/>
  <c r="C164" i="29"/>
  <c r="J163" i="29"/>
  <c r="E163" i="29"/>
  <c r="C163" i="29"/>
  <c r="J162" i="29"/>
  <c r="E162" i="29"/>
  <c r="C162" i="29"/>
  <c r="J161" i="29"/>
  <c r="E161" i="29"/>
  <c r="C161" i="29"/>
  <c r="J160" i="29"/>
  <c r="E160" i="29"/>
  <c r="C160" i="29"/>
  <c r="J159" i="29"/>
  <c r="E159" i="29"/>
  <c r="C159" i="29"/>
  <c r="J158" i="29"/>
  <c r="E158" i="29"/>
  <c r="C158" i="29"/>
  <c r="J157" i="29"/>
  <c r="E157" i="29"/>
  <c r="C157" i="29"/>
  <c r="J156" i="29"/>
  <c r="E156" i="29"/>
  <c r="C156" i="29"/>
  <c r="J155" i="29"/>
  <c r="E155" i="29"/>
  <c r="C155" i="29"/>
  <c r="J154" i="29"/>
  <c r="E154" i="29"/>
  <c r="C154" i="29"/>
  <c r="J153" i="29"/>
  <c r="E153" i="29"/>
  <c r="C153" i="29"/>
  <c r="J152" i="29"/>
  <c r="E152" i="29"/>
  <c r="C152" i="29"/>
  <c r="J151" i="29"/>
  <c r="E151" i="29"/>
  <c r="C151" i="29"/>
  <c r="J150" i="29"/>
  <c r="E150" i="29"/>
  <c r="C150" i="29"/>
  <c r="J149" i="29"/>
  <c r="E149" i="29"/>
  <c r="C149" i="29"/>
  <c r="J148" i="29"/>
  <c r="E148" i="29"/>
  <c r="C148" i="29"/>
  <c r="J147" i="29"/>
  <c r="E147" i="29"/>
  <c r="C147" i="29"/>
  <c r="J146" i="29"/>
  <c r="E146" i="29"/>
  <c r="C146" i="29"/>
  <c r="J145" i="29"/>
  <c r="E145" i="29"/>
  <c r="C145" i="29"/>
  <c r="J144" i="29"/>
  <c r="E144" i="29"/>
  <c r="C144" i="29"/>
  <c r="J143" i="29"/>
  <c r="E143" i="29"/>
  <c r="C143" i="29"/>
  <c r="J142" i="29"/>
  <c r="E142" i="29"/>
  <c r="C142" i="29"/>
  <c r="J141" i="29"/>
  <c r="E141" i="29"/>
  <c r="C141" i="29"/>
  <c r="J140" i="29"/>
  <c r="E140" i="29"/>
  <c r="C140" i="29"/>
  <c r="J139" i="29"/>
  <c r="E139" i="29"/>
  <c r="C139" i="29"/>
  <c r="J138" i="29"/>
  <c r="E138" i="29"/>
  <c r="C138" i="29"/>
  <c r="J137" i="29"/>
  <c r="E137" i="29"/>
  <c r="C137" i="29"/>
  <c r="J136" i="29"/>
  <c r="E136" i="29"/>
  <c r="C136" i="29"/>
  <c r="J135" i="29"/>
  <c r="E135" i="29"/>
  <c r="C135" i="29"/>
  <c r="J134" i="29"/>
  <c r="E134" i="29"/>
  <c r="C134" i="29"/>
  <c r="J133" i="29"/>
  <c r="E133" i="29"/>
  <c r="C133" i="29"/>
  <c r="J132" i="29"/>
  <c r="E132" i="29"/>
  <c r="C132" i="29"/>
  <c r="J131" i="29"/>
  <c r="E131" i="29"/>
  <c r="C131" i="29"/>
  <c r="J130" i="29"/>
  <c r="E130" i="29"/>
  <c r="C130" i="29"/>
  <c r="J129" i="29"/>
  <c r="E129" i="29"/>
  <c r="C129" i="29"/>
  <c r="J128" i="29"/>
  <c r="E128" i="29"/>
  <c r="C128" i="29"/>
  <c r="J127" i="29"/>
  <c r="E127" i="29"/>
  <c r="C127" i="29"/>
  <c r="J126" i="29"/>
  <c r="E126" i="29"/>
  <c r="C126" i="29"/>
  <c r="J125" i="29"/>
  <c r="E125" i="29"/>
  <c r="C125" i="29"/>
  <c r="J124" i="29"/>
  <c r="E124" i="29"/>
  <c r="C124" i="29"/>
  <c r="J123" i="29"/>
  <c r="E123" i="29"/>
  <c r="C123" i="29"/>
  <c r="J122" i="29"/>
  <c r="E122" i="29"/>
  <c r="C122" i="29"/>
  <c r="J121" i="29"/>
  <c r="E121" i="29"/>
  <c r="C121" i="29"/>
  <c r="J120" i="29"/>
  <c r="E120" i="29"/>
  <c r="C120" i="29"/>
  <c r="J119" i="29"/>
  <c r="E119" i="29"/>
  <c r="C119" i="29"/>
  <c r="J118" i="29"/>
  <c r="E118" i="29"/>
  <c r="C118" i="29"/>
  <c r="J117" i="29"/>
  <c r="E117" i="29"/>
  <c r="C117" i="29"/>
  <c r="J116" i="29"/>
  <c r="E116" i="29"/>
  <c r="C116" i="29"/>
  <c r="J115" i="29"/>
  <c r="E115" i="29"/>
  <c r="C115" i="29"/>
  <c r="J114" i="29"/>
  <c r="E114" i="29"/>
  <c r="C114" i="29"/>
  <c r="J113" i="29"/>
  <c r="E113" i="29"/>
  <c r="C113" i="29"/>
  <c r="J112" i="29"/>
  <c r="E112" i="29"/>
  <c r="C112" i="29"/>
  <c r="J111" i="29"/>
  <c r="E111" i="29"/>
  <c r="C111" i="29"/>
  <c r="J110" i="29"/>
  <c r="E110" i="29"/>
  <c r="C110" i="29"/>
  <c r="J109" i="29"/>
  <c r="E109" i="29"/>
  <c r="C109" i="29"/>
  <c r="J108" i="29"/>
  <c r="E108" i="29"/>
  <c r="C108" i="29"/>
  <c r="J107" i="29"/>
  <c r="E107" i="29"/>
  <c r="C107" i="29"/>
  <c r="J106" i="29"/>
  <c r="E106" i="29"/>
  <c r="C106" i="29"/>
  <c r="J105" i="29"/>
  <c r="E105" i="29"/>
  <c r="C105" i="29"/>
  <c r="J104" i="29"/>
  <c r="E104" i="29"/>
  <c r="C104" i="29"/>
  <c r="J103" i="29"/>
  <c r="E103" i="29"/>
  <c r="C103" i="29"/>
  <c r="J102" i="29"/>
  <c r="E102" i="29"/>
  <c r="C102" i="29"/>
  <c r="J101" i="29"/>
  <c r="E101" i="29"/>
  <c r="C101" i="29"/>
  <c r="J100" i="29"/>
  <c r="E100" i="29"/>
  <c r="C100" i="29"/>
  <c r="J99" i="29"/>
  <c r="E99" i="29"/>
  <c r="C99" i="29"/>
  <c r="J98" i="29"/>
  <c r="E98" i="29"/>
  <c r="C98" i="29"/>
  <c r="J97" i="29"/>
  <c r="E97" i="29"/>
  <c r="C97" i="29"/>
  <c r="J96" i="29"/>
  <c r="E96" i="29"/>
  <c r="C96" i="29"/>
  <c r="J95" i="29"/>
  <c r="E95" i="29"/>
  <c r="C95" i="29"/>
  <c r="J94" i="29"/>
  <c r="E94" i="29"/>
  <c r="C94" i="29"/>
  <c r="J93" i="29"/>
  <c r="E93" i="29"/>
  <c r="C93" i="29"/>
  <c r="J92" i="29"/>
  <c r="E92" i="29"/>
  <c r="C92" i="29"/>
  <c r="J91" i="29"/>
  <c r="E91" i="29"/>
  <c r="C91" i="29"/>
  <c r="J90" i="29"/>
  <c r="E90" i="29"/>
  <c r="C90" i="29"/>
  <c r="J89" i="29"/>
  <c r="E89" i="29"/>
  <c r="C89" i="29"/>
  <c r="J88" i="29"/>
  <c r="E88" i="29"/>
  <c r="C88" i="29"/>
  <c r="J87" i="29"/>
  <c r="E87" i="29"/>
  <c r="C87" i="29"/>
  <c r="J86" i="29"/>
  <c r="E86" i="29"/>
  <c r="C86" i="29"/>
  <c r="J85" i="29"/>
  <c r="E85" i="29"/>
  <c r="C85" i="29"/>
  <c r="J84" i="29"/>
  <c r="E84" i="29"/>
  <c r="C84" i="29"/>
  <c r="J83" i="29"/>
  <c r="E83" i="29"/>
  <c r="C83" i="29"/>
  <c r="J82" i="29"/>
  <c r="E82" i="29"/>
  <c r="C82" i="29"/>
  <c r="J81" i="29"/>
  <c r="E81" i="29"/>
  <c r="C81" i="29"/>
  <c r="J80" i="29"/>
  <c r="E80" i="29"/>
  <c r="C80" i="29"/>
  <c r="J79" i="29"/>
  <c r="E79" i="29"/>
  <c r="C79" i="29"/>
  <c r="J78" i="29"/>
  <c r="E78" i="29"/>
  <c r="C78" i="29"/>
  <c r="J77" i="29"/>
  <c r="E77" i="29"/>
  <c r="C77" i="29"/>
  <c r="J76" i="29"/>
  <c r="E76" i="29"/>
  <c r="C76" i="29"/>
  <c r="J75" i="29"/>
  <c r="E75" i="29"/>
  <c r="C75" i="29"/>
  <c r="J74" i="29"/>
  <c r="E74" i="29"/>
  <c r="C74" i="29"/>
  <c r="J73" i="29"/>
  <c r="E73" i="29"/>
  <c r="C73" i="29"/>
  <c r="J72" i="29"/>
  <c r="E72" i="29"/>
  <c r="C72" i="29"/>
  <c r="J71" i="29"/>
  <c r="E71" i="29"/>
  <c r="C71" i="29"/>
  <c r="J70" i="29"/>
  <c r="E70" i="29"/>
  <c r="C70" i="29"/>
  <c r="J69" i="29"/>
  <c r="E69" i="29"/>
  <c r="C69" i="29"/>
  <c r="J68" i="29"/>
  <c r="E68" i="29"/>
  <c r="C68" i="29"/>
  <c r="J67" i="29"/>
  <c r="E67" i="29"/>
  <c r="C67" i="29"/>
  <c r="J66" i="29"/>
  <c r="E66" i="29"/>
  <c r="C66" i="29"/>
  <c r="J65" i="29"/>
  <c r="E65" i="29"/>
  <c r="C65" i="29"/>
  <c r="J64" i="29"/>
  <c r="E64" i="29"/>
  <c r="C64" i="29"/>
  <c r="J63" i="29"/>
  <c r="E63" i="29"/>
  <c r="C63" i="29"/>
  <c r="J62" i="29"/>
  <c r="E62" i="29"/>
  <c r="C62" i="29"/>
  <c r="J61" i="29"/>
  <c r="E61" i="29"/>
  <c r="C61" i="29"/>
  <c r="J60" i="29"/>
  <c r="E60" i="29"/>
  <c r="C60" i="29"/>
  <c r="J59" i="29"/>
  <c r="E59" i="29"/>
  <c r="C59" i="29"/>
  <c r="J58" i="29"/>
  <c r="E58" i="29"/>
  <c r="C58" i="29"/>
  <c r="J57" i="29"/>
  <c r="E57" i="29"/>
  <c r="C57" i="29"/>
  <c r="J56" i="29"/>
  <c r="E56" i="29"/>
  <c r="C56" i="29"/>
  <c r="J55" i="29"/>
  <c r="E55" i="29"/>
  <c r="C55" i="29"/>
  <c r="J54" i="29"/>
  <c r="E54" i="29"/>
  <c r="C54" i="29"/>
  <c r="J53" i="29"/>
  <c r="E53" i="29"/>
  <c r="C53" i="29"/>
  <c r="J52" i="29"/>
  <c r="E52" i="29"/>
  <c r="C52" i="29"/>
  <c r="J51" i="29"/>
  <c r="E51" i="29"/>
  <c r="C51" i="29"/>
  <c r="J50" i="29"/>
  <c r="E50" i="29"/>
  <c r="C50" i="29"/>
  <c r="J49" i="29"/>
  <c r="E49" i="29"/>
  <c r="C49" i="29"/>
  <c r="J48" i="29"/>
  <c r="E48" i="29"/>
  <c r="C48" i="29"/>
  <c r="J47" i="29"/>
  <c r="E47" i="29"/>
  <c r="C47" i="29"/>
  <c r="J46" i="29"/>
  <c r="E46" i="29"/>
  <c r="C46" i="29"/>
  <c r="J45" i="29"/>
  <c r="E45" i="29"/>
  <c r="C45" i="29"/>
  <c r="J44" i="29"/>
  <c r="E44" i="29"/>
  <c r="C44" i="29"/>
  <c r="J43" i="29"/>
  <c r="E43" i="29"/>
  <c r="C43" i="29"/>
  <c r="J42" i="29"/>
  <c r="E42" i="29"/>
  <c r="C42" i="29"/>
  <c r="J41" i="29"/>
  <c r="E41" i="29"/>
  <c r="C41" i="29"/>
  <c r="J40" i="29"/>
  <c r="E40" i="29"/>
  <c r="C40" i="29"/>
  <c r="J39" i="29"/>
  <c r="E39" i="29"/>
  <c r="C39" i="29"/>
  <c r="J38" i="29"/>
  <c r="E38" i="29"/>
  <c r="C38" i="29"/>
  <c r="J37" i="29"/>
  <c r="E37" i="29"/>
  <c r="C37" i="29"/>
  <c r="J36" i="29"/>
  <c r="E36" i="29"/>
  <c r="C36" i="29"/>
  <c r="J35" i="29"/>
  <c r="E35" i="29"/>
  <c r="C35" i="29"/>
  <c r="J34" i="29"/>
  <c r="E34" i="29"/>
  <c r="C34" i="29"/>
  <c r="J33" i="29"/>
  <c r="E33" i="29"/>
  <c r="C33" i="29"/>
  <c r="J32" i="29"/>
  <c r="E32" i="29"/>
  <c r="C32" i="29"/>
  <c r="J31" i="29"/>
  <c r="E31" i="29"/>
  <c r="C31" i="29"/>
  <c r="J30" i="29"/>
  <c r="E30" i="29"/>
  <c r="C30" i="29"/>
  <c r="J29" i="29"/>
  <c r="E29" i="29"/>
  <c r="C29" i="29"/>
  <c r="J28" i="29"/>
  <c r="E28" i="29"/>
  <c r="C28" i="29"/>
  <c r="J27" i="29"/>
  <c r="E27" i="29"/>
  <c r="C27" i="29"/>
  <c r="J26" i="29"/>
  <c r="E26" i="29"/>
  <c r="C26" i="29"/>
  <c r="J25" i="29"/>
  <c r="E25" i="29"/>
  <c r="C25" i="29"/>
  <c r="J24" i="29"/>
  <c r="E24" i="29"/>
  <c r="C24" i="29"/>
  <c r="J23" i="29"/>
  <c r="E23" i="29"/>
  <c r="C23" i="29"/>
  <c r="J22" i="29"/>
  <c r="E22" i="29"/>
  <c r="C22" i="29"/>
  <c r="J21" i="29"/>
  <c r="E21" i="29"/>
  <c r="C21" i="29"/>
  <c r="J20" i="29"/>
  <c r="E20" i="29"/>
  <c r="C20" i="29"/>
  <c r="J19" i="29"/>
  <c r="E19" i="29"/>
  <c r="C19" i="29"/>
  <c r="J18" i="29"/>
  <c r="E18" i="29"/>
  <c r="C18" i="29"/>
  <c r="J17" i="29"/>
  <c r="E17" i="29"/>
  <c r="C17" i="29"/>
  <c r="J16" i="29"/>
  <c r="E16" i="29"/>
  <c r="C16" i="29"/>
  <c r="J15" i="29"/>
  <c r="E15" i="29"/>
  <c r="C15" i="29"/>
  <c r="J14" i="29"/>
  <c r="E14" i="29"/>
  <c r="C14" i="29"/>
  <c r="J13" i="29"/>
  <c r="E13" i="29"/>
  <c r="C13" i="29"/>
  <c r="J12" i="29"/>
  <c r="E12" i="29"/>
  <c r="C12" i="29"/>
  <c r="J11" i="29"/>
  <c r="E11" i="29"/>
  <c r="C11" i="29"/>
  <c r="J10" i="29"/>
  <c r="E10" i="29"/>
  <c r="C10" i="29"/>
  <c r="J9" i="29"/>
  <c r="E9" i="29"/>
  <c r="C9" i="29"/>
  <c r="J8" i="29"/>
  <c r="E8" i="29"/>
  <c r="C8" i="29"/>
</calcChain>
</file>

<file path=xl/comments1.xml><?xml version="1.0" encoding="utf-8"?>
<comments xmlns="http://schemas.openxmlformats.org/spreadsheetml/2006/main">
  <authors>
    <author>Thiago Terra</author>
  </authors>
  <commentList>
    <comment ref="E36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Critérios para o Código:
- Tudo Maiúsculo
- 3 primeiros caracteres do Nome
- 3 primeiros caracteres da Cidade
- Sequencial número de 1 em 1 començando em 1</t>
        </r>
      </text>
    </comment>
    <comment ref="L50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Ao inserir o nome do vender, será exibido o Valor Total de Vendas.</t>
        </r>
      </text>
    </comment>
    <comment ref="L54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Ao informar o Nome do Vender e o Mês, será exibido o valor vendido do vender do mês selecionado.
Dica: Utilize a coluna ao lado para solucionar.</t>
        </r>
      </text>
    </comment>
    <comment ref="L57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DESAFIO: Faça sem utilizar a coluna ao lado!</t>
        </r>
      </text>
    </comment>
  </commentList>
</comments>
</file>

<file path=xl/comments2.xml><?xml version="1.0" encoding="utf-8"?>
<comments xmlns="http://schemas.openxmlformats.org/spreadsheetml/2006/main">
  <authors>
    <author>Thiago Terra</author>
  </authors>
  <commentList>
    <comment ref="E33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Critérios para o Código:
- Tudo Maiúsculo
- 3 primeiros caracteres do Nome
- 3 primeiros caracteres da Cidade
- Sequencial número de 1 em 1 començando em 1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Ao inserir o nome do vender, será exibido o Valor Total de Vendas.</t>
        </r>
      </text>
    </comment>
    <comment ref="L51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Ao informar o Nome do Vender e o Mês, será exibido o valor vendido do vender do mês selecionado.
Dica: Utilize a coluna ao lado para solucionar.</t>
        </r>
      </text>
    </comment>
    <comment ref="L54" authorId="0" shapeId="0">
      <text>
        <r>
          <rPr>
            <b/>
            <sz val="9"/>
            <color indexed="81"/>
            <rFont val="Segoe UI"/>
            <family val="2"/>
          </rPr>
          <t>Thiago Terra:</t>
        </r>
        <r>
          <rPr>
            <sz val="9"/>
            <color indexed="81"/>
            <rFont val="Segoe UI"/>
            <family val="2"/>
          </rPr>
          <t xml:space="preserve">
DESAFIO: Faça sem utilizar a coluna ao lado!</t>
        </r>
      </text>
    </comment>
  </commentList>
</comments>
</file>

<file path=xl/sharedStrings.xml><?xml version="1.0" encoding="utf-8"?>
<sst xmlns="http://schemas.openxmlformats.org/spreadsheetml/2006/main" count="7552" uniqueCount="2674">
  <si>
    <r>
      <rPr>
        <b/>
        <sz val="14"/>
        <color theme="1"/>
        <rFont val="Segoe UI"/>
        <family val="2"/>
      </rPr>
      <t>Funções Pesquisa</t>
    </r>
    <r>
      <rPr>
        <sz val="14"/>
        <color theme="1"/>
        <rFont val="Segoe UI"/>
        <family val="2"/>
      </rPr>
      <t xml:space="preserve">
</t>
    </r>
    <r>
      <rPr>
        <sz val="10"/>
        <color theme="1"/>
        <rFont val="Segoe UI"/>
        <family val="2"/>
      </rPr>
      <t>Kit Revisão Curso Avançado de Excel - Prof. Thiago Terra</t>
    </r>
  </si>
  <si>
    <t>Lista Funções Utilizadas</t>
  </si>
  <si>
    <t>Todas Anteriormente, PROCV, PROCH + Funções Secretas!</t>
  </si>
  <si>
    <t>Lista Produtos</t>
  </si>
  <si>
    <t>Pedido Venda</t>
  </si>
  <si>
    <t>Produto</t>
  </si>
  <si>
    <t>Preço Unit.</t>
  </si>
  <si>
    <t>Tipo</t>
  </si>
  <si>
    <t>Peso (gr)</t>
  </si>
  <si>
    <t>Qt.</t>
  </si>
  <si>
    <t>Preço Total</t>
  </si>
  <si>
    <t>Mamão</t>
  </si>
  <si>
    <t>KG</t>
  </si>
  <si>
    <t>Bacon</t>
  </si>
  <si>
    <t>Banana Prata</t>
  </si>
  <si>
    <t>Pimentão</t>
  </si>
  <si>
    <t>Maçã</t>
  </si>
  <si>
    <t>Leite</t>
  </si>
  <si>
    <t>Cenoura</t>
  </si>
  <si>
    <t>Dúzia Ovos</t>
  </si>
  <si>
    <t>Batata</t>
  </si>
  <si>
    <t>Picanha</t>
  </si>
  <si>
    <t>Vagem</t>
  </si>
  <si>
    <t>UNIT</t>
  </si>
  <si>
    <t>Água Mineral</t>
  </si>
  <si>
    <t>Total</t>
  </si>
  <si>
    <t>Base de Clientes</t>
  </si>
  <si>
    <t>Pesquisa Cliente</t>
  </si>
  <si>
    <t>Código</t>
  </si>
  <si>
    <t>Nome</t>
  </si>
  <si>
    <t>Endereço</t>
  </si>
  <si>
    <t>Bairro</t>
  </si>
  <si>
    <t>Cidade</t>
  </si>
  <si>
    <t>Email</t>
  </si>
  <si>
    <t>Thiago</t>
  </si>
  <si>
    <t>Rua A1</t>
  </si>
  <si>
    <t>Centro</t>
  </si>
  <si>
    <t>São Paulo</t>
  </si>
  <si>
    <t>thiago@nextlevel.run</t>
  </si>
  <si>
    <t>Priscila</t>
  </si>
  <si>
    <t>Rua A2</t>
  </si>
  <si>
    <t>priscila@nextlevel.run</t>
  </si>
  <si>
    <t>Eduardo</t>
  </si>
  <si>
    <t>Rua A3</t>
  </si>
  <si>
    <t>Belo Horizonte</t>
  </si>
  <si>
    <t>eduardo@nextlevel.run</t>
  </si>
  <si>
    <t>Camila</t>
  </si>
  <si>
    <t>Rua A4</t>
  </si>
  <si>
    <t>Prado</t>
  </si>
  <si>
    <t>camila@nextlevel.run</t>
  </si>
  <si>
    <t>João</t>
  </si>
  <si>
    <t>Rua A5</t>
  </si>
  <si>
    <t>Rio de Janeiro</t>
  </si>
  <si>
    <t>joao@nextlevel.run</t>
  </si>
  <si>
    <t>Vicente</t>
  </si>
  <si>
    <t>Rua A6</t>
  </si>
  <si>
    <t>Savassi</t>
  </si>
  <si>
    <t>vicente@nextlevel.run</t>
  </si>
  <si>
    <t>Aline</t>
  </si>
  <si>
    <t>Rua A7</t>
  </si>
  <si>
    <t>aline@nextlevel.run</t>
  </si>
  <si>
    <t>Débora</t>
  </si>
  <si>
    <t>Rua A8</t>
  </si>
  <si>
    <t>Pampulha</t>
  </si>
  <si>
    <t>debora@nextlevel.run</t>
  </si>
  <si>
    <t>José</t>
  </si>
  <si>
    <t>Rua A9</t>
  </si>
  <si>
    <t>jose@nextlevel.run</t>
  </si>
  <si>
    <t>Base de Vendedores</t>
  </si>
  <si>
    <t>Vendas Vendedor / Total</t>
  </si>
  <si>
    <t>Ajuda</t>
  </si>
  <si>
    <t>Meses</t>
  </si>
  <si>
    <t>André</t>
  </si>
  <si>
    <t>Total Vendas</t>
  </si>
  <si>
    <t>Mês 1</t>
  </si>
  <si>
    <t>Mês 2</t>
  </si>
  <si>
    <t>Mês 3</t>
  </si>
  <si>
    <t>Vendas Vendedor / Mês</t>
  </si>
  <si>
    <t>Mês 4</t>
  </si>
  <si>
    <t>Vendas</t>
  </si>
  <si>
    <t>Mês 5</t>
  </si>
  <si>
    <t>Mês 6</t>
  </si>
  <si>
    <t>Calcule a Comissão</t>
  </si>
  <si>
    <t>Condição</t>
  </si>
  <si>
    <t>Comissão</t>
  </si>
  <si>
    <t>Tabela Comissão</t>
  </si>
  <si>
    <t>PRAZO</t>
  </si>
  <si>
    <t>VISTA</t>
  </si>
  <si>
    <t>infinito</t>
  </si>
  <si>
    <t>Vinícius</t>
  </si>
  <si>
    <t>Ariel</t>
  </si>
  <si>
    <t>Sim! Você não viu errado. É o mesmo exercício, só que agora utilizando Funções Pesquisa.
Bora lá!</t>
  </si>
  <si>
    <t>Bárbara</t>
  </si>
  <si>
    <t>Nascimento</t>
  </si>
  <si>
    <t>Idade</t>
  </si>
  <si>
    <t>Faixa Idade</t>
  </si>
  <si>
    <t>Tabela Idade</t>
  </si>
  <si>
    <t>0-17</t>
  </si>
  <si>
    <t>18-24</t>
  </si>
  <si>
    <t>Bolacha</t>
  </si>
  <si>
    <t>25-34</t>
  </si>
  <si>
    <t>35-44</t>
  </si>
  <si>
    <t>Josef</t>
  </si>
  <si>
    <t>45-54</t>
  </si>
  <si>
    <t>55-64</t>
  </si>
  <si>
    <t>Gustavo</t>
  </si>
  <si>
    <t>65+</t>
  </si>
  <si>
    <r>
      <rPr>
        <b/>
        <sz val="14"/>
        <color theme="1"/>
        <rFont val="Segoe UI"/>
        <family val="2"/>
      </rPr>
      <t>PROCV e PROCH</t>
    </r>
    <r>
      <rPr>
        <sz val="14"/>
        <color theme="1"/>
        <rFont val="Segoe UI"/>
        <family val="2"/>
      </rPr>
      <t xml:space="preserve">
</t>
    </r>
    <r>
      <rPr>
        <sz val="10"/>
        <color theme="1"/>
        <rFont val="Segoe UI"/>
        <family val="2"/>
      </rPr>
      <t>Prof. Thiago Terra</t>
    </r>
  </si>
  <si>
    <t>Status</t>
  </si>
  <si>
    <t>Aprovado</t>
  </si>
  <si>
    <t>Nº Incorreto Cartão</t>
  </si>
  <si>
    <t>Abandono Carrinho</t>
  </si>
  <si>
    <t>Venda Realizada</t>
  </si>
  <si>
    <t>Venda Perdida</t>
  </si>
  <si>
    <t>Motivo</t>
  </si>
  <si>
    <t>Data</t>
  </si>
  <si>
    <t>Telefone</t>
  </si>
  <si>
    <t>(16) 9 8428-9249</t>
  </si>
  <si>
    <t>(55) 9 9961-7341</t>
  </si>
  <si>
    <t>(49) 9 9756-7039</t>
  </si>
  <si>
    <t>(59) 9 8661-9214</t>
  </si>
  <si>
    <t>(59) 9 7601-7334</t>
  </si>
  <si>
    <t>(52) 9 8931-9507</t>
  </si>
  <si>
    <t>(37) 9 8647-7509</t>
  </si>
  <si>
    <t>(48) 9 9757-7386</t>
  </si>
  <si>
    <t>(11) 9 8709-8767</t>
  </si>
  <si>
    <t>(58) 9 7037-8428</t>
  </si>
  <si>
    <t>(15) 9 7414-9114</t>
  </si>
  <si>
    <t>(55) 9 8691-7285</t>
  </si>
  <si>
    <t>(27) 9 7532-9958</t>
  </si>
  <si>
    <t>(21) 9 9156-7792</t>
  </si>
  <si>
    <t>(18) 9 7447-7659</t>
  </si>
  <si>
    <t>(14) 9 9673-9927</t>
  </si>
  <si>
    <t>(32) 9 7357-9993</t>
  </si>
  <si>
    <t>(27) 9 8669-8453</t>
  </si>
  <si>
    <t>(27) 9 7246-9814</t>
  </si>
  <si>
    <t>(25) 9 9745-9166</t>
  </si>
  <si>
    <t>(58) 9 7729-8515</t>
  </si>
  <si>
    <t>(20) 9 9997-7192</t>
  </si>
  <si>
    <t>(55) 9 9232-7201</t>
  </si>
  <si>
    <t>(25) 9 9154-8713</t>
  </si>
  <si>
    <t>(18) 9 7599-9997</t>
  </si>
  <si>
    <t>(19) 9 9143-8652</t>
  </si>
  <si>
    <t>(25) 9 9336-9610</t>
  </si>
  <si>
    <t>(46) 9 9095-7428</t>
  </si>
  <si>
    <t>(39) 9 7591-9210</t>
  </si>
  <si>
    <t>(27) 9 8734-7930</t>
  </si>
  <si>
    <t>(41) 9 9232-8548</t>
  </si>
  <si>
    <t>(15) 9 7413-9482</t>
  </si>
  <si>
    <t>(31) 9 8034-7902</t>
  </si>
  <si>
    <t>(24) 9 9770-7019</t>
  </si>
  <si>
    <t>(37) 9 7339-8208</t>
  </si>
  <si>
    <t>(20) 9 8365-9087</t>
  </si>
  <si>
    <t>(18) 9 9671-7452</t>
  </si>
  <si>
    <t>(44) 9 8986-8539</t>
  </si>
  <si>
    <t>(38) 9 9776-8608</t>
  </si>
  <si>
    <t>(49) 9 7126-8838</t>
  </si>
  <si>
    <t>(34) 9 9714-7938</t>
  </si>
  <si>
    <t>(49) 9 9926-7186</t>
  </si>
  <si>
    <t>(59) 9 8614-7557</t>
  </si>
  <si>
    <t>(28) 9 7218-7547</t>
  </si>
  <si>
    <t>(45) 9 9225-7029</t>
  </si>
  <si>
    <t>(60) 9 8311-9265</t>
  </si>
  <si>
    <t>(12) 9 8611-7560</t>
  </si>
  <si>
    <t>(42) 9 7656-9141</t>
  </si>
  <si>
    <t>(51) 9 9957-9324</t>
  </si>
  <si>
    <t>(54) 9 7055-8112</t>
  </si>
  <si>
    <t>(46) 9 9920-9929</t>
  </si>
  <si>
    <t>(29) 9 8353-7382</t>
  </si>
  <si>
    <t>(34) 9 8178-9520</t>
  </si>
  <si>
    <t>(56) 9 7534-9937</t>
  </si>
  <si>
    <t>(12) 9 8657-9533</t>
  </si>
  <si>
    <t>(22) 9 9306-9303</t>
  </si>
  <si>
    <t>(40) 9 7925-8208</t>
  </si>
  <si>
    <t>(23) 9 9254-8980</t>
  </si>
  <si>
    <t>(12) 9 8985-9281</t>
  </si>
  <si>
    <t>(52) 9 9613-9441</t>
  </si>
  <si>
    <t>(12) 9 8995-9033</t>
  </si>
  <si>
    <t>(52) 9 7218-9501</t>
  </si>
  <si>
    <t>(37) 9 8629-9804</t>
  </si>
  <si>
    <t>(46) 9 8606-9167</t>
  </si>
  <si>
    <t>(41) 9 9481-9584</t>
  </si>
  <si>
    <t>(48) 9 9306-7753</t>
  </si>
  <si>
    <t>(16) 9 7414-9560</t>
  </si>
  <si>
    <t>(30) 9 8209-8318</t>
  </si>
  <si>
    <t>(42) 9 9310-9623</t>
  </si>
  <si>
    <t>(51) 9 8633-7513</t>
  </si>
  <si>
    <t>(35) 9 8930-8685</t>
  </si>
  <si>
    <t>(31) 9 9048-8068</t>
  </si>
  <si>
    <t>(35) 9 7346-8663</t>
  </si>
  <si>
    <t>(13) 9 9635-8800</t>
  </si>
  <si>
    <t>(38) 9 9429-9841</t>
  </si>
  <si>
    <t>(50) 9 7792-7831</t>
  </si>
  <si>
    <t>(31) 9 9186-9250</t>
  </si>
  <si>
    <t>(50) 9 9827-8472</t>
  </si>
  <si>
    <t>(27) 9 7612-8300</t>
  </si>
  <si>
    <t>(52) 9 8825-7306</t>
  </si>
  <si>
    <t>(30) 9 8132-8234</t>
  </si>
  <si>
    <t>(57) 9 7684-9541</t>
  </si>
  <si>
    <t>(30) 9 9136-8796</t>
  </si>
  <si>
    <t>(17) 9 9466-9909</t>
  </si>
  <si>
    <t>(48) 9 8911-7022</t>
  </si>
  <si>
    <t>(21) 9 8181-9265</t>
  </si>
  <si>
    <t>(60) 9 8530-7284</t>
  </si>
  <si>
    <t>(13) 9 8967-8710</t>
  </si>
  <si>
    <t>(36) 9 8116-7272</t>
  </si>
  <si>
    <t>(28) 9 7773-8251</t>
  </si>
  <si>
    <t>(51) 9 7893-8622</t>
  </si>
  <si>
    <t>(41) 9 7172-8880</t>
  </si>
  <si>
    <t>(26) 9 9441-8636</t>
  </si>
  <si>
    <t>(13) 9 7552-7187</t>
  </si>
  <si>
    <t>(46) 9 9579-7200</t>
  </si>
  <si>
    <t>(12) 9 7567-9507</t>
  </si>
  <si>
    <t>(12) 9 9930-7507</t>
  </si>
  <si>
    <t>(55) 9 9604-8459</t>
  </si>
  <si>
    <t>(19) 9 8215-7790</t>
  </si>
  <si>
    <t>(14) 9 8175-9100</t>
  </si>
  <si>
    <t>(24) 9 7628-8773</t>
  </si>
  <si>
    <t>(56) 9 8856-8252</t>
  </si>
  <si>
    <t>(16) 9 8490-7609</t>
  </si>
  <si>
    <t>(46) 9 7023-8833</t>
  </si>
  <si>
    <t>(24) 9 9973-9066</t>
  </si>
  <si>
    <t>(30) 9 8554-8192</t>
  </si>
  <si>
    <t>(41) 9 7741-7765</t>
  </si>
  <si>
    <t>(50) 9 7040-9363</t>
  </si>
  <si>
    <t>(42) 9 9731-9136</t>
  </si>
  <si>
    <t>(35) 9 8530-9126</t>
  </si>
  <si>
    <t>(19) 9 8085-7860</t>
  </si>
  <si>
    <t>(28) 9 8190-8534</t>
  </si>
  <si>
    <t>(44) 9 9028-7025</t>
  </si>
  <si>
    <t>(41) 9 9320-8938</t>
  </si>
  <si>
    <t>(24) 9 9667-8821</t>
  </si>
  <si>
    <t>(20) 9 9013-9599</t>
  </si>
  <si>
    <t>(12) 9 7369-9596</t>
  </si>
  <si>
    <t>(15) 9 9173-7016</t>
  </si>
  <si>
    <t>(11) 9 7914-8573</t>
  </si>
  <si>
    <t>(24) 9 8002-8955</t>
  </si>
  <si>
    <t>(51) 9 9031-7145</t>
  </si>
  <si>
    <t>(19) 9 8168-8888</t>
  </si>
  <si>
    <t>(14) 9 8503-9056</t>
  </si>
  <si>
    <t>(56) 9 7710-8770</t>
  </si>
  <si>
    <t>(16) 9 7768-8984</t>
  </si>
  <si>
    <t>(42) 9 7206-8378</t>
  </si>
  <si>
    <t>(21) 9 7014-7564</t>
  </si>
  <si>
    <t>(53) 9 9408-9095</t>
  </si>
  <si>
    <t>(11) 9 8538-9187</t>
  </si>
  <si>
    <t>(48) 9 7430-9975</t>
  </si>
  <si>
    <t>(38) 9 9468-9268</t>
  </si>
  <si>
    <t>(36) 9 7663-9643</t>
  </si>
  <si>
    <t>(19) 9 9422-8265</t>
  </si>
  <si>
    <t>(26) 9 7865-9803</t>
  </si>
  <si>
    <t>(41) 9 7957-7590</t>
  </si>
  <si>
    <t>(21) 9 7023-8947</t>
  </si>
  <si>
    <t>(43) 9 9486-8756</t>
  </si>
  <si>
    <t>(56) 9 9033-9848</t>
  </si>
  <si>
    <t>(48) 9 8170-7670</t>
  </si>
  <si>
    <t>(12) 9 8788-9143</t>
  </si>
  <si>
    <t>(13) 9 7184-7755</t>
  </si>
  <si>
    <t>(30) 9 9009-8083</t>
  </si>
  <si>
    <t>(55) 9 8243-9412</t>
  </si>
  <si>
    <t>(56) 9 9456-9959</t>
  </si>
  <si>
    <t>(52) 9 8633-8023</t>
  </si>
  <si>
    <t>(11) 9 8589-8773</t>
  </si>
  <si>
    <t>(13) 9 9236-8749</t>
  </si>
  <si>
    <t>(27) 9 8943-7267</t>
  </si>
  <si>
    <t>(10) 9 7262-7007</t>
  </si>
  <si>
    <t>(39) 9 8806-9592</t>
  </si>
  <si>
    <t>(57) 9 9417-8730</t>
  </si>
  <si>
    <t>(14) 9 8120-9441</t>
  </si>
  <si>
    <t>(36) 9 8455-9796</t>
  </si>
  <si>
    <t>(20) 9 9896-7771</t>
  </si>
  <si>
    <t>(52) 9 8481-8568</t>
  </si>
  <si>
    <t>(30) 9 8442-8348</t>
  </si>
  <si>
    <t>(11) 9 8971-8190</t>
  </si>
  <si>
    <t>(31) 9 7214-8600</t>
  </si>
  <si>
    <t>(26) 9 7144-9695</t>
  </si>
  <si>
    <t>(41) 9 8619-7802</t>
  </si>
  <si>
    <t>(52) 9 8293-7468</t>
  </si>
  <si>
    <t>(41) 9 7715-8468</t>
  </si>
  <si>
    <t>(32) 9 9118-9588</t>
  </si>
  <si>
    <t>(27) 9 9846-9118</t>
  </si>
  <si>
    <t>(30) 9 8005-7856</t>
  </si>
  <si>
    <t>(19) 9 7012-9376</t>
  </si>
  <si>
    <t>(50) 9 9907-9322</t>
  </si>
  <si>
    <t>(16) 9 7177-7864</t>
  </si>
  <si>
    <t>(47) 9 8276-9328</t>
  </si>
  <si>
    <t>(21) 9 7634-8395</t>
  </si>
  <si>
    <t>(59) 9 9797-9632</t>
  </si>
  <si>
    <t>(47) 9 8598-8240</t>
  </si>
  <si>
    <t>(21) 9 9032-8908</t>
  </si>
  <si>
    <t>(58) 9 8974-7768</t>
  </si>
  <si>
    <t>(57) 9 7479-7654</t>
  </si>
  <si>
    <t>(49) 9 8185-8844</t>
  </si>
  <si>
    <t>(20) 9 8529-8568</t>
  </si>
  <si>
    <t>(53) 9 8284-8928</t>
  </si>
  <si>
    <t>(31) 9 8766-7409</t>
  </si>
  <si>
    <t>(23) 9 7995-8054</t>
  </si>
  <si>
    <t>(38) 9 9212-7354</t>
  </si>
  <si>
    <t>(36) 9 8447-8461</t>
  </si>
  <si>
    <t>(41) 9 8206-9723</t>
  </si>
  <si>
    <t>(45) 9 7862-9120</t>
  </si>
  <si>
    <t>(10) 9 9383-9517</t>
  </si>
  <si>
    <t>(18) 9 7947-8454</t>
  </si>
  <si>
    <t>(57) 9 8726-7185</t>
  </si>
  <si>
    <t>(13) 9 8214-8535</t>
  </si>
  <si>
    <t>(35) 9 7225-7639</t>
  </si>
  <si>
    <t>(29) 9 8061-7261</t>
  </si>
  <si>
    <t>(37) 9 9269-9560</t>
  </si>
  <si>
    <t>(50) 9 9706-7493</t>
  </si>
  <si>
    <t>(38) 9 7049-8387</t>
  </si>
  <si>
    <t>(40) 9 7996-8815</t>
  </si>
  <si>
    <t>(32) 9 7917-9274</t>
  </si>
  <si>
    <t>(31) 9 8272-9658</t>
  </si>
  <si>
    <t>(13) 9 9673-9923</t>
  </si>
  <si>
    <t>(11) 9 9909-7849</t>
  </si>
  <si>
    <t>(14) 9 8881-8496</t>
  </si>
  <si>
    <t>(27) 9 8238-9845</t>
  </si>
  <si>
    <t>(36) 9 9856-8888</t>
  </si>
  <si>
    <t>(11) 9 9747-9234</t>
  </si>
  <si>
    <t>(37) 9 7280-9432</t>
  </si>
  <si>
    <t>(43) 9 8959-7185</t>
  </si>
  <si>
    <t>(52) 9 9971-8518</t>
  </si>
  <si>
    <t>(49) 9 7659-8711</t>
  </si>
  <si>
    <t>(16) 9 9208-8474</t>
  </si>
  <si>
    <t>(31) 9 8945-8454</t>
  </si>
  <si>
    <t>(26) 9 7557-8577</t>
  </si>
  <si>
    <t>(56) 9 8247-8424</t>
  </si>
  <si>
    <t>(32) 9 8223-7205</t>
  </si>
  <si>
    <t>(46) 9 7188-8145</t>
  </si>
  <si>
    <t>(27) 9 8001-8561</t>
  </si>
  <si>
    <t>(47) 9 8855-7099</t>
  </si>
  <si>
    <t>(27) 9 9295-9187</t>
  </si>
  <si>
    <t>(14) 9 7585-8699</t>
  </si>
  <si>
    <t>(51) 9 9540-9820</t>
  </si>
  <si>
    <t>(28) 9 7799-9679</t>
  </si>
  <si>
    <t>(55) 9 8284-7203</t>
  </si>
  <si>
    <t>(18) 9 7168-8286</t>
  </si>
  <si>
    <t>(52) 9 9992-8195</t>
  </si>
  <si>
    <t>(37) 9 7989-8400</t>
  </si>
  <si>
    <t>(14) 9 8522-7233</t>
  </si>
  <si>
    <t>(16) 9 8476-8264</t>
  </si>
  <si>
    <t>(41) 9 7308-8196</t>
  </si>
  <si>
    <t>(48) 9 7099-7769</t>
  </si>
  <si>
    <t>(20) 9 9647-7126</t>
  </si>
  <si>
    <t>(55) 9 9131-7857</t>
  </si>
  <si>
    <t>(17) 9 9002-9063</t>
  </si>
  <si>
    <t>(44) 9 7068-8112</t>
  </si>
  <si>
    <t>(27) 9 8428-8935</t>
  </si>
  <si>
    <t>(60) 9 9096-8315</t>
  </si>
  <si>
    <t>(36) 9 8225-9420</t>
  </si>
  <si>
    <t>(30) 9 7361-7137</t>
  </si>
  <si>
    <t>(54) 9 9258-8034</t>
  </si>
  <si>
    <t>(18) 9 8709-8682</t>
  </si>
  <si>
    <t>(39) 9 8206-9718</t>
  </si>
  <si>
    <t>(47) 9 9690-8374</t>
  </si>
  <si>
    <t>(26) 9 7981-7839</t>
  </si>
  <si>
    <t>(42) 9 8324-8911</t>
  </si>
  <si>
    <t>(18) 9 8146-9406</t>
  </si>
  <si>
    <t>(43) 9 9581-8182</t>
  </si>
  <si>
    <t>(47) 9 9205-8958</t>
  </si>
  <si>
    <t>(29) 9 7563-7439</t>
  </si>
  <si>
    <t>(16) 9 8250-9824</t>
  </si>
  <si>
    <t>(24) 9 8686-7230</t>
  </si>
  <si>
    <t>(51) 9 9140-9859</t>
  </si>
  <si>
    <t>(31) 9 9528-9147</t>
  </si>
  <si>
    <t>(28) 9 9321-7420</t>
  </si>
  <si>
    <t>(50) 9 9519-7606</t>
  </si>
  <si>
    <t>(24) 9 9623-7182</t>
  </si>
  <si>
    <t>(53) 9 9895-7464</t>
  </si>
  <si>
    <t>(29) 9 8105-7615</t>
  </si>
  <si>
    <t>(39) 9 9960-9138</t>
  </si>
  <si>
    <t>(23) 9 7593-7028</t>
  </si>
  <si>
    <t>(50) 9 9503-9876</t>
  </si>
  <si>
    <t>(44) 9 9484-7127</t>
  </si>
  <si>
    <t>(28) 9 9150-8452</t>
  </si>
  <si>
    <t>(39) 9 7271-8492</t>
  </si>
  <si>
    <t>(12) 9 8038-7692</t>
  </si>
  <si>
    <t>(20) 9 9441-9309</t>
  </si>
  <si>
    <t>(36) 9 7895-7031</t>
  </si>
  <si>
    <t>(10) 9 8828-9678</t>
  </si>
  <si>
    <t>(25) 9 8634-8901</t>
  </si>
  <si>
    <t>(38) 9 7486-9773</t>
  </si>
  <si>
    <t>(38) 9 7352-9252</t>
  </si>
  <si>
    <t>(45) 9 7920-9707</t>
  </si>
  <si>
    <t>(47) 9 9106-9895</t>
  </si>
  <si>
    <t>(32) 9 9119-7740</t>
  </si>
  <si>
    <t>(12) 9 7595-9350</t>
  </si>
  <si>
    <t>(31) 9 8268-7684</t>
  </si>
  <si>
    <t>(40) 9 9664-7835</t>
  </si>
  <si>
    <t>(42) 9 9467-7092</t>
  </si>
  <si>
    <t>(19) 9 9412-8245</t>
  </si>
  <si>
    <t>(47) 9 7265-7038</t>
  </si>
  <si>
    <t>(18) 9 8504-8184</t>
  </si>
  <si>
    <t>(10) 9 7741-9628</t>
  </si>
  <si>
    <t>(30) 9 9517-8892</t>
  </si>
  <si>
    <t>(41) 9 9354-7492</t>
  </si>
  <si>
    <t>(56) 9 7399-9102</t>
  </si>
  <si>
    <t>(32) 9 8127-8202</t>
  </si>
  <si>
    <t>(46) 9 9086-8452</t>
  </si>
  <si>
    <t>(15) 9 8388-8019</t>
  </si>
  <si>
    <t>(12) 9 9015-7225</t>
  </si>
  <si>
    <t>(18) 9 9265-8082</t>
  </si>
  <si>
    <t>(35) 9 8214-9017</t>
  </si>
  <si>
    <t>(14) 9 8369-8230</t>
  </si>
  <si>
    <t>(57) 9 8950-8358</t>
  </si>
  <si>
    <t>(46) 9 7000-7771</t>
  </si>
  <si>
    <t>(30) 9 9488-9994</t>
  </si>
  <si>
    <t>(15) 9 8505-8120</t>
  </si>
  <si>
    <t>(25) 9 7852-8627</t>
  </si>
  <si>
    <t>(53) 9 8614-8482</t>
  </si>
  <si>
    <t>(33) 9 9099-9655</t>
  </si>
  <si>
    <t>(13) 9 9685-7829</t>
  </si>
  <si>
    <t>(42) 9 9362-8311</t>
  </si>
  <si>
    <t>(41) 9 8611-9789</t>
  </si>
  <si>
    <t>(36) 9 9947-7043</t>
  </si>
  <si>
    <t>(19) 9 7030-9273</t>
  </si>
  <si>
    <t>(47) 9 9249-9579</t>
  </si>
  <si>
    <t>(51) 9 8788-7040</t>
  </si>
  <si>
    <t>(17) 9 7398-9371</t>
  </si>
  <si>
    <t>(18) 9 7148-9794</t>
  </si>
  <si>
    <t>(42) 9 7963-9619</t>
  </si>
  <si>
    <t>(27) 9 7192-8728</t>
  </si>
  <si>
    <t>(33) 9 9790-7934</t>
  </si>
  <si>
    <t>(49) 9 7137-8407</t>
  </si>
  <si>
    <t>(27) 9 9769-7041</t>
  </si>
  <si>
    <t>(55) 9 9434-9902</t>
  </si>
  <si>
    <t>(22) 9 9895-9958</t>
  </si>
  <si>
    <t>(40) 9 9679-7740</t>
  </si>
  <si>
    <t>(32) 9 9588-8666</t>
  </si>
  <si>
    <t>(16) 9 8946-7007</t>
  </si>
  <si>
    <t>(35) 9 7280-8322</t>
  </si>
  <si>
    <t>(15) 9 8598-9764</t>
  </si>
  <si>
    <t>(23) 9 9497-9715</t>
  </si>
  <si>
    <t>(52) 9 7161-7557</t>
  </si>
  <si>
    <t>(51) 9 9407-7031</t>
  </si>
  <si>
    <t>(39) 9 8530-7795</t>
  </si>
  <si>
    <t>(23) 9 8739-7261</t>
  </si>
  <si>
    <t>(37) 9 9501-8733</t>
  </si>
  <si>
    <t>(48) 9 7770-8341</t>
  </si>
  <si>
    <t>(12) 9 8421-7417</t>
  </si>
  <si>
    <t>(29) 9 8689-7324</t>
  </si>
  <si>
    <t>(43) 9 9312-7392</t>
  </si>
  <si>
    <t>(12) 9 7500-8134</t>
  </si>
  <si>
    <t>(29) 9 7178-7451</t>
  </si>
  <si>
    <t>(10) 9 7274-7524</t>
  </si>
  <si>
    <t>(26) 9 9835-8916</t>
  </si>
  <si>
    <t>(28) 9 8996-9200</t>
  </si>
  <si>
    <t>(49) 9 7538-8301</t>
  </si>
  <si>
    <t>(56) 9 9355-9181</t>
  </si>
  <si>
    <t>(29) 9 7972-7717</t>
  </si>
  <si>
    <t>(13) 9 7084-9786</t>
  </si>
  <si>
    <t>(53) 9 9679-7930</t>
  </si>
  <si>
    <t>(36) 9 9327-9585</t>
  </si>
  <si>
    <t>(13) 9 7866-8077</t>
  </si>
  <si>
    <t>(16) 9 8670-8696</t>
  </si>
  <si>
    <t>(23) 9 8814-7106</t>
  </si>
  <si>
    <t>(37) 9 7144-9928</t>
  </si>
  <si>
    <t>(39) 9 9078-7258</t>
  </si>
  <si>
    <t>(59) 9 7312-8449</t>
  </si>
  <si>
    <t>(48) 9 7244-8883</t>
  </si>
  <si>
    <t>(31) 9 7781-9259</t>
  </si>
  <si>
    <t>(39) 9 7713-8790</t>
  </si>
  <si>
    <t>(59) 9 8117-7236</t>
  </si>
  <si>
    <t>(20) 9 8709-9171</t>
  </si>
  <si>
    <t>(56) 9 9372-8902</t>
  </si>
  <si>
    <t>(51) 9 7027-7928</t>
  </si>
  <si>
    <t>(34) 9 8839-8797</t>
  </si>
  <si>
    <t>(11) 9 8156-7474</t>
  </si>
  <si>
    <t>(46) 9 7106-7189</t>
  </si>
  <si>
    <t>(56) 9 7993-8553</t>
  </si>
  <si>
    <t>(17) 9 9168-8421</t>
  </si>
  <si>
    <t>(28) 9 7710-8390</t>
  </si>
  <si>
    <t>(37) 9 7430-9697</t>
  </si>
  <si>
    <t>(35) 9 8914-9552</t>
  </si>
  <si>
    <t>(18) 9 9068-9106</t>
  </si>
  <si>
    <t>(11) 9 7082-7466</t>
  </si>
  <si>
    <t>(29) 9 9164-7455</t>
  </si>
  <si>
    <t>(23) 9 8772-9010</t>
  </si>
  <si>
    <t>(35) 9 9744-8982</t>
  </si>
  <si>
    <t>(10) 9 9346-7201</t>
  </si>
  <si>
    <t>(56) 9 9261-9790</t>
  </si>
  <si>
    <t>(36) 9 8722-9274</t>
  </si>
  <si>
    <t>(37) 9 9932-9974</t>
  </si>
  <si>
    <t>(59) 9 7228-7024</t>
  </si>
  <si>
    <t>(46) 9 7127-9551</t>
  </si>
  <si>
    <t>(21) 9 9814-9052</t>
  </si>
  <si>
    <t>(44) 9 8211-7579</t>
  </si>
  <si>
    <t>(45) 9 8671-9879</t>
  </si>
  <si>
    <t>(36) 9 8512-9058</t>
  </si>
  <si>
    <t>(41) 9 9210-8410</t>
  </si>
  <si>
    <t>(38) 9 9118-9207</t>
  </si>
  <si>
    <t>(14) 9 7113-8294</t>
  </si>
  <si>
    <t>(43) 9 7757-9399</t>
  </si>
  <si>
    <t>(36) 9 9257-9922</t>
  </si>
  <si>
    <t>(44) 9 7641-9291</t>
  </si>
  <si>
    <t>(32) 9 8009-9893</t>
  </si>
  <si>
    <t>(48) 9 7390-7750</t>
  </si>
  <si>
    <t>(35) 9 9567-7813</t>
  </si>
  <si>
    <t>(22) 9 9742-8608</t>
  </si>
  <si>
    <t>(45) 9 9918-7126</t>
  </si>
  <si>
    <t>(16) 9 9547-8935</t>
  </si>
  <si>
    <t>(26) 9 7224-7617</t>
  </si>
  <si>
    <t>(35) 9 9315-7137</t>
  </si>
  <si>
    <t>(13) 9 9650-8396</t>
  </si>
  <si>
    <t>(27) 9 9832-8319</t>
  </si>
  <si>
    <t>(15) 9 7881-9092</t>
  </si>
  <si>
    <t>(36) 9 9838-8143</t>
  </si>
  <si>
    <t>(46) 9 9058-9450</t>
  </si>
  <si>
    <t>(53) 9 9059-9910</t>
  </si>
  <si>
    <t>(54) 9 9170-7549</t>
  </si>
  <si>
    <t>(49) 9 7351-7895</t>
  </si>
  <si>
    <t>(11) 9 9090-7559</t>
  </si>
  <si>
    <t>(35) 9 8760-9324</t>
  </si>
  <si>
    <t>(26) 9 9656-8176</t>
  </si>
  <si>
    <t>(47) 9 9511-7123</t>
  </si>
  <si>
    <t>(29) 9 9128-9985</t>
  </si>
  <si>
    <t>(56) 9 8085-8297</t>
  </si>
  <si>
    <t>(37) 9 9685-7634</t>
  </si>
  <si>
    <t>(25) 9 9733-7530</t>
  </si>
  <si>
    <t>(24) 9 9216-8198</t>
  </si>
  <si>
    <t>(43) 9 9264-7448</t>
  </si>
  <si>
    <t>(46) 9 7743-7105</t>
  </si>
  <si>
    <t>(44) 9 8680-8642</t>
  </si>
  <si>
    <t>(16) 9 9771-8102</t>
  </si>
  <si>
    <t>(20) 9 9640-9132</t>
  </si>
  <si>
    <t>(42) 9 8711-9046</t>
  </si>
  <si>
    <t>(31) 9 7092-9336</t>
  </si>
  <si>
    <t>(56) 9 7602-8470</t>
  </si>
  <si>
    <t>(38) 9 9392-9981</t>
  </si>
  <si>
    <t>(21) 9 9221-9588</t>
  </si>
  <si>
    <t>(40) 9 8170-8520</t>
  </si>
  <si>
    <t>(17) 9 7705-9330</t>
  </si>
  <si>
    <t>(47) 9 8444-9573</t>
  </si>
  <si>
    <t>(31) 9 7661-9387</t>
  </si>
  <si>
    <t>(55) 9 8904-9262</t>
  </si>
  <si>
    <t>(34) 9 7412-7926</t>
  </si>
  <si>
    <t>(35) 9 8869-8451</t>
  </si>
  <si>
    <t>(22) 9 9031-7385</t>
  </si>
  <si>
    <t>(15) 9 8428-7775</t>
  </si>
  <si>
    <t>(39) 9 7638-9452</t>
  </si>
  <si>
    <t>(45) 9 7124-7275</t>
  </si>
  <si>
    <t>(13) 9 9484-9096</t>
  </si>
  <si>
    <t>(18) 9 8882-9499</t>
  </si>
  <si>
    <t>(57) 9 8560-9063</t>
  </si>
  <si>
    <t>(26) 9 7050-7819</t>
  </si>
  <si>
    <t>(39) 9 8453-7069</t>
  </si>
  <si>
    <t>(34) 9 9738-8061</t>
  </si>
  <si>
    <t>(50) 9 8968-9173</t>
  </si>
  <si>
    <t>(16) 9 9799-9574</t>
  </si>
  <si>
    <t>(37) 9 9616-9151</t>
  </si>
  <si>
    <t>(56) 9 9424-9569</t>
  </si>
  <si>
    <t>(14) 9 9669-7564</t>
  </si>
  <si>
    <t>(60) 9 9477-9475</t>
  </si>
  <si>
    <t>(16) 9 8429-8047</t>
  </si>
  <si>
    <t>(20) 9 7739-7169</t>
  </si>
  <si>
    <t>(21) 9 8662-8486</t>
  </si>
  <si>
    <t>(39) 9 7117-8550</t>
  </si>
  <si>
    <t>(45) 9 9856-9090</t>
  </si>
  <si>
    <t>(24) 9 7231-7084</t>
  </si>
  <si>
    <t>(42) 9 7794-9590</t>
  </si>
  <si>
    <t>(17) 9 8616-8436</t>
  </si>
  <si>
    <t>(51) 9 9738-9546</t>
  </si>
  <si>
    <t>(14) 9 9500-7437</t>
  </si>
  <si>
    <t>(25) 9 7212-8662</t>
  </si>
  <si>
    <t>(49) 9 7672-9031</t>
  </si>
  <si>
    <t>(41) 9 7815-7986</t>
  </si>
  <si>
    <t>(51) 9 8466-7778</t>
  </si>
  <si>
    <t>(17) 9 7212-9531</t>
  </si>
  <si>
    <t>(58) 9 8790-8119</t>
  </si>
  <si>
    <t>(43) 9 7551-7871</t>
  </si>
  <si>
    <t>(58) 9 7163-7274</t>
  </si>
  <si>
    <t>(25) 9 8120-7759</t>
  </si>
  <si>
    <t>(17) 9 7491-7043</t>
  </si>
  <si>
    <t>(34) 9 8139-8698</t>
  </si>
  <si>
    <t>(11) 9 9600-7438</t>
  </si>
  <si>
    <t>(20) 9 7567-7200</t>
  </si>
  <si>
    <t>(57) 9 7310-7297</t>
  </si>
  <si>
    <t>(20) 9 8062-7560</t>
  </si>
  <si>
    <t>(45) 9 8019-7086</t>
  </si>
  <si>
    <t>(38) 9 8529-9898</t>
  </si>
  <si>
    <t>(41) 9 9081-9805</t>
  </si>
  <si>
    <t>(40) 9 8572-9255</t>
  </si>
  <si>
    <t>(34) 9 9586-7278</t>
  </si>
  <si>
    <t>(49) 9 9475-7479</t>
  </si>
  <si>
    <t>(47) 9 7376-7707</t>
  </si>
  <si>
    <t>(26) 9 9349-7952</t>
  </si>
  <si>
    <t>(39) 9 7300-8440</t>
  </si>
  <si>
    <t>(59) 9 8017-9240</t>
  </si>
  <si>
    <t>(42) 9 8146-7576</t>
  </si>
  <si>
    <t>(26) 9 7612-9583</t>
  </si>
  <si>
    <t>(34) 9 9037-8275</t>
  </si>
  <si>
    <t>(47) 9 8980-8250</t>
  </si>
  <si>
    <t>(14) 9 7188-7191</t>
  </si>
  <si>
    <t>(35) 9 7511-7980</t>
  </si>
  <si>
    <t>(60) 9 8745-8721</t>
  </si>
  <si>
    <t>(60) 9 7577-9703</t>
  </si>
  <si>
    <t>(43) 9 9769-7371</t>
  </si>
  <si>
    <t>(31) 9 8520-7305</t>
  </si>
  <si>
    <t>(55) 9 7997-8737</t>
  </si>
  <si>
    <t>(26) 9 8548-7527</t>
  </si>
  <si>
    <t>(14) 9 8633-8318</t>
  </si>
  <si>
    <t>(41) 9 9544-9847</t>
  </si>
  <si>
    <t>(60) 9 9054-8512</t>
  </si>
  <si>
    <t>(34) 9 9928-7774</t>
  </si>
  <si>
    <t>(55) 9 8943-7918</t>
  </si>
  <si>
    <t>(48) 9 8452-7624</t>
  </si>
  <si>
    <t>(58) 9 7065-9381</t>
  </si>
  <si>
    <t>(20) 9 8343-8576</t>
  </si>
  <si>
    <t>(32) 9 8339-9591</t>
  </si>
  <si>
    <t>(36) 9 7842-8292</t>
  </si>
  <si>
    <t>(58) 9 8225-8141</t>
  </si>
  <si>
    <t>(42) 9 8174-9060</t>
  </si>
  <si>
    <t>(37) 9 7757-7664</t>
  </si>
  <si>
    <t>(54) 9 7537-8704</t>
  </si>
  <si>
    <t>(31) 9 9301-7171</t>
  </si>
  <si>
    <t>(10) 9 8942-7715</t>
  </si>
  <si>
    <t>(31) 9 9956-9703</t>
  </si>
  <si>
    <t>(53) 9 8582-8260</t>
  </si>
  <si>
    <t>(18) 9 8824-8822</t>
  </si>
  <si>
    <t>(23) 9 9039-8744</t>
  </si>
  <si>
    <t>(12) 9 7791-9769</t>
  </si>
  <si>
    <t>(44) 9 9819-9515</t>
  </si>
  <si>
    <t>(51) 9 8246-7467</t>
  </si>
  <si>
    <t>(17) 9 7370-9505</t>
  </si>
  <si>
    <t>(47) 9 7698-9166</t>
  </si>
  <si>
    <t>(14) 9 9168-8324</t>
  </si>
  <si>
    <t>(48) 9 8713-8582</t>
  </si>
  <si>
    <t>(24) 9 8621-7185</t>
  </si>
  <si>
    <t>(48) 9 8653-8681</t>
  </si>
  <si>
    <t>(60) 9 8774-8686</t>
  </si>
  <si>
    <t>(27) 9 8527-7252</t>
  </si>
  <si>
    <t>(46) 9 9982-9979</t>
  </si>
  <si>
    <t>(57) 9 7279-9551</t>
  </si>
  <si>
    <t>(35) 9 7912-8763</t>
  </si>
  <si>
    <t>(43) 9 7204-9904</t>
  </si>
  <si>
    <t>(38) 9 7739-8734</t>
  </si>
  <si>
    <t>(11) 9 9875-8202</t>
  </si>
  <si>
    <t>(21) 9 7912-8427</t>
  </si>
  <si>
    <t>(12) 9 9823-8970</t>
  </si>
  <si>
    <t>(53) 9 7869-9356</t>
  </si>
  <si>
    <t>(44) 9 9272-9642</t>
  </si>
  <si>
    <t>(52) 9 8261-8887</t>
  </si>
  <si>
    <t>(32) 9 8266-7236</t>
  </si>
  <si>
    <t>(39) 9 9640-9564</t>
  </si>
  <si>
    <t>(26) 9 7033-8051</t>
  </si>
  <si>
    <t>(50) 9 7978-9769</t>
  </si>
  <si>
    <t>(56) 9 9390-7389</t>
  </si>
  <si>
    <t>(31) 9 8650-9511</t>
  </si>
  <si>
    <t>(42) 9 7701-9901</t>
  </si>
  <si>
    <t>(39) 9 7606-9127</t>
  </si>
  <si>
    <t>(20) 9 8005-9060</t>
  </si>
  <si>
    <t>(55) 9 7700-8836</t>
  </si>
  <si>
    <t>(32) 9 9569-8743</t>
  </si>
  <si>
    <t>(52) 9 7541-8398</t>
  </si>
  <si>
    <t>(27) 9 8332-7461</t>
  </si>
  <si>
    <t>(16) 9 9294-9878</t>
  </si>
  <si>
    <t>(31) 9 7826-9971</t>
  </si>
  <si>
    <t>(15) 9 8372-9591</t>
  </si>
  <si>
    <t>(45) 9 7861-9625</t>
  </si>
  <si>
    <t>(34) 9 8949-7015</t>
  </si>
  <si>
    <t>(20) 9 9855-8441</t>
  </si>
  <si>
    <t>(19) 9 8445-8432</t>
  </si>
  <si>
    <t>(26) 9 8565-7930</t>
  </si>
  <si>
    <t>(36) 9 8744-7504</t>
  </si>
  <si>
    <t>(45) 9 7328-7893</t>
  </si>
  <si>
    <t>(37) 9 9632-7196</t>
  </si>
  <si>
    <t>(54) 9 7411-8609</t>
  </si>
  <si>
    <t>(21) 9 9100-7414</t>
  </si>
  <si>
    <t>(28) 9 8439-7519</t>
  </si>
  <si>
    <t>(52) 9 8340-9744</t>
  </si>
  <si>
    <t>(23) 9 9917-7921</t>
  </si>
  <si>
    <t>(51) 9 7639-9707</t>
  </si>
  <si>
    <t>(54) 9 9312-7466</t>
  </si>
  <si>
    <t>(33) 9 7906-9869</t>
  </si>
  <si>
    <t>(13) 9 9891-7769</t>
  </si>
  <si>
    <t>(12) 9 7243-9313</t>
  </si>
  <si>
    <t>(46) 9 9769-9176</t>
  </si>
  <si>
    <t>(37) 9 9290-9911</t>
  </si>
  <si>
    <t>(11) 9 7260-8874</t>
  </si>
  <si>
    <t>(36) 9 8165-9293</t>
  </si>
  <si>
    <t>(29) 9 9987-8383</t>
  </si>
  <si>
    <t>(40) 9 8293-7346</t>
  </si>
  <si>
    <t>(25) 9 8968-7729</t>
  </si>
  <si>
    <t>(48) 9 9404-9747</t>
  </si>
  <si>
    <t>(28) 9 7906-7838</t>
  </si>
  <si>
    <t>(13) 9 8792-8414</t>
  </si>
  <si>
    <t>(26) 9 9263-9463</t>
  </si>
  <si>
    <t>(35) 9 7331-9875</t>
  </si>
  <si>
    <t>(31) 9 9070-9590</t>
  </si>
  <si>
    <t>(10) 9 8772-8210</t>
  </si>
  <si>
    <t>(30) 9 9763-9358</t>
  </si>
  <si>
    <t>(35) 9 8321-9503</t>
  </si>
  <si>
    <t>(21) 9 9480-8574</t>
  </si>
  <si>
    <t>(48) 9 7155-9488</t>
  </si>
  <si>
    <t>(47) 9 9847-9344</t>
  </si>
  <si>
    <t>(60) 9 7556-8121</t>
  </si>
  <si>
    <t>(30) 9 8067-8394</t>
  </si>
  <si>
    <t>(14) 9 7256-8337</t>
  </si>
  <si>
    <t>(31) 9 7078-7625</t>
  </si>
  <si>
    <t>(13) 9 7560-7581</t>
  </si>
  <si>
    <t>(15) 9 7004-7185</t>
  </si>
  <si>
    <t>(47) 9 9847-7446</t>
  </si>
  <si>
    <t>(15) 9 7975-8222</t>
  </si>
  <si>
    <t>(60) 9 9641-9929</t>
  </si>
  <si>
    <t>(12) 9 7946-8541</t>
  </si>
  <si>
    <t>(56) 9 8830-8399</t>
  </si>
  <si>
    <t>(22) 9 9417-9207</t>
  </si>
  <si>
    <t>(59) 9 9663-9377</t>
  </si>
  <si>
    <t>(35) 9 8673-7531</t>
  </si>
  <si>
    <t>(11) 9 8370-9394</t>
  </si>
  <si>
    <t>(60) 9 7562-9034</t>
  </si>
  <si>
    <t>(27) 9 7363-7258</t>
  </si>
  <si>
    <t>(21) 9 8669-9628</t>
  </si>
  <si>
    <t>(20) 9 9988-8394</t>
  </si>
  <si>
    <t>(13) 9 7148-8360</t>
  </si>
  <si>
    <t>(24) 9 7653-7734</t>
  </si>
  <si>
    <t>(57) 9 7780-8420</t>
  </si>
  <si>
    <t>(19) 9 9258-7483</t>
  </si>
  <si>
    <t>(60) 9 8347-9277</t>
  </si>
  <si>
    <t>(42) 9 7218-7150</t>
  </si>
  <si>
    <t>(23) 9 9953-8702</t>
  </si>
  <si>
    <t>(36) 9 8280-9425</t>
  </si>
  <si>
    <t>(24) 9 9565-7324</t>
  </si>
  <si>
    <t>(45) 9 9224-7787</t>
  </si>
  <si>
    <t>(37) 9 9892-8767</t>
  </si>
  <si>
    <t>(19) 9 8941-8165</t>
  </si>
  <si>
    <t>(37) 9 9724-9679</t>
  </si>
  <si>
    <t>(46) 9 7061-7412</t>
  </si>
  <si>
    <t>(41) 9 9472-7486</t>
  </si>
  <si>
    <t>(44) 9 8084-7557</t>
  </si>
  <si>
    <t>(40) 9 7554-8365</t>
  </si>
  <si>
    <t>(47) 9 9974-8736</t>
  </si>
  <si>
    <t>(42) 9 9670-8211</t>
  </si>
  <si>
    <t>(56) 9 9375-8699</t>
  </si>
  <si>
    <t>(23) 9 7315-8579</t>
  </si>
  <si>
    <t>(27) 9 7165-8277</t>
  </si>
  <si>
    <t>(52) 9 8348-9260</t>
  </si>
  <si>
    <t>(13) 9 7981-7822</t>
  </si>
  <si>
    <t>(20) 9 7984-7047</t>
  </si>
  <si>
    <t>(19) 9 7257-9361</t>
  </si>
  <si>
    <t>(30) 9 8028-8431</t>
  </si>
  <si>
    <t>(53) 9 7457-9395</t>
  </si>
  <si>
    <t>(51) 9 8865-7370</t>
  </si>
  <si>
    <t>(46) 9 8001-7464</t>
  </si>
  <si>
    <t>(28) 9 8438-8956</t>
  </si>
  <si>
    <t>(36) 9 7678-9868</t>
  </si>
  <si>
    <t>(51) 9 8384-9481</t>
  </si>
  <si>
    <t>(37) 9 9221-8580</t>
  </si>
  <si>
    <t>(21) 9 8697-8912</t>
  </si>
  <si>
    <t>(47) 9 7437-9315</t>
  </si>
  <si>
    <t>(38) 9 7117-9788</t>
  </si>
  <si>
    <t>(33) 9 8231-9415</t>
  </si>
  <si>
    <t>(35) 9 9215-8651</t>
  </si>
  <si>
    <t>(43) 9 7071-8773</t>
  </si>
  <si>
    <t>(45) 9 7664-7291</t>
  </si>
  <si>
    <t>(57) 9 7256-8708</t>
  </si>
  <si>
    <t>(44) 9 7085-9374</t>
  </si>
  <si>
    <t>(24) 9 8379-8487</t>
  </si>
  <si>
    <t>(53) 9 7914-8154</t>
  </si>
  <si>
    <t>(28) 9 8142-7915</t>
  </si>
  <si>
    <t>(23) 9 9031-9186</t>
  </si>
  <si>
    <t>(39) 9 9743-7737</t>
  </si>
  <si>
    <t>(14) 9 9473-8534</t>
  </si>
  <si>
    <t>(49) 9 9777-8543</t>
  </si>
  <si>
    <t>(18) 9 8380-7819</t>
  </si>
  <si>
    <t>(42) 9 9639-7245</t>
  </si>
  <si>
    <t>(21) 9 8106-8104</t>
  </si>
  <si>
    <t>(22) 9 7817-8745</t>
  </si>
  <si>
    <t>(48) 9 9808-8570</t>
  </si>
  <si>
    <t>(31) 9 9100-9801</t>
  </si>
  <si>
    <t>(47) 9 8937-8850</t>
  </si>
  <si>
    <t>(20) 9 9687-8061</t>
  </si>
  <si>
    <t>(51) 9 7417-7239</t>
  </si>
  <si>
    <t>(29) 9 7458-7667</t>
  </si>
  <si>
    <t>(24) 9 8265-8057</t>
  </si>
  <si>
    <t>(15) 9 7201-8361</t>
  </si>
  <si>
    <t>(37) 9 7680-9965</t>
  </si>
  <si>
    <t>(27) 9 8458-8174</t>
  </si>
  <si>
    <t>(11) 9 9363-9862</t>
  </si>
  <si>
    <t>(49) 9 9394-8800</t>
  </si>
  <si>
    <t>(60) 9 8233-8717</t>
  </si>
  <si>
    <t>(59) 9 7823-7343</t>
  </si>
  <si>
    <t>(16) 9 9153-7215</t>
  </si>
  <si>
    <t>(16) 9 8068-7184</t>
  </si>
  <si>
    <t>(20) 9 8800-9282</t>
  </si>
  <si>
    <t>(11) 9 7771-9744</t>
  </si>
  <si>
    <t>(15) 9 8768-8810</t>
  </si>
  <si>
    <t>(10) 9 9101-8457</t>
  </si>
  <si>
    <t>(33) 9 9948-7303</t>
  </si>
  <si>
    <t>(29) 9 7697-7611</t>
  </si>
  <si>
    <t>(34) 9 7916-9823</t>
  </si>
  <si>
    <t>(21) 9 8375-9811</t>
  </si>
  <si>
    <t>(53) 9 8057-8601</t>
  </si>
  <si>
    <t>(59) 9 7467-9045</t>
  </si>
  <si>
    <t>(30) 9 9071-8226</t>
  </si>
  <si>
    <t>(36) 9 8967-8887</t>
  </si>
  <si>
    <t>(43) 9 9366-9770</t>
  </si>
  <si>
    <t>(15) 9 8808-8366</t>
  </si>
  <si>
    <t>(48) 9 8849-9774</t>
  </si>
  <si>
    <t>(41) 9 9813-9271</t>
  </si>
  <si>
    <t>(40) 9 9086-7180</t>
  </si>
  <si>
    <t>(60) 9 7543-8712</t>
  </si>
  <si>
    <t>(27) 9 7613-9843</t>
  </si>
  <si>
    <t>(26) 9 7626-8333</t>
  </si>
  <si>
    <t>(48) 9 8527-8027</t>
  </si>
  <si>
    <t>(58) 9 8177-8440</t>
  </si>
  <si>
    <t>(27) 9 8719-9858</t>
  </si>
  <si>
    <t>(56) 9 8095-7657</t>
  </si>
  <si>
    <t>(11) 9 8404-7097</t>
  </si>
  <si>
    <t>(56) 9 8258-7806</t>
  </si>
  <si>
    <t>(34) 9 8158-9970</t>
  </si>
  <si>
    <t>(39) 9 7233-7924</t>
  </si>
  <si>
    <t>(11) 9 9315-8982</t>
  </si>
  <si>
    <t>(28) 9 8412-9681</t>
  </si>
  <si>
    <t>(36) 9 8524-7030</t>
  </si>
  <si>
    <t>(31) 9 9818-7246</t>
  </si>
  <si>
    <t>(44) 9 9098-8510</t>
  </si>
  <si>
    <t>(51) 9 8950-7816</t>
  </si>
  <si>
    <t>(57) 9 8187-8307</t>
  </si>
  <si>
    <t>(43) 9 7338-9840</t>
  </si>
  <si>
    <t>(17) 9 8672-9233</t>
  </si>
  <si>
    <t>(13) 9 9058-8598</t>
  </si>
  <si>
    <t>(12) 9 9044-7835</t>
  </si>
  <si>
    <t>(15) 9 9367-8913</t>
  </si>
  <si>
    <t>(37) 9 9594-7710</t>
  </si>
  <si>
    <t>(37) 9 9233-8334</t>
  </si>
  <si>
    <t>(34) 9 9989-8431</t>
  </si>
  <si>
    <t>(49) 9 9338-9419</t>
  </si>
  <si>
    <t>(51) 9 8919-9791</t>
  </si>
  <si>
    <t>(10) 9 7441-9992</t>
  </si>
  <si>
    <t>(48) 9 9076-9393</t>
  </si>
  <si>
    <t>(14) 9 7103-8920</t>
  </si>
  <si>
    <t>(21) 9 8854-8476</t>
  </si>
  <si>
    <t>(17) 9 7422-8912</t>
  </si>
  <si>
    <t>(17) 9 8527-7741</t>
  </si>
  <si>
    <t>(45) 9 9254-9718</t>
  </si>
  <si>
    <t>(21) 9 7854-7961</t>
  </si>
  <si>
    <t>(46) 9 8437-8814</t>
  </si>
  <si>
    <t>(24) 9 9297-8538</t>
  </si>
  <si>
    <t>(29) 9 8018-8214</t>
  </si>
  <si>
    <t>(23) 9 8587-7545</t>
  </si>
  <si>
    <t>(46) 9 7301-7724</t>
  </si>
  <si>
    <t>(13) 9 7168-7491</t>
  </si>
  <si>
    <t>(26) 9 7322-8216</t>
  </si>
  <si>
    <t>(20) 9 9733-8761</t>
  </si>
  <si>
    <t>(23) 9 8737-7606</t>
  </si>
  <si>
    <t>(52) 9 7107-8180</t>
  </si>
  <si>
    <t>(35) 9 8184-9550</t>
  </si>
  <si>
    <t>(30) 9 7704-9192</t>
  </si>
  <si>
    <t>(21) 9 9729-7489</t>
  </si>
  <si>
    <t>(48) 9 7908-8956</t>
  </si>
  <si>
    <t>(56) 9 9137-8740</t>
  </si>
  <si>
    <t>(27) 9 7041-7114</t>
  </si>
  <si>
    <t>(23) 9 7904-9297</t>
  </si>
  <si>
    <t>(58) 9 7900-8510</t>
  </si>
  <si>
    <t>(51) 9 9010-8295</t>
  </si>
  <si>
    <t>(35) 9 7392-8001</t>
  </si>
  <si>
    <t>(59) 9 7697-8166</t>
  </si>
  <si>
    <t>(41) 9 8838-7814</t>
  </si>
  <si>
    <t>(53) 9 8514-9237</t>
  </si>
  <si>
    <t>(28) 9 9357-8531</t>
  </si>
  <si>
    <t>(60) 9 9265-7483</t>
  </si>
  <si>
    <t>(20) 9 9918-7453</t>
  </si>
  <si>
    <t>(26) 9 9073-7245</t>
  </si>
  <si>
    <t>(24) 9 8766-7711</t>
  </si>
  <si>
    <t>(16) 9 9518-9246</t>
  </si>
  <si>
    <t>(58) 9 8582-9399</t>
  </si>
  <si>
    <t>(39) 9 9794-9924</t>
  </si>
  <si>
    <t>(45) 9 7866-8796</t>
  </si>
  <si>
    <t>(41) 9 9640-9462</t>
  </si>
  <si>
    <t>(25) 9 8295-7486</t>
  </si>
  <si>
    <t>(38) 9 7669-8833</t>
  </si>
  <si>
    <t>(39) 9 9103-9252</t>
  </si>
  <si>
    <t>(35) 9 7033-7068</t>
  </si>
  <si>
    <t>(59) 9 8017-9797</t>
  </si>
  <si>
    <t>(35) 9 9482-8291</t>
  </si>
  <si>
    <t>(49) 9 8050-8369</t>
  </si>
  <si>
    <t>(13) 9 9850-7686</t>
  </si>
  <si>
    <t>(55) 9 9043-9425</t>
  </si>
  <si>
    <t>(32) 9 9056-7685</t>
  </si>
  <si>
    <t>(34) 9 9598-7492</t>
  </si>
  <si>
    <t>(25) 9 7431-9970</t>
  </si>
  <si>
    <t>(59) 9 9140-8824</t>
  </si>
  <si>
    <t>(45) 9 9156-7741</t>
  </si>
  <si>
    <t>(38) 9 9499-7324</t>
  </si>
  <si>
    <t>(59) 9 8505-9829</t>
  </si>
  <si>
    <t>(34) 9 9911-7987</t>
  </si>
  <si>
    <t>(59) 9 9486-7603</t>
  </si>
  <si>
    <t>(20) 9 7381-9366</t>
  </si>
  <si>
    <t>(26) 9 8576-7511</t>
  </si>
  <si>
    <t>(59) 9 8682-8348</t>
  </si>
  <si>
    <t>(35) 9 9778-7596</t>
  </si>
  <si>
    <t>(51) 9 9540-9976</t>
  </si>
  <si>
    <t>(38) 9 8311-9975</t>
  </si>
  <si>
    <t>(14) 9 9501-7606</t>
  </si>
  <si>
    <t>(28) 9 9249-7926</t>
  </si>
  <si>
    <t>(51) 9 7295-8606</t>
  </si>
  <si>
    <t>(36) 9 8656-8774</t>
  </si>
  <si>
    <t>(25) 9 9072-8285</t>
  </si>
  <si>
    <t>(37) 9 8631-8184</t>
  </si>
  <si>
    <t>(35) 9 8795-9188</t>
  </si>
  <si>
    <t>(37) 9 9418-8853</t>
  </si>
  <si>
    <t>(44) 9 7059-9837</t>
  </si>
  <si>
    <t>(31) 9 9126-9910</t>
  </si>
  <si>
    <t>(59) 9 8420-9689</t>
  </si>
  <si>
    <t>(26) 9 9676-7093</t>
  </si>
  <si>
    <t>(25) 9 9277-7469</t>
  </si>
  <si>
    <t>(17) 9 7845-7902</t>
  </si>
  <si>
    <t>(23) 9 7099-8016</t>
  </si>
  <si>
    <t>(50) 9 7950-7455</t>
  </si>
  <si>
    <t>(40) 9 8668-9202</t>
  </si>
  <si>
    <t>(56) 9 7406-9112</t>
  </si>
  <si>
    <t>(46) 9 9804-7258</t>
  </si>
  <si>
    <t>(31) 9 9155-7896</t>
  </si>
  <si>
    <t>(52) 9 7977-8216</t>
  </si>
  <si>
    <t>(58) 9 9160-7452</t>
  </si>
  <si>
    <t>(39) 9 8436-9338</t>
  </si>
  <si>
    <t>(28) 9 9054-8970</t>
  </si>
  <si>
    <t>(44) 9 8543-8431</t>
  </si>
  <si>
    <t>(23) 9 7794-8690</t>
  </si>
  <si>
    <t>(15) 9 8567-8134</t>
  </si>
  <si>
    <t>(12) 9 9037-9326</t>
  </si>
  <si>
    <t>(54) 9 7129-7455</t>
  </si>
  <si>
    <t>(15) 9 9655-9859</t>
  </si>
  <si>
    <t>(35) 9 9113-8099</t>
  </si>
  <si>
    <t>(24) 9 9011-9306</t>
  </si>
  <si>
    <t>(53) 9 8375-8321</t>
  </si>
  <si>
    <t>(47) 9 8447-7291</t>
  </si>
  <si>
    <t>(58) 9 7926-7617</t>
  </si>
  <si>
    <t>(34) 9 9933-7451</t>
  </si>
  <si>
    <t>(40) 9 8458-9162</t>
  </si>
  <si>
    <t>(36) 9 8951-8246</t>
  </si>
  <si>
    <t>(54) 9 8391-8859</t>
  </si>
  <si>
    <t>(31) 9 7824-8470</t>
  </si>
  <si>
    <t>(39) 9 9450-9722</t>
  </si>
  <si>
    <t>(35) 9 7522-8068</t>
  </si>
  <si>
    <t>(51) 9 8956-8362</t>
  </si>
  <si>
    <t>(30) 9 9575-8437</t>
  </si>
  <si>
    <t>(36) 9 7991-7000</t>
  </si>
  <si>
    <t>(49) 9 7924-8972</t>
  </si>
  <si>
    <t>(32) 9 8734-7117</t>
  </si>
  <si>
    <t>(10) 9 8507-8452</t>
  </si>
  <si>
    <t>(45) 9 8457-7642</t>
  </si>
  <si>
    <t>(33) 9 8255-8883</t>
  </si>
  <si>
    <t>(60) 9 7053-9706</t>
  </si>
  <si>
    <t>(21) 9 8178-8782</t>
  </si>
  <si>
    <t>(43) 9 8401-9727</t>
  </si>
  <si>
    <t>(56) 9 9583-9841</t>
  </si>
  <si>
    <t>(59) 9 7688-9103</t>
  </si>
  <si>
    <t>(60) 9 9892-7411</t>
  </si>
  <si>
    <t>(43) 9 9671-9510</t>
  </si>
  <si>
    <t>(15) 9 9448-8891</t>
  </si>
  <si>
    <t>(21) 9 8365-7730</t>
  </si>
  <si>
    <t>(14) 9 8320-9336</t>
  </si>
  <si>
    <t>(40) 9 8199-7265</t>
  </si>
  <si>
    <t>(27) 9 8993-8856</t>
  </si>
  <si>
    <t>(60) 9 7083-8786</t>
  </si>
  <si>
    <t>(40) 9 7519-9500</t>
  </si>
  <si>
    <t>(39) 9 7078-7076</t>
  </si>
  <si>
    <t>(55) 9 8342-8082</t>
  </si>
  <si>
    <t>(10) 9 7250-8987</t>
  </si>
  <si>
    <t>(58) 9 8929-7126</t>
  </si>
  <si>
    <t>(10) 9 9824-8129</t>
  </si>
  <si>
    <t>(28) 9 9345-9374</t>
  </si>
  <si>
    <t>(49) 9 7358-8439</t>
  </si>
  <si>
    <t>(17) 9 7769-8122</t>
  </si>
  <si>
    <t>(52) 9 9290-7520</t>
  </si>
  <si>
    <t>(53) 9 8323-8582</t>
  </si>
  <si>
    <t>(31) 9 9739-9072</t>
  </si>
  <si>
    <t>(31) 9 7296-9764</t>
  </si>
  <si>
    <t>(52) 9 8943-7707</t>
  </si>
  <si>
    <t>(22) 9 7037-7334</t>
  </si>
  <si>
    <t>(33) 9 9809-7162</t>
  </si>
  <si>
    <t>(51) 9 7489-7595</t>
  </si>
  <si>
    <t>(56) 9 9003-9116</t>
  </si>
  <si>
    <t>(22) 9 7690-8035</t>
  </si>
  <si>
    <t>(28) 9 9131-7951</t>
  </si>
  <si>
    <t>(15) 9 8010-7515</t>
  </si>
  <si>
    <t>(13) 9 9661-8047</t>
  </si>
  <si>
    <t>(30) 9 8108-8876</t>
  </si>
  <si>
    <t>(37) 9 8297-8588</t>
  </si>
  <si>
    <t>(38) 9 9939-8113</t>
  </si>
  <si>
    <t>(19) 9 9868-7145</t>
  </si>
  <si>
    <t>(57) 9 9420-8171</t>
  </si>
  <si>
    <t>(11) 9 9998-9582</t>
  </si>
  <si>
    <t>(27) 9 7727-7414</t>
  </si>
  <si>
    <t>(22) 9 7830-7140</t>
  </si>
  <si>
    <t>(29) 9 7322-9383</t>
  </si>
  <si>
    <t>(21) 9 8525-8867</t>
  </si>
  <si>
    <t>(22) 9 7294-7157</t>
  </si>
  <si>
    <t>(48) 9 9560-9294</t>
  </si>
  <si>
    <t>(19) 9 9493-7453</t>
  </si>
  <si>
    <t>(54) 9 9870-9870</t>
  </si>
  <si>
    <t>(10) 9 7411-9358</t>
  </si>
  <si>
    <t>(48) 9 9549-7114</t>
  </si>
  <si>
    <t>(60) 9 9688-7274</t>
  </si>
  <si>
    <t>(30) 9 8419-7154</t>
  </si>
  <si>
    <t>(24) 9 8605-8298</t>
  </si>
  <si>
    <t>(52) 9 8081-7271</t>
  </si>
  <si>
    <t>(25) 9 8771-9056</t>
  </si>
  <si>
    <t>(38) 9 9864-9051</t>
  </si>
  <si>
    <t>(13) 9 8250-7862</t>
  </si>
  <si>
    <t>(35) 9 7039-9757</t>
  </si>
  <si>
    <t>(30) 9 8148-9354</t>
  </si>
  <si>
    <t>(33) 9 7724-8145</t>
  </si>
  <si>
    <t>(31) 9 8729-8187</t>
  </si>
  <si>
    <t>(48) 9 7463-9823</t>
  </si>
  <si>
    <t>(36) 9 7561-9761</t>
  </si>
  <si>
    <t>(13) 9 8027-7357</t>
  </si>
  <si>
    <t>(15) 9 7083-8860</t>
  </si>
  <si>
    <t>(35) 9 9940-7319</t>
  </si>
  <si>
    <t>(22) 9 9533-7392</t>
  </si>
  <si>
    <t>(21) 9 8622-7588</t>
  </si>
  <si>
    <t>(13) 9 9244-7225</t>
  </si>
  <si>
    <t>(59) 9 7677-7786</t>
  </si>
  <si>
    <t>(53) 9 7748-9534</t>
  </si>
  <si>
    <t>(39) 9 8036-8626</t>
  </si>
  <si>
    <t>(27) 9 9442-9283</t>
  </si>
  <si>
    <t>(10) 9 9525-8940</t>
  </si>
  <si>
    <t>(30) 9 7415-9267</t>
  </si>
  <si>
    <t>(53) 9 8250-9255</t>
  </si>
  <si>
    <t>(36) 9 9005-9264</t>
  </si>
  <si>
    <t>(34) 9 9438-7788</t>
  </si>
  <si>
    <t>(28) 9 9296-8370</t>
  </si>
  <si>
    <t>(45) 9 8530-7095</t>
  </si>
  <si>
    <t>(43) 9 8410-8305</t>
  </si>
  <si>
    <t>(42) 9 8153-8862</t>
  </si>
  <si>
    <t>(15) 9 9365-8147</t>
  </si>
  <si>
    <t>(35) 9 9669-8566</t>
  </si>
  <si>
    <t>(33) 9 8886-8124</t>
  </si>
  <si>
    <t>(44) 9 9730-8683</t>
  </si>
  <si>
    <t>(34) 9 8561-7351</t>
  </si>
  <si>
    <t>(38) 9 9526-8528</t>
  </si>
  <si>
    <t>(20) 9 7756-8109</t>
  </si>
  <si>
    <t>(39) 9 9828-9199</t>
  </si>
  <si>
    <t>(30) 9 9058-7118</t>
  </si>
  <si>
    <t>(43) 9 7241-9150</t>
  </si>
  <si>
    <t>(23) 9 7221-7132</t>
  </si>
  <si>
    <t>(31) 9 8383-7028</t>
  </si>
  <si>
    <t>(37) 9 8461-8430</t>
  </si>
  <si>
    <t>(30) 9 8653-7453</t>
  </si>
  <si>
    <t>(44) 9 7712-9778</t>
  </si>
  <si>
    <t>(30) 9 7145-8306</t>
  </si>
  <si>
    <t>(18) 9 9686-9656</t>
  </si>
  <si>
    <t>(54) 9 8770-9440</t>
  </si>
  <si>
    <t>(54) 9 7363-9417</t>
  </si>
  <si>
    <t>(14) 9 8793-7849</t>
  </si>
  <si>
    <t>(17) 9 9419-7099</t>
  </si>
  <si>
    <t>(32) 9 7249-9401</t>
  </si>
  <si>
    <t>(44) 9 7814-9514</t>
  </si>
  <si>
    <t>(21) 9 8260-9643</t>
  </si>
  <si>
    <t>(29) 9 8533-7229</t>
  </si>
  <si>
    <t>(20) 9 9592-8506</t>
  </si>
  <si>
    <t>(23) 9 9608-8007</t>
  </si>
  <si>
    <t>(58) 9 8733-8687</t>
  </si>
  <si>
    <t>(37) 9 8001-7041</t>
  </si>
  <si>
    <t>(57) 9 8081-9564</t>
  </si>
  <si>
    <t>(18) 9 8147-9571</t>
  </si>
  <si>
    <t>(13) 9 9102-9592</t>
  </si>
  <si>
    <t>(43) 9 7279-7880</t>
  </si>
  <si>
    <t>(42) 9 9863-7027</t>
  </si>
  <si>
    <t>(49) 9 8542-8757</t>
  </si>
  <si>
    <t>(36) 9 8686-7815</t>
  </si>
  <si>
    <t>(34) 9 7135-9550</t>
  </si>
  <si>
    <t>(56) 9 9357-8453</t>
  </si>
  <si>
    <t>(25) 9 7045-9721</t>
  </si>
  <si>
    <t>(25) 9 8731-8256</t>
  </si>
  <si>
    <t>(11) 9 9093-9024</t>
  </si>
  <si>
    <t>(25) 9 7186-9407</t>
  </si>
  <si>
    <t>(49) 9 8410-8821</t>
  </si>
  <si>
    <t>(21) 9 8648-9532</t>
  </si>
  <si>
    <t>(28) 9 7455-8942</t>
  </si>
  <si>
    <t>(31) 9 9956-8906</t>
  </si>
  <si>
    <t>(22) 9 8184-8275</t>
  </si>
  <si>
    <t>(30) 9 9492-7323</t>
  </si>
  <si>
    <t>(20) 9 8727-8486</t>
  </si>
  <si>
    <t>(18) 9 7245-8101</t>
  </si>
  <si>
    <t>(10) 9 8602-8428</t>
  </si>
  <si>
    <t>(45) 9 9273-8683</t>
  </si>
  <si>
    <t>(12) 9 9571-9078</t>
  </si>
  <si>
    <t>(45) 9 8389-7914</t>
  </si>
  <si>
    <t>(41) 9 9019-9077</t>
  </si>
  <si>
    <t>(17) 9 8237-7360</t>
  </si>
  <si>
    <t>(29) 9 8341-7570</t>
  </si>
  <si>
    <t>(24) 9 9947-8105</t>
  </si>
  <si>
    <t>(42) 9 8771-8786</t>
  </si>
  <si>
    <t>(26) 9 9044-9997</t>
  </si>
  <si>
    <t>(29) 9 7554-7974</t>
  </si>
  <si>
    <t>(50) 9 7437-7778</t>
  </si>
  <si>
    <t>(34) 9 8999-8415</t>
  </si>
  <si>
    <t>(42) 9 7551-9593</t>
  </si>
  <si>
    <t>(14) 9 8513-8951</t>
  </si>
  <si>
    <t>(16) 9 9833-9967</t>
  </si>
  <si>
    <t>(22) 9 9534-8333</t>
  </si>
  <si>
    <t>(57) 9 8191-9922</t>
  </si>
  <si>
    <t>(17) 9 7319-7175</t>
  </si>
  <si>
    <t>(60) 9 8597-7792</t>
  </si>
  <si>
    <t>(15) 9 8445-7074</t>
  </si>
  <si>
    <t>(57) 9 7380-7610</t>
  </si>
  <si>
    <t>(35) 9 8134-7777</t>
  </si>
  <si>
    <t>(26) 9 8877-7076</t>
  </si>
  <si>
    <t>(31) 9 7581-7985</t>
  </si>
  <si>
    <t>(33) 9 7318-7815</t>
  </si>
  <si>
    <t>(54) 9 8709-9708</t>
  </si>
  <si>
    <t>(19) 9 7728-8053</t>
  </si>
  <si>
    <t>(29) 9 8675-9058</t>
  </si>
  <si>
    <t>(55) 9 9997-8840</t>
  </si>
  <si>
    <t>(55) 9 7811-7526</t>
  </si>
  <si>
    <t>(15) 9 7480-8673</t>
  </si>
  <si>
    <t>(45) 9 9858-8057</t>
  </si>
  <si>
    <t>(32) 9 7567-7294</t>
  </si>
  <si>
    <t>(51) 9 8958-8564</t>
  </si>
  <si>
    <t>(52) 9 9380-8432</t>
  </si>
  <si>
    <t>(25) 9 7736-7967</t>
  </si>
  <si>
    <t>(31) 9 9668-9818</t>
  </si>
  <si>
    <t>(43) 9 8064-9220</t>
  </si>
  <si>
    <t>(17) 9 7622-8305</t>
  </si>
  <si>
    <t>O que será transmido nesta aula</t>
  </si>
  <si>
    <t>Diferença entre Tabela e Intervalo</t>
  </si>
  <si>
    <t xml:space="preserve">editar um intervalo </t>
  </si>
  <si>
    <t>Soma, Somase, Somases</t>
  </si>
  <si>
    <t>conta, contavalores , contase, etc..</t>
  </si>
  <si>
    <t>Procv valor aproximado e extado</t>
  </si>
  <si>
    <t>Se, E , OU Se composto</t>
  </si>
  <si>
    <t>Formatação Condicional</t>
  </si>
  <si>
    <t>Tratamento de dados</t>
  </si>
  <si>
    <t xml:space="preserve">Mês </t>
  </si>
  <si>
    <t>joaquim.miguel593@gmail.com</t>
  </si>
  <si>
    <t>Valor_Produto</t>
  </si>
  <si>
    <t>ID</t>
  </si>
  <si>
    <t>Quantidade Vendida</t>
  </si>
  <si>
    <t>Região</t>
  </si>
  <si>
    <t>Preço Unitário</t>
  </si>
  <si>
    <t>Desconto (%)</t>
  </si>
  <si>
    <t>Lucro</t>
  </si>
  <si>
    <t>Bruno Barbosa</t>
  </si>
  <si>
    <t>bruno.barbosa1@gmail.com</t>
  </si>
  <si>
    <t>Bié</t>
  </si>
  <si>
    <t>Paulo Pinto</t>
  </si>
  <si>
    <t>paulo.pinto2@gmail.com</t>
  </si>
  <si>
    <t>Huíla</t>
  </si>
  <si>
    <t>Fátima Fernandes</t>
  </si>
  <si>
    <t>fátima.fernandes3@gmail.com</t>
  </si>
  <si>
    <t>Icolo e Bengo</t>
  </si>
  <si>
    <t>Samuel Monteiro</t>
  </si>
  <si>
    <t>samuel.monteiro4@gmail.com</t>
  </si>
  <si>
    <t>Malanje</t>
  </si>
  <si>
    <t>Joaquim Lopes</t>
  </si>
  <si>
    <t>joaquim.lopes5@gmail.com</t>
  </si>
  <si>
    <t>Namibe</t>
  </si>
  <si>
    <t>Manuel Almeida</t>
  </si>
  <si>
    <t>manuel.almeida6@gmail.com</t>
  </si>
  <si>
    <t>Lunda Sul</t>
  </si>
  <si>
    <t>Samuel David</t>
  </si>
  <si>
    <t>samuel.david7@gmail.com</t>
  </si>
  <si>
    <t>Moxico Leste</t>
  </si>
  <si>
    <t>António Gomes</t>
  </si>
  <si>
    <t>antónio.gomes8@gmail.com</t>
  </si>
  <si>
    <t>Uíge</t>
  </si>
  <si>
    <t>António Fernandes</t>
  </si>
  <si>
    <t>antónio.fernandes9@gmail.com</t>
  </si>
  <si>
    <t>Moxico</t>
  </si>
  <si>
    <t>Benedito Barbosa</t>
  </si>
  <si>
    <t>benedito.barbosa10@gmail.com</t>
  </si>
  <si>
    <t>Carlos Lukeba</t>
  </si>
  <si>
    <t>carlos.lukeba11@gmail.com</t>
  </si>
  <si>
    <t>Benguela</t>
  </si>
  <si>
    <t>David Santos</t>
  </si>
  <si>
    <t>david.santos12@gmail.com</t>
  </si>
  <si>
    <t>Pedro Lopes</t>
  </si>
  <si>
    <t>pedro.lopes13@gmail.com</t>
  </si>
  <si>
    <t>Huambo</t>
  </si>
  <si>
    <t>Marta Miguel</t>
  </si>
  <si>
    <t>marta.miguel14@gmail.com</t>
  </si>
  <si>
    <t>Zaire</t>
  </si>
  <si>
    <t>Helena Miguel</t>
  </si>
  <si>
    <t>helena.miguel15@gmail.com</t>
  </si>
  <si>
    <t>Luís Fernandes</t>
  </si>
  <si>
    <t>luís.fernandes16@gmail.com</t>
  </si>
  <si>
    <t>Bruno Lopes</t>
  </si>
  <si>
    <t>bruno.lopes17@gmail.com</t>
  </si>
  <si>
    <t>Benedito David</t>
  </si>
  <si>
    <t>benedito.david18@gmail.com</t>
  </si>
  <si>
    <t>Sofia Costa</t>
  </si>
  <si>
    <t>sofia.costa19@gmail.com</t>
  </si>
  <si>
    <t>Isabel Andrade</t>
  </si>
  <si>
    <t>isabel.andrade20@gmail.com</t>
  </si>
  <si>
    <t>Lunda Norte</t>
  </si>
  <si>
    <t>António Soares</t>
  </si>
  <si>
    <t>antónio.soares21@gmail.com</t>
  </si>
  <si>
    <t>Daniel Pinto</t>
  </si>
  <si>
    <t>daniel.pinto22@gmail.com</t>
  </si>
  <si>
    <t>Luanda</t>
  </si>
  <si>
    <t>Maria Fernandes</t>
  </si>
  <si>
    <t>maria.fernandes23@gmail.com</t>
  </si>
  <si>
    <t>samuel.david24@gmail.com</t>
  </si>
  <si>
    <t>Rui Tavares</t>
  </si>
  <si>
    <t>rui.tavares25@gmail.com</t>
  </si>
  <si>
    <t>Cabinda</t>
  </si>
  <si>
    <t>Rui Domingues</t>
  </si>
  <si>
    <t>rui.domingues26@gmail.com</t>
  </si>
  <si>
    <t>Cubango</t>
  </si>
  <si>
    <t>Isabel Pinto</t>
  </si>
  <si>
    <t>isabel.pinto27@gmail.com</t>
  </si>
  <si>
    <t>Fátima Rodrigues</t>
  </si>
  <si>
    <t>fátima.rodrigues28@gmail.com</t>
  </si>
  <si>
    <t>António David</t>
  </si>
  <si>
    <t>antónio.david29@gmail.com</t>
  </si>
  <si>
    <t>Pedro Lukeba</t>
  </si>
  <si>
    <t>pedro.lukeba30@gmail.com</t>
  </si>
  <si>
    <t>Maria Monteiro</t>
  </si>
  <si>
    <t>maria.monteiro31@gmail.com</t>
  </si>
  <si>
    <t>Ana Gomes</t>
  </si>
  <si>
    <t>ana.gomes32@gmail.com</t>
  </si>
  <si>
    <t>Samuel Martins</t>
  </si>
  <si>
    <t>samuel.martins33@gmail.com</t>
  </si>
  <si>
    <t>José David</t>
  </si>
  <si>
    <t>josé.david34@gmail.com</t>
  </si>
  <si>
    <t>Cuanza Norte</t>
  </si>
  <si>
    <t>Paulo Martins</t>
  </si>
  <si>
    <t>paulo.martins35@gmail.com</t>
  </si>
  <si>
    <t>Fátima Pinto</t>
  </si>
  <si>
    <t>fátima.pinto36@gmail.com</t>
  </si>
  <si>
    <t>Francisco Soares</t>
  </si>
  <si>
    <t>francisco.soares37@gmail.com</t>
  </si>
  <si>
    <t>Adriano Rodrigues</t>
  </si>
  <si>
    <t>adriano.rodrigues38@gmail.com</t>
  </si>
  <si>
    <t>Manuel Andrade</t>
  </si>
  <si>
    <t>manuel.andrade39@gmail.com</t>
  </si>
  <si>
    <t>Bengo</t>
  </si>
  <si>
    <t>Sofia Pereira</t>
  </si>
  <si>
    <t>sofia.pereira40@gmail.com</t>
  </si>
  <si>
    <t>António Santos</t>
  </si>
  <si>
    <t>antónio.santos41@gmail.com</t>
  </si>
  <si>
    <t>Mateus Pereira</t>
  </si>
  <si>
    <t>mateus.pereira42@gmail.com</t>
  </si>
  <si>
    <t>Ana Tavares</t>
  </si>
  <si>
    <t>ana.tavares43@gmail.com</t>
  </si>
  <si>
    <t>Benedito Santos</t>
  </si>
  <si>
    <t>benedito.santos44@gmail.com</t>
  </si>
  <si>
    <t>Cuanza Sul</t>
  </si>
  <si>
    <t>Cláudia Fernandes</t>
  </si>
  <si>
    <t>cláudia.fernandes45@gmail.com</t>
  </si>
  <si>
    <t>Paulo Pereira</t>
  </si>
  <si>
    <t>paulo.pereira46@gmail.com</t>
  </si>
  <si>
    <t>José Lopes</t>
  </si>
  <si>
    <t>josé.lopes47@gmail.com</t>
  </si>
  <si>
    <t>Joaquim Tavares</t>
  </si>
  <si>
    <t>joaquim.tavares48@gmail.com</t>
  </si>
  <si>
    <t>Benedito Lukeba</t>
  </si>
  <si>
    <t>benedito.lukeba49@gmail.com</t>
  </si>
  <si>
    <t>Teresa Soares</t>
  </si>
  <si>
    <t>teresa.soares50@gmail.com</t>
  </si>
  <si>
    <t>Carlos Martins</t>
  </si>
  <si>
    <t>carlos.martins51@gmail.com</t>
  </si>
  <si>
    <t>Maria Martins</t>
  </si>
  <si>
    <t>maria.martins52@gmail.com</t>
  </si>
  <si>
    <t>isabel.andrade53@gmail.com</t>
  </si>
  <si>
    <t>Pedro Pereira</t>
  </si>
  <si>
    <t>pedro.pereira54@gmail.com</t>
  </si>
  <si>
    <t>Helena Silva</t>
  </si>
  <si>
    <t>helena.silva55@gmail.com</t>
  </si>
  <si>
    <t>Cunene</t>
  </si>
  <si>
    <t>Benedito Gomes</t>
  </si>
  <si>
    <t>benedito.gomes56@gmail.com</t>
  </si>
  <si>
    <t>Manuel Costa</t>
  </si>
  <si>
    <t>manuel.costa57@gmail.com</t>
  </si>
  <si>
    <t>Domingos Fernandes</t>
  </si>
  <si>
    <t>domingos.fernandes58@gmail.com</t>
  </si>
  <si>
    <t>domingos.fernandes59@gmail.com</t>
  </si>
  <si>
    <t>Nelson Silva</t>
  </si>
  <si>
    <t>nelson.silva60@gmail.com</t>
  </si>
  <si>
    <t>Teresa Almeida</t>
  </si>
  <si>
    <t>teresa.almeida61@gmail.com</t>
  </si>
  <si>
    <t>Mateus Lopes</t>
  </si>
  <si>
    <t>mateus.lopes62@gmail.com</t>
  </si>
  <si>
    <t>Adriano Pinto</t>
  </si>
  <si>
    <t>adriano.pinto63@gmail.com</t>
  </si>
  <si>
    <t>rui.tavares64@gmail.com</t>
  </si>
  <si>
    <t>Paulo Fernandes</t>
  </si>
  <si>
    <t>paulo.fernandes65@gmail.com</t>
  </si>
  <si>
    <t>Adriano Santos</t>
  </si>
  <si>
    <t>adriano.santos66@gmail.com</t>
  </si>
  <si>
    <t>Daniel Soares</t>
  </si>
  <si>
    <t>daniel.soares67@gmail.com</t>
  </si>
  <si>
    <t>António Costa</t>
  </si>
  <si>
    <t>antónio.costa68@gmail.com</t>
  </si>
  <si>
    <t>Luís Monteiro</t>
  </si>
  <si>
    <t>luís.monteiro69@gmail.com</t>
  </si>
  <si>
    <t>Isabel David</t>
  </si>
  <si>
    <t>isabel.david70@gmail.com</t>
  </si>
  <si>
    <t>Adriano Soares</t>
  </si>
  <si>
    <t>adriano.soares71@gmail.com</t>
  </si>
  <si>
    <t>Cláudia Costa</t>
  </si>
  <si>
    <t>cláudia.costa72@gmail.com</t>
  </si>
  <si>
    <t>Daniel Domingues</t>
  </si>
  <si>
    <t>daniel.domingues73@gmail.com</t>
  </si>
  <si>
    <t>João Gomes</t>
  </si>
  <si>
    <t>joão.gomes74@gmail.com</t>
  </si>
  <si>
    <t>Fátima Silva</t>
  </si>
  <si>
    <t>fátima.silva75@gmail.com</t>
  </si>
  <si>
    <t>Manuel David</t>
  </si>
  <si>
    <t>manuel.david76@gmail.com</t>
  </si>
  <si>
    <t>António Pereira</t>
  </si>
  <si>
    <t>antónio.pereira77@gmail.com</t>
  </si>
  <si>
    <t>Isabel Monteiro</t>
  </si>
  <si>
    <t>isabel.monteiro78@gmail.com</t>
  </si>
  <si>
    <t>Paulo Lopes</t>
  </si>
  <si>
    <t>paulo.lopes79@gmail.com</t>
  </si>
  <si>
    <t>Manuel Santos</t>
  </si>
  <si>
    <t>manuel.santos80@gmail.com</t>
  </si>
  <si>
    <t>Adriano Martins</t>
  </si>
  <si>
    <t>adriano.martins81@gmail.com</t>
  </si>
  <si>
    <t>João Silva</t>
  </si>
  <si>
    <t>joão.silva82@gmail.com</t>
  </si>
  <si>
    <t>David Tavares</t>
  </si>
  <si>
    <t>david.tavares83@gmail.com</t>
  </si>
  <si>
    <t>Cláudia Gomes</t>
  </si>
  <si>
    <t>cláudia.gomes84@gmail.com</t>
  </si>
  <si>
    <t>António Almeida</t>
  </si>
  <si>
    <t>antónio.almeida85@gmail.com</t>
  </si>
  <si>
    <t>Bruno Pinto</t>
  </si>
  <si>
    <t>bruno.pinto86@gmail.com</t>
  </si>
  <si>
    <t>António Martins</t>
  </si>
  <si>
    <t>antónio.martins87@gmail.com</t>
  </si>
  <si>
    <t>Manuel Miguel</t>
  </si>
  <si>
    <t>manuel.miguel88@gmail.com</t>
  </si>
  <si>
    <t>Manuel Martins</t>
  </si>
  <si>
    <t>manuel.martins89@gmail.com</t>
  </si>
  <si>
    <t>Nelson Tavares</t>
  </si>
  <si>
    <t>nelson.tavares90@gmail.com</t>
  </si>
  <si>
    <t>Adriano Pereira</t>
  </si>
  <si>
    <t>adriano.pereira91@gmail.com</t>
  </si>
  <si>
    <t>Bruno Costa</t>
  </si>
  <si>
    <t>bruno.costa92@gmail.com</t>
  </si>
  <si>
    <t>Rosa Barbosa</t>
  </si>
  <si>
    <t>rosa.barbosa93@gmail.com</t>
  </si>
  <si>
    <t>Sofia Lopes</t>
  </si>
  <si>
    <t>sofia.lopes94@gmail.com</t>
  </si>
  <si>
    <t>fátima.pinto95@gmail.com</t>
  </si>
  <si>
    <t>José Silva</t>
  </si>
  <si>
    <t>josé.silva96@gmail.com</t>
  </si>
  <si>
    <t>Cuando</t>
  </si>
  <si>
    <t>Rosa Tavares</t>
  </si>
  <si>
    <t>rosa.tavares97@gmail.com</t>
  </si>
  <si>
    <t>Pedro Martins</t>
  </si>
  <si>
    <t>pedro.martins98@gmail.com</t>
  </si>
  <si>
    <t>Carlos Soares</t>
  </si>
  <si>
    <t>carlos.soares99@gmail.com</t>
  </si>
  <si>
    <t>Adriano Lopes</t>
  </si>
  <si>
    <t>adriano.lopes100@gmail.com</t>
  </si>
  <si>
    <t>Daniel Miguel</t>
  </si>
  <si>
    <t>daniel.miguel101@gmail.com</t>
  </si>
  <si>
    <t>Rui Rodrigues</t>
  </si>
  <si>
    <t>rui.rodrigues102@gmail.com</t>
  </si>
  <si>
    <t>paulo.martins103@gmail.com</t>
  </si>
  <si>
    <t>sofia.lopes104@gmail.com</t>
  </si>
  <si>
    <t>bruno.lopes105@gmail.com</t>
  </si>
  <si>
    <t>João Lopes</t>
  </si>
  <si>
    <t>joão.lopes106@gmail.com</t>
  </si>
  <si>
    <t>Francisco Miguel</t>
  </si>
  <si>
    <t>francisco.miguel107@gmail.com</t>
  </si>
  <si>
    <t>manuel.costa108@gmail.com</t>
  </si>
  <si>
    <t>Helena Andrade</t>
  </si>
  <si>
    <t>helena.andrade109@gmail.com</t>
  </si>
  <si>
    <t>Maria Silva</t>
  </si>
  <si>
    <t>maria.silva110@gmail.com</t>
  </si>
  <si>
    <t>Rosa Miguel</t>
  </si>
  <si>
    <t>rosa.miguel111@gmail.com</t>
  </si>
  <si>
    <t>Joaquim Andrade</t>
  </si>
  <si>
    <t>joaquim.andrade112@gmail.com</t>
  </si>
  <si>
    <t>Fátima Lopes</t>
  </si>
  <si>
    <t>fátima.lopes113@gmail.com</t>
  </si>
  <si>
    <t>David Costa</t>
  </si>
  <si>
    <t>david.costa114@gmail.com</t>
  </si>
  <si>
    <t>Teresa Rodrigues</t>
  </si>
  <si>
    <t>teresa.rodrigues115@gmail.com</t>
  </si>
  <si>
    <t>rui.rodrigues116@gmail.com</t>
  </si>
  <si>
    <t>Domingos Silva</t>
  </si>
  <si>
    <t>domingos.silva117@gmail.com</t>
  </si>
  <si>
    <t>Benedito Lopes</t>
  </si>
  <si>
    <t>benedito.lopes118@gmail.com</t>
  </si>
  <si>
    <t>cláudia.gomes119@gmail.com</t>
  </si>
  <si>
    <t>Sofia Pinto</t>
  </si>
  <si>
    <t>sofia.pinto120@gmail.com</t>
  </si>
  <si>
    <t>samuel.martins121@gmail.com</t>
  </si>
  <si>
    <t>João Monteiro</t>
  </si>
  <si>
    <t>joão.monteiro122@gmail.com</t>
  </si>
  <si>
    <t>Teresa Monteiro</t>
  </si>
  <si>
    <t>teresa.monteiro123@gmail.com</t>
  </si>
  <si>
    <t>Luís Pinto</t>
  </si>
  <si>
    <t>luís.pinto124@gmail.com</t>
  </si>
  <si>
    <t>Helena Gomes</t>
  </si>
  <si>
    <t>helena.gomes125@gmail.com</t>
  </si>
  <si>
    <t>Helena Pinto</t>
  </si>
  <si>
    <t>helena.pinto126@gmail.com</t>
  </si>
  <si>
    <t>Rui Fernandes</t>
  </si>
  <si>
    <t>rui.fernandes127@gmail.com</t>
  </si>
  <si>
    <t>marta.miguel128@gmail.com</t>
  </si>
  <si>
    <t>Luís Andrade</t>
  </si>
  <si>
    <t>luís.andrade129@gmail.com</t>
  </si>
  <si>
    <t>Carlos Santos</t>
  </si>
  <si>
    <t>carlos.santos130@gmail.com</t>
  </si>
  <si>
    <t>rui.domingues131@gmail.com</t>
  </si>
  <si>
    <t>Sofia Monteiro</t>
  </si>
  <si>
    <t>sofia.monteiro132@gmail.com</t>
  </si>
  <si>
    <t>Rosa Lopes</t>
  </si>
  <si>
    <t>rosa.lopes133@gmail.com</t>
  </si>
  <si>
    <t>David Martins</t>
  </si>
  <si>
    <t>david.martins134@gmail.com</t>
  </si>
  <si>
    <t>Francisco Pereira</t>
  </si>
  <si>
    <t>francisco.pereira135@gmail.com</t>
  </si>
  <si>
    <t>Francisco Almeida</t>
  </si>
  <si>
    <t>francisco.almeida136@gmail.com</t>
  </si>
  <si>
    <t>Manuel Lopes</t>
  </si>
  <si>
    <t>manuel.lopes137@gmail.com</t>
  </si>
  <si>
    <t>Carlos Monteiro</t>
  </si>
  <si>
    <t>carlos.monteiro138@gmail.com</t>
  </si>
  <si>
    <t>Francisco Barbosa</t>
  </si>
  <si>
    <t>francisco.barbosa139@gmail.com</t>
  </si>
  <si>
    <t>luís.fernandes140@gmail.com</t>
  </si>
  <si>
    <t>Carlos Pereira</t>
  </si>
  <si>
    <t>carlos.pereira141@gmail.com</t>
  </si>
  <si>
    <t>Sofia Miguel</t>
  </si>
  <si>
    <t>sofia.miguel142@gmail.com</t>
  </si>
  <si>
    <t>paulo.lopes143@gmail.com</t>
  </si>
  <si>
    <t>Samuel Rodrigues</t>
  </si>
  <si>
    <t>samuel.rodrigues144@gmail.com</t>
  </si>
  <si>
    <t>rosa.tavares145@gmail.com</t>
  </si>
  <si>
    <t>Adriano Almeida</t>
  </si>
  <si>
    <t>adriano.almeida146@gmail.com</t>
  </si>
  <si>
    <t>luís.pinto147@gmail.com</t>
  </si>
  <si>
    <t>Teresa Barbosa</t>
  </si>
  <si>
    <t>teresa.barbosa148@gmail.com</t>
  </si>
  <si>
    <t>Mateus Monteiro</t>
  </si>
  <si>
    <t>mateus.monteiro149@gmail.com</t>
  </si>
  <si>
    <t>Nelson David</t>
  </si>
  <si>
    <t>nelson.david150@gmail.com</t>
  </si>
  <si>
    <t>Isabel Lopes</t>
  </si>
  <si>
    <t>isabel.lopes151@gmail.com</t>
  </si>
  <si>
    <t>Joaquim Pereira</t>
  </si>
  <si>
    <t>joaquim.pereira152@gmail.com</t>
  </si>
  <si>
    <t>Manuel Soares</t>
  </si>
  <si>
    <t>manuel.soares153@gmail.com</t>
  </si>
  <si>
    <t>Joaquim Martins</t>
  </si>
  <si>
    <t>joaquim.martins154@gmail.com</t>
  </si>
  <si>
    <t>Maria Santos</t>
  </si>
  <si>
    <t>maria.santos155@gmail.com</t>
  </si>
  <si>
    <t>Adriano Lukeba</t>
  </si>
  <si>
    <t>adriano.lukeba156@gmail.com</t>
  </si>
  <si>
    <t>Luís Tavares</t>
  </si>
  <si>
    <t>luís.tavares157@gmail.com</t>
  </si>
  <si>
    <t>manuel.lopes158@gmail.com</t>
  </si>
  <si>
    <t>Benedito Almeida</t>
  </si>
  <si>
    <t>benedito.almeida159@gmail.com</t>
  </si>
  <si>
    <t>Francisco Fernandes</t>
  </si>
  <si>
    <t>francisco.fernandes160@gmail.com</t>
  </si>
  <si>
    <t>Rosa Soares</t>
  </si>
  <si>
    <t>rosa.soares161@gmail.com</t>
  </si>
  <si>
    <t>benedito.santos162@gmail.com</t>
  </si>
  <si>
    <t>sofia.pereira163@gmail.com</t>
  </si>
  <si>
    <t>David Monteiro</t>
  </si>
  <si>
    <t>david.monteiro164@gmail.com</t>
  </si>
  <si>
    <t>José Tavares</t>
  </si>
  <si>
    <t>josé.tavares165@gmail.com</t>
  </si>
  <si>
    <t>David Lopes</t>
  </si>
  <si>
    <t>david.lopes166@gmail.com</t>
  </si>
  <si>
    <t>Paulo Miguel</t>
  </si>
  <si>
    <t>paulo.miguel167@gmail.com</t>
  </si>
  <si>
    <t>pedro.lopes168@gmail.com</t>
  </si>
  <si>
    <t>Teresa Domingues</t>
  </si>
  <si>
    <t>teresa.domingues169@gmail.com</t>
  </si>
  <si>
    <t>Daniel Lukeba</t>
  </si>
  <si>
    <t>daniel.lukeba170@gmail.com</t>
  </si>
  <si>
    <t>Isabel Martins</t>
  </si>
  <si>
    <t>isabel.martins171@gmail.com</t>
  </si>
  <si>
    <t>Luís Pereira</t>
  </si>
  <si>
    <t>luís.pereira172@gmail.com</t>
  </si>
  <si>
    <t>José Pinto</t>
  </si>
  <si>
    <t>josé.pinto173@gmail.com</t>
  </si>
  <si>
    <t>maria.monteiro174@gmail.com</t>
  </si>
  <si>
    <t>antónio.gomes175@gmail.com</t>
  </si>
  <si>
    <t>João Pereira</t>
  </si>
  <si>
    <t>joão.pereira176@gmail.com</t>
  </si>
  <si>
    <t>Isabel Costa</t>
  </si>
  <si>
    <t>isabel.costa177@gmail.com</t>
  </si>
  <si>
    <t>Ana David</t>
  </si>
  <si>
    <t>ana.david178@gmail.com</t>
  </si>
  <si>
    <t>Teresa Lopes</t>
  </si>
  <si>
    <t>teresa.lopes179@gmail.com</t>
  </si>
  <si>
    <t>Nelson Fernandes</t>
  </si>
  <si>
    <t>nelson.fernandes180@gmail.com</t>
  </si>
  <si>
    <t>sofia.miguel181@gmail.com</t>
  </si>
  <si>
    <t>Pedro Almeida</t>
  </si>
  <si>
    <t>pedro.almeida182@gmail.com</t>
  </si>
  <si>
    <t>rosa.barbosa183@gmail.com</t>
  </si>
  <si>
    <t>Pedro Andrade</t>
  </si>
  <si>
    <t>pedro.andrade184@gmail.com</t>
  </si>
  <si>
    <t>nelson.silva185@gmail.com</t>
  </si>
  <si>
    <t>sofia.costa186@gmail.com</t>
  </si>
  <si>
    <t>Carlos Domingues</t>
  </si>
  <si>
    <t>carlos.domingues187@gmail.com</t>
  </si>
  <si>
    <t>joaquim.martins188@gmail.com</t>
  </si>
  <si>
    <t>Adriano Miguel</t>
  </si>
  <si>
    <t>adriano.miguel189@gmail.com</t>
  </si>
  <si>
    <t>teresa.barbosa190@gmail.com</t>
  </si>
  <si>
    <t>Daniel Santos</t>
  </si>
  <si>
    <t>daniel.santos191@gmail.com</t>
  </si>
  <si>
    <t>Cláudia Almeida</t>
  </si>
  <si>
    <t>cláudia.almeida192@gmail.com</t>
  </si>
  <si>
    <t>Samuel Lopes</t>
  </si>
  <si>
    <t>samuel.lopes193@gmail.com</t>
  </si>
  <si>
    <t>João Pinto</t>
  </si>
  <si>
    <t>joão.pinto194@gmail.com</t>
  </si>
  <si>
    <t>maria.silva195@gmail.com</t>
  </si>
  <si>
    <t>isabel.andrade196@gmail.com</t>
  </si>
  <si>
    <t>Samuel Domingues</t>
  </si>
  <si>
    <t>samuel.domingues197@gmail.com</t>
  </si>
  <si>
    <t>adriano.almeida198@gmail.com</t>
  </si>
  <si>
    <t>Mateus Rodrigues</t>
  </si>
  <si>
    <t>mateus.rodrigues199@gmail.com</t>
  </si>
  <si>
    <t>Marta Andrade</t>
  </si>
  <si>
    <t>marta.andrade200@gmail.com</t>
  </si>
  <si>
    <t>Joaquim Monteiro</t>
  </si>
  <si>
    <t>joaquim.monteiro201@gmail.com</t>
  </si>
  <si>
    <t>josé.silva202@gmail.com</t>
  </si>
  <si>
    <t>pedro.lukeba203@gmail.com</t>
  </si>
  <si>
    <t>Domingos Miguel</t>
  </si>
  <si>
    <t>domingos.miguel204@gmail.com</t>
  </si>
  <si>
    <t>Cláudia Pinto</t>
  </si>
  <si>
    <t>cláudia.pinto205@gmail.com</t>
  </si>
  <si>
    <t>Bruno Monteiro</t>
  </si>
  <si>
    <t>bruno.monteiro206@gmail.com</t>
  </si>
  <si>
    <t>daniel.miguel207@gmail.com</t>
  </si>
  <si>
    <t>Fátima Monteiro</t>
  </si>
  <si>
    <t>fátima.monteiro208@gmail.com</t>
  </si>
  <si>
    <t>teresa.lopes209@gmail.com</t>
  </si>
  <si>
    <t>Sofia Soares</t>
  </si>
  <si>
    <t>sofia.soares210@gmail.com</t>
  </si>
  <si>
    <t>Benedito Domingues</t>
  </si>
  <si>
    <t>benedito.domingues211@gmail.com</t>
  </si>
  <si>
    <t>Francisco Monteiro</t>
  </si>
  <si>
    <t>francisco.monteiro212@gmail.com</t>
  </si>
  <si>
    <t>Teresa Miguel</t>
  </si>
  <si>
    <t>teresa.miguel213@gmail.com</t>
  </si>
  <si>
    <t>Adriano Tavares</t>
  </si>
  <si>
    <t>adriano.tavares214@gmail.com</t>
  </si>
  <si>
    <t>Rui David</t>
  </si>
  <si>
    <t>rui.david215@gmail.com</t>
  </si>
  <si>
    <t>Rui Santos</t>
  </si>
  <si>
    <t>rui.santos216@gmail.com</t>
  </si>
  <si>
    <t>manuel.santos217@gmail.com</t>
  </si>
  <si>
    <t>rosa.soares218@gmail.com</t>
  </si>
  <si>
    <t>Domingos Almeida</t>
  </si>
  <si>
    <t>domingos.almeida219@gmail.com</t>
  </si>
  <si>
    <t>josé.pinto220@gmail.com</t>
  </si>
  <si>
    <t>Joaquim Fernandes</t>
  </si>
  <si>
    <t>joaquim.fernandes221@gmail.com</t>
  </si>
  <si>
    <t>Rosa Pereira</t>
  </si>
  <si>
    <t>rosa.pereira222@gmail.com</t>
  </si>
  <si>
    <t>Joaquim Rodrigues</t>
  </si>
  <si>
    <t>joaquim.rodrigues223@gmail.com</t>
  </si>
  <si>
    <t>fátima.lopes224@gmail.com</t>
  </si>
  <si>
    <t>bruno.barbosa225@gmail.com</t>
  </si>
  <si>
    <t>Mateus Andrade</t>
  </si>
  <si>
    <t>mateus.andrade226@gmail.com</t>
  </si>
  <si>
    <t>isabel.david227@gmail.com</t>
  </si>
  <si>
    <t>Isabel Pereira</t>
  </si>
  <si>
    <t>isabel.pereira228@gmail.com</t>
  </si>
  <si>
    <t>Francisco Tavares</t>
  </si>
  <si>
    <t>francisco.tavares229@gmail.com</t>
  </si>
  <si>
    <t>Isabel Gomes</t>
  </si>
  <si>
    <t>isabel.gomes230@gmail.com</t>
  </si>
  <si>
    <t>Marta Domingues</t>
  </si>
  <si>
    <t>marta.domingues231@gmail.com</t>
  </si>
  <si>
    <t>Daniel Silva</t>
  </si>
  <si>
    <t>daniel.silva232@gmail.com</t>
  </si>
  <si>
    <t>Marta Fernandes</t>
  </si>
  <si>
    <t>marta.fernandes233@gmail.com</t>
  </si>
  <si>
    <t>fátima.monteiro234@gmail.com</t>
  </si>
  <si>
    <t>Mateus Silva</t>
  </si>
  <si>
    <t>mateus.silva235@gmail.com</t>
  </si>
  <si>
    <t>David Pinto</t>
  </si>
  <si>
    <t>david.pinto236@gmail.com</t>
  </si>
  <si>
    <t>David Gomes</t>
  </si>
  <si>
    <t>david.gomes237@gmail.com</t>
  </si>
  <si>
    <t>Ana Silva</t>
  </si>
  <si>
    <t>ana.silva238@gmail.com</t>
  </si>
  <si>
    <t>Marta David</t>
  </si>
  <si>
    <t>marta.david239@gmail.com</t>
  </si>
  <si>
    <t>Luís Rodrigues</t>
  </si>
  <si>
    <t>luís.rodrigues240@gmail.com</t>
  </si>
  <si>
    <t>carlos.monteiro241@gmail.com</t>
  </si>
  <si>
    <t>Maria Pereira</t>
  </si>
  <si>
    <t>maria.pereira242@gmail.com</t>
  </si>
  <si>
    <t>Ana Santos</t>
  </si>
  <si>
    <t>ana.santos243@gmail.com</t>
  </si>
  <si>
    <t>Benedito Costa</t>
  </si>
  <si>
    <t>benedito.costa244@gmail.com</t>
  </si>
  <si>
    <t>Paulo Monteiro</t>
  </si>
  <si>
    <t>paulo.monteiro245@gmail.com</t>
  </si>
  <si>
    <t>Maria Domingues</t>
  </si>
  <si>
    <t>maria.domingues246@gmail.com</t>
  </si>
  <si>
    <t>Teresa Costa</t>
  </si>
  <si>
    <t>teresa.costa247@gmail.com</t>
  </si>
  <si>
    <t>Carlos Tavares</t>
  </si>
  <si>
    <t>carlos.tavares248@gmail.com</t>
  </si>
  <si>
    <t>domingos.silva249@gmail.com</t>
  </si>
  <si>
    <t>Ana Domingues</t>
  </si>
  <si>
    <t>ana.domingues250@gmail.com</t>
  </si>
  <si>
    <t>Helena Lukeba</t>
  </si>
  <si>
    <t>helena.lukeba251@gmail.com</t>
  </si>
  <si>
    <t>Sofia David</t>
  </si>
  <si>
    <t>sofia.david252@gmail.com</t>
  </si>
  <si>
    <t>Manuel Silva</t>
  </si>
  <si>
    <t>manuel.silva253@gmail.com</t>
  </si>
  <si>
    <t>Bruno Silva</t>
  </si>
  <si>
    <t>bruno.silva254@gmail.com</t>
  </si>
  <si>
    <t>adriano.santos255@gmail.com</t>
  </si>
  <si>
    <t>Maria Lopes</t>
  </si>
  <si>
    <t>maria.lopes256@gmail.com</t>
  </si>
  <si>
    <t>Samuel Gomes</t>
  </si>
  <si>
    <t>samuel.gomes257@gmail.com</t>
  </si>
  <si>
    <t>Nelson Barbosa</t>
  </si>
  <si>
    <t>nelson.barbosa258@gmail.com</t>
  </si>
  <si>
    <t>daniel.soares259@gmail.com</t>
  </si>
  <si>
    <t>ana.santos260@gmail.com</t>
  </si>
  <si>
    <t>joaquim.andrade261@gmail.com</t>
  </si>
  <si>
    <t>manuel.david262@gmail.com</t>
  </si>
  <si>
    <t>Adriano Andrade</t>
  </si>
  <si>
    <t>adriano.andrade263@gmail.com</t>
  </si>
  <si>
    <t>david.tavares264@gmail.com</t>
  </si>
  <si>
    <t>Samuel Almeida</t>
  </si>
  <si>
    <t>samuel.almeida265@gmail.com</t>
  </si>
  <si>
    <t>Isabel Miguel</t>
  </si>
  <si>
    <t>isabel.miguel266@gmail.com</t>
  </si>
  <si>
    <t>Domingos Santos</t>
  </si>
  <si>
    <t>domingos.santos267@gmail.com</t>
  </si>
  <si>
    <t>Marta Soares</t>
  </si>
  <si>
    <t>marta.soares268@gmail.com</t>
  </si>
  <si>
    <t>Adriano Gomes</t>
  </si>
  <si>
    <t>adriano.gomes269@gmail.com</t>
  </si>
  <si>
    <t>domingos.almeida270@gmail.com</t>
  </si>
  <si>
    <t>Ana Pereira</t>
  </si>
  <si>
    <t>ana.pereira271@gmail.com</t>
  </si>
  <si>
    <t>Marta Santos</t>
  </si>
  <si>
    <t>marta.santos272@gmail.com</t>
  </si>
  <si>
    <t>Teresa Martins</t>
  </si>
  <si>
    <t>teresa.martins273@gmail.com</t>
  </si>
  <si>
    <t>Domingos Andrade</t>
  </si>
  <si>
    <t>domingos.andrade274@gmail.com</t>
  </si>
  <si>
    <t>Joaquim Miguel</t>
  </si>
  <si>
    <t>joaquim.miguel275@gmail.com</t>
  </si>
  <si>
    <t>Luís Almeida</t>
  </si>
  <si>
    <t>luís.almeida276@gmail.com</t>
  </si>
  <si>
    <t>Cláudia Santos</t>
  </si>
  <si>
    <t>cláudia.santos277@gmail.com</t>
  </si>
  <si>
    <t>Nelson Lukeba</t>
  </si>
  <si>
    <t>nelson.lukeba278@gmail.com</t>
  </si>
  <si>
    <t>José Martins</t>
  </si>
  <si>
    <t>josé.martins279@gmail.com</t>
  </si>
  <si>
    <t>Samuel Pereira</t>
  </si>
  <si>
    <t>samuel.pereira280@gmail.com</t>
  </si>
  <si>
    <t>Domingos Barbosa</t>
  </si>
  <si>
    <t>domingos.barbosa281@gmail.com</t>
  </si>
  <si>
    <t>Luís Martins</t>
  </si>
  <si>
    <t>luís.martins282@gmail.com</t>
  </si>
  <si>
    <t>João Barbosa</t>
  </si>
  <si>
    <t>joão.barbosa283@gmail.com</t>
  </si>
  <si>
    <t>antónio.pereira284@gmail.com</t>
  </si>
  <si>
    <t>rosa.lopes285@gmail.com</t>
  </si>
  <si>
    <t>josé.lopes286@gmail.com</t>
  </si>
  <si>
    <t>Rui Monteiro</t>
  </si>
  <si>
    <t>rui.monteiro287@gmail.com</t>
  </si>
  <si>
    <t>João Tavares</t>
  </si>
  <si>
    <t>joão.tavares288@gmail.com</t>
  </si>
  <si>
    <t>Marta Rodrigues</t>
  </si>
  <si>
    <t>marta.rodrigues289@gmail.com</t>
  </si>
  <si>
    <t>mateus.lopes290@gmail.com</t>
  </si>
  <si>
    <t>manuel.almeida291@gmail.com</t>
  </si>
  <si>
    <t>Carlos Silva</t>
  </si>
  <si>
    <t>carlos.silva292@gmail.com</t>
  </si>
  <si>
    <t>rui.monteiro293@gmail.com</t>
  </si>
  <si>
    <t>luís.fernandes294@gmail.com</t>
  </si>
  <si>
    <t>francisco.monteiro295@gmail.com</t>
  </si>
  <si>
    <t>Daniel Tavares</t>
  </si>
  <si>
    <t>daniel.tavares296@gmail.com</t>
  </si>
  <si>
    <t>Paulo Santos</t>
  </si>
  <si>
    <t>paulo.santos297@gmail.com</t>
  </si>
  <si>
    <t>isabel.gomes298@gmail.com</t>
  </si>
  <si>
    <t>Benedito Tavares</t>
  </si>
  <si>
    <t>benedito.tavares299@gmail.com</t>
  </si>
  <si>
    <t>João Fernandes</t>
  </si>
  <si>
    <t>joão.fernandes300@gmail.com</t>
  </si>
  <si>
    <t>António Pinto</t>
  </si>
  <si>
    <t>antónio.pinto301@gmail.com</t>
  </si>
  <si>
    <t>adriano.pinto302@gmail.com</t>
  </si>
  <si>
    <t>Nelson Lopes</t>
  </si>
  <si>
    <t>nelson.lopes303@gmail.com</t>
  </si>
  <si>
    <t>Nelson Pinto</t>
  </si>
  <si>
    <t>nelson.pinto304@gmail.com</t>
  </si>
  <si>
    <t>cláudia.santos305@gmail.com</t>
  </si>
  <si>
    <t>maria.silva306@gmail.com</t>
  </si>
  <si>
    <t>luís.tavares307@gmail.com</t>
  </si>
  <si>
    <t>josé.lopes308@gmail.com</t>
  </si>
  <si>
    <t>Joaquim Costa</t>
  </si>
  <si>
    <t>joaquim.costa309@gmail.com</t>
  </si>
  <si>
    <t>teresa.rodrigues310@gmail.com</t>
  </si>
  <si>
    <t>josé.lopes311@gmail.com</t>
  </si>
  <si>
    <t>Isabel Fernandes</t>
  </si>
  <si>
    <t>isabel.fernandes312@gmail.com</t>
  </si>
  <si>
    <t>Helena Pereira</t>
  </si>
  <si>
    <t>helena.pereira313@gmail.com</t>
  </si>
  <si>
    <t>Mateus Tavares</t>
  </si>
  <si>
    <t>mateus.tavares314@gmail.com</t>
  </si>
  <si>
    <t>adriano.lopes315@gmail.com</t>
  </si>
  <si>
    <t>fátima.fernandes316@gmail.com</t>
  </si>
  <si>
    <t>Domingos Monteiro</t>
  </si>
  <si>
    <t>domingos.monteiro317@gmail.com</t>
  </si>
  <si>
    <t>Samuel Santos</t>
  </si>
  <si>
    <t>samuel.santos318@gmail.com</t>
  </si>
  <si>
    <t>Rui Soares</t>
  </si>
  <si>
    <t>rui.soares319@gmail.com</t>
  </si>
  <si>
    <t>Fátima Lukeba</t>
  </si>
  <si>
    <t>fátima.lukeba320@gmail.com</t>
  </si>
  <si>
    <t>Fátima Andrade</t>
  </si>
  <si>
    <t>fátima.andrade321@gmail.com</t>
  </si>
  <si>
    <t>Pedro Silva</t>
  </si>
  <si>
    <t>pedro.silva322@gmail.com</t>
  </si>
  <si>
    <t>José Lukeba</t>
  </si>
  <si>
    <t>josé.lukeba323@gmail.com</t>
  </si>
  <si>
    <t>maria.domingues324@gmail.com</t>
  </si>
  <si>
    <t>António Andrade</t>
  </si>
  <si>
    <t>antónio.andrade325@gmail.com</t>
  </si>
  <si>
    <t>manuel.lopes326@gmail.com</t>
  </si>
  <si>
    <t>Luís Soares</t>
  </si>
  <si>
    <t>luís.soares327@gmail.com</t>
  </si>
  <si>
    <t>marta.david328@gmail.com</t>
  </si>
  <si>
    <t>Ana Pinto</t>
  </si>
  <si>
    <t>ana.pinto329@gmail.com</t>
  </si>
  <si>
    <t>Fátima Barbosa</t>
  </si>
  <si>
    <t>fátima.barbosa330@gmail.com</t>
  </si>
  <si>
    <t>Francisco Domingues</t>
  </si>
  <si>
    <t>francisco.domingues331@gmail.com</t>
  </si>
  <si>
    <t>Bruno Almeida</t>
  </si>
  <si>
    <t>bruno.almeida332@gmail.com</t>
  </si>
  <si>
    <t>bruno.monteiro333@gmail.com</t>
  </si>
  <si>
    <t>Marta Lukeba</t>
  </si>
  <si>
    <t>marta.lukeba334@gmail.com</t>
  </si>
  <si>
    <t>ana.santos335@gmail.com</t>
  </si>
  <si>
    <t>pedro.lopes336@gmail.com</t>
  </si>
  <si>
    <t>joaquim.rodrigues337@gmail.com</t>
  </si>
  <si>
    <t>David Rodrigues</t>
  </si>
  <si>
    <t>david.rodrigues338@gmail.com</t>
  </si>
  <si>
    <t>Helena Lopes</t>
  </si>
  <si>
    <t>helena.lopes339@gmail.com</t>
  </si>
  <si>
    <t>joão.tavares340@gmail.com</t>
  </si>
  <si>
    <t>José Monteiro</t>
  </si>
  <si>
    <t>josé.monteiro341@gmail.com</t>
  </si>
  <si>
    <t>Cláudia Rodrigues</t>
  </si>
  <si>
    <t>cláudia.rodrigues342@gmail.com</t>
  </si>
  <si>
    <t>domingos.barbosa343@gmail.com</t>
  </si>
  <si>
    <t>Daniel Monteiro</t>
  </si>
  <si>
    <t>daniel.monteiro344@gmail.com</t>
  </si>
  <si>
    <t>Domingos Soares</t>
  </si>
  <si>
    <t>domingos.soares345@gmail.com</t>
  </si>
  <si>
    <t>Cláudia Lukeba</t>
  </si>
  <si>
    <t>cláudia.lukeba346@gmail.com</t>
  </si>
  <si>
    <t>David Pereira</t>
  </si>
  <si>
    <t>david.pereira347@gmail.com</t>
  </si>
  <si>
    <t>maria.domingues348@gmail.com</t>
  </si>
  <si>
    <t>carlos.pereira349@gmail.com</t>
  </si>
  <si>
    <t>carlos.pereira350@gmail.com</t>
  </si>
  <si>
    <t>helena.miguel351@gmail.com</t>
  </si>
  <si>
    <t>david.rodrigues352@gmail.com</t>
  </si>
  <si>
    <t>helena.gomes353@gmail.com</t>
  </si>
  <si>
    <t>Benedito Fernandes</t>
  </si>
  <si>
    <t>benedito.fernandes354@gmail.com</t>
  </si>
  <si>
    <t>francisco.barbosa355@gmail.com</t>
  </si>
  <si>
    <t>Nelson Soares</t>
  </si>
  <si>
    <t>nelson.soares356@gmail.com</t>
  </si>
  <si>
    <t>José Barbosa</t>
  </si>
  <si>
    <t>josé.barbosa357@gmail.com</t>
  </si>
  <si>
    <t>helena.andrade358@gmail.com</t>
  </si>
  <si>
    <t>fátima.andrade359@gmail.com</t>
  </si>
  <si>
    <t>Daniel Barbosa</t>
  </si>
  <si>
    <t>daniel.barbosa360@gmail.com</t>
  </si>
  <si>
    <t>Sofia Andrade</t>
  </si>
  <si>
    <t>sofia.andrade361@gmail.com</t>
  </si>
  <si>
    <t>Rosa Pinto</t>
  </si>
  <si>
    <t>rosa.pinto362@gmail.com</t>
  </si>
  <si>
    <t>nelson.silva363@gmail.com</t>
  </si>
  <si>
    <t>António Monteiro</t>
  </si>
  <si>
    <t>antónio.monteiro364@gmail.com</t>
  </si>
  <si>
    <t>Luís Lopes</t>
  </si>
  <si>
    <t>luís.lopes365@gmail.com</t>
  </si>
  <si>
    <t>Rui Silva</t>
  </si>
  <si>
    <t>rui.silva366@gmail.com</t>
  </si>
  <si>
    <t>Daniel Lopes</t>
  </si>
  <si>
    <t>daniel.lopes367@gmail.com</t>
  </si>
  <si>
    <t>daniel.domingues368@gmail.com</t>
  </si>
  <si>
    <t>Maria Pinto</t>
  </si>
  <si>
    <t>maria.pinto369@gmail.com</t>
  </si>
  <si>
    <t>Pedro Pinto</t>
  </si>
  <si>
    <t>pedro.pinto370@gmail.com</t>
  </si>
  <si>
    <t>isabel.lopes371@gmail.com</t>
  </si>
  <si>
    <t>Rosa Santos</t>
  </si>
  <si>
    <t>rosa.santos372@gmail.com</t>
  </si>
  <si>
    <t>isabel.monteiro373@gmail.com</t>
  </si>
  <si>
    <t>Francisco David</t>
  </si>
  <si>
    <t>francisco.david374@gmail.com</t>
  </si>
  <si>
    <t>Helena Domingues</t>
  </si>
  <si>
    <t>helena.domingues375@gmail.com</t>
  </si>
  <si>
    <t>carlos.pereira376@gmail.com</t>
  </si>
  <si>
    <t>Daniel Almeida</t>
  </si>
  <si>
    <t>daniel.almeida377@gmail.com</t>
  </si>
  <si>
    <t>Daniel Fernandes</t>
  </si>
  <si>
    <t>daniel.fernandes378@gmail.com</t>
  </si>
  <si>
    <t>nelson.david379@gmail.com</t>
  </si>
  <si>
    <t>Maria Lukeba</t>
  </si>
  <si>
    <t>maria.lukeba380@gmail.com</t>
  </si>
  <si>
    <t>sofia.monteiro381@gmail.com</t>
  </si>
  <si>
    <t>Bruno Pereira</t>
  </si>
  <si>
    <t>bruno.pereira382@gmail.com</t>
  </si>
  <si>
    <t>Rosa Domingues</t>
  </si>
  <si>
    <t>rosa.domingues383@gmail.com</t>
  </si>
  <si>
    <t>bruno.barbosa384@gmail.com</t>
  </si>
  <si>
    <t>rosa.barbosa385@gmail.com</t>
  </si>
  <si>
    <t>António Silva</t>
  </si>
  <si>
    <t>antónio.silva386@gmail.com</t>
  </si>
  <si>
    <t>benedito.lopes387@gmail.com</t>
  </si>
  <si>
    <t>Ana Lopes</t>
  </si>
  <si>
    <t>ana.lopes388@gmail.com</t>
  </si>
  <si>
    <t>Pedro Monteiro</t>
  </si>
  <si>
    <t>pedro.monteiro389@gmail.com</t>
  </si>
  <si>
    <t>Domingos Pinto</t>
  </si>
  <si>
    <t>domingos.pinto390@gmail.com</t>
  </si>
  <si>
    <t>Domingos Rodrigues</t>
  </si>
  <si>
    <t>domingos.rodrigues391@gmail.com</t>
  </si>
  <si>
    <t>Ana Monteiro</t>
  </si>
  <si>
    <t>ana.monteiro392@gmail.com</t>
  </si>
  <si>
    <t>Daniel David</t>
  </si>
  <si>
    <t>daniel.david393@gmail.com</t>
  </si>
  <si>
    <t>isabel.costa394@gmail.com</t>
  </si>
  <si>
    <t>antónio.andrade395@gmail.com</t>
  </si>
  <si>
    <t>Carlos Costa</t>
  </si>
  <si>
    <t>carlos.costa396@gmail.com</t>
  </si>
  <si>
    <t>francisco.david397@gmail.com</t>
  </si>
  <si>
    <t>helena.miguel398@gmail.com</t>
  </si>
  <si>
    <t>joão.monteiro399@gmail.com</t>
  </si>
  <si>
    <t>Marta Tavares</t>
  </si>
  <si>
    <t>marta.tavares400@gmail.com</t>
  </si>
  <si>
    <t>paulo.monteiro401@gmail.com</t>
  </si>
  <si>
    <t>david.martins402@gmail.com</t>
  </si>
  <si>
    <t>ana.pereira403@gmail.com</t>
  </si>
  <si>
    <t>Mateus Miguel</t>
  </si>
  <si>
    <t>mateus.miguel404@gmail.com</t>
  </si>
  <si>
    <t>Fátima David</t>
  </si>
  <si>
    <t>fátima.david405@gmail.com</t>
  </si>
  <si>
    <t>Marta Lopes</t>
  </si>
  <si>
    <t>marta.lopes406@gmail.com</t>
  </si>
  <si>
    <t>Paulo Andrade</t>
  </si>
  <si>
    <t>paulo.andrade407@gmail.com</t>
  </si>
  <si>
    <t>isabel.lopes408@gmail.com</t>
  </si>
  <si>
    <t>Bruno Santos</t>
  </si>
  <si>
    <t>bruno.santos409@gmail.com</t>
  </si>
  <si>
    <t>teresa.miguel410@gmail.com</t>
  </si>
  <si>
    <t>adriano.andrade411@gmail.com</t>
  </si>
  <si>
    <t>mateus.miguel412@gmail.com</t>
  </si>
  <si>
    <t>maria.fernandes413@gmail.com</t>
  </si>
  <si>
    <t>Cláudia Monteiro</t>
  </si>
  <si>
    <t>cláudia.monteiro414@gmail.com</t>
  </si>
  <si>
    <t>António Lukeba</t>
  </si>
  <si>
    <t>antónio.lukeba415@gmail.com</t>
  </si>
  <si>
    <t>joão.lopes416@gmail.com</t>
  </si>
  <si>
    <t>Rosa Silva</t>
  </si>
  <si>
    <t>rosa.silva417@gmail.com</t>
  </si>
  <si>
    <t>teresa.monteiro418@gmail.com</t>
  </si>
  <si>
    <t>Manuel Lukeba</t>
  </si>
  <si>
    <t>manuel.lukeba419@gmail.com</t>
  </si>
  <si>
    <t>Maria David</t>
  </si>
  <si>
    <t>maria.david420@gmail.com</t>
  </si>
  <si>
    <t>cláudia.costa421@gmail.com</t>
  </si>
  <si>
    <t>isabel.david422@gmail.com</t>
  </si>
  <si>
    <t>Manuel Pereira</t>
  </si>
  <si>
    <t>manuel.pereira423@gmail.com</t>
  </si>
  <si>
    <t>Mateus Soares</t>
  </si>
  <si>
    <t>mateus.soares424@gmail.com</t>
  </si>
  <si>
    <t>Mateus Lukeba</t>
  </si>
  <si>
    <t>mateus.lukeba425@gmail.com</t>
  </si>
  <si>
    <t>Sofia Lukeba</t>
  </si>
  <si>
    <t>sofia.lukeba426@gmail.com</t>
  </si>
  <si>
    <t>ana.monteiro427@gmail.com</t>
  </si>
  <si>
    <t>Paulo Gomes</t>
  </si>
  <si>
    <t>paulo.gomes428@gmail.com</t>
  </si>
  <si>
    <t>Fátima Santos</t>
  </si>
  <si>
    <t>fátima.santos429@gmail.com</t>
  </si>
  <si>
    <t>Paulo Rodrigues</t>
  </si>
  <si>
    <t>paulo.rodrigues430@gmail.com</t>
  </si>
  <si>
    <t>Mateus Santos</t>
  </si>
  <si>
    <t>mateus.santos431@gmail.com</t>
  </si>
  <si>
    <t>Maria Andrade</t>
  </si>
  <si>
    <t>maria.andrade432@gmail.com</t>
  </si>
  <si>
    <t>Adriano Fernandes</t>
  </si>
  <si>
    <t>adriano.fernandes433@gmail.com</t>
  </si>
  <si>
    <t>teresa.martins434@gmail.com</t>
  </si>
  <si>
    <t>Rui Costa</t>
  </si>
  <si>
    <t>rui.costa435@gmail.com</t>
  </si>
  <si>
    <t>bruno.santos436@gmail.com</t>
  </si>
  <si>
    <t>helena.domingues437@gmail.com</t>
  </si>
  <si>
    <t>António Lopes</t>
  </si>
  <si>
    <t>antónio.lopes438@gmail.com</t>
  </si>
  <si>
    <t>cláudia.almeida439@gmail.com</t>
  </si>
  <si>
    <t>ana.pinto440@gmail.com</t>
  </si>
  <si>
    <t>Bruno Andrade</t>
  </si>
  <si>
    <t>bruno.andrade441@gmail.com</t>
  </si>
  <si>
    <t>Luís Domingues</t>
  </si>
  <si>
    <t>luís.domingues442@gmail.com</t>
  </si>
  <si>
    <t>benedito.barbosa443@gmail.com</t>
  </si>
  <si>
    <t>joão.tavares444@gmail.com</t>
  </si>
  <si>
    <t>paulo.monteiro445@gmail.com</t>
  </si>
  <si>
    <t>Isabel Lukeba</t>
  </si>
  <si>
    <t>isabel.lukeba446@gmail.com</t>
  </si>
  <si>
    <t>Teresa Silva</t>
  </si>
  <si>
    <t>teresa.silva447@gmail.com</t>
  </si>
  <si>
    <t>Helena Almeida</t>
  </si>
  <si>
    <t>helena.almeida448@gmail.com</t>
  </si>
  <si>
    <t>Francisco Silva</t>
  </si>
  <si>
    <t>francisco.silva449@gmail.com</t>
  </si>
  <si>
    <t>Cláudia Silva</t>
  </si>
  <si>
    <t>cláudia.silva450@gmail.com</t>
  </si>
  <si>
    <t>Rosa Gomes</t>
  </si>
  <si>
    <t>rosa.gomes451@gmail.com</t>
  </si>
  <si>
    <t>francisco.david452@gmail.com</t>
  </si>
  <si>
    <t>David Andrade</t>
  </si>
  <si>
    <t>david.andrade453@gmail.com</t>
  </si>
  <si>
    <t>Sofia Domingues</t>
  </si>
  <si>
    <t>sofia.domingues454@gmail.com</t>
  </si>
  <si>
    <t>nelson.tavares455@gmail.com</t>
  </si>
  <si>
    <t>daniel.fernandes456@gmail.com</t>
  </si>
  <si>
    <t>Mateus David</t>
  </si>
  <si>
    <t>mateus.david457@gmail.com</t>
  </si>
  <si>
    <t>rosa.tavares458@gmail.com</t>
  </si>
  <si>
    <t>Marta Gomes</t>
  </si>
  <si>
    <t>marta.gomes459@gmail.com</t>
  </si>
  <si>
    <t>Ana Rodrigues</t>
  </si>
  <si>
    <t>ana.rodrigues460@gmail.com</t>
  </si>
  <si>
    <t>carlos.lukeba461@gmail.com</t>
  </si>
  <si>
    <t>Bruno Gomes</t>
  </si>
  <si>
    <t>bruno.gomes462@gmail.com</t>
  </si>
  <si>
    <t>Francisco Lukeba</t>
  </si>
  <si>
    <t>francisco.lukeba463@gmail.com</t>
  </si>
  <si>
    <t>francisco.monteiro464@gmail.com</t>
  </si>
  <si>
    <t>mateus.andrade465@gmail.com</t>
  </si>
  <si>
    <t>cláudia.pinto466@gmail.com</t>
  </si>
  <si>
    <t>isabel.andrade467@gmail.com</t>
  </si>
  <si>
    <t>Sofia Martins</t>
  </si>
  <si>
    <t>sofia.martins468@gmail.com</t>
  </si>
  <si>
    <t>helena.lopes469@gmail.com</t>
  </si>
  <si>
    <t>fátima.monteiro470@gmail.com</t>
  </si>
  <si>
    <t>Adriano David</t>
  </si>
  <si>
    <t>adriano.david471@gmail.com</t>
  </si>
  <si>
    <t>Sofia Almeida</t>
  </si>
  <si>
    <t>sofia.almeida472@gmail.com</t>
  </si>
  <si>
    <t>Samuel Pinto</t>
  </si>
  <si>
    <t>samuel.pinto473@gmail.com</t>
  </si>
  <si>
    <t>samuel.gomes474@gmail.com</t>
  </si>
  <si>
    <t>Marta Almeida</t>
  </si>
  <si>
    <t>marta.almeida475@gmail.com</t>
  </si>
  <si>
    <t>paulo.gomes476@gmail.com</t>
  </si>
  <si>
    <t>adriano.martins477@gmail.com</t>
  </si>
  <si>
    <t>domingos.silva478@gmail.com</t>
  </si>
  <si>
    <t>Maria Tavares</t>
  </si>
  <si>
    <t>maria.tavares479@gmail.com</t>
  </si>
  <si>
    <t>domingos.silva480@gmail.com</t>
  </si>
  <si>
    <t>adriano.lukeba481@gmail.com</t>
  </si>
  <si>
    <t>bruno.santos482@gmail.com</t>
  </si>
  <si>
    <t>isabel.pereira483@gmail.com</t>
  </si>
  <si>
    <t>Sofia Silva</t>
  </si>
  <si>
    <t>sofia.silva484@gmail.com</t>
  </si>
  <si>
    <t>Rosa Rodrigues</t>
  </si>
  <si>
    <t>rosa.rodrigues485@gmail.com</t>
  </si>
  <si>
    <t>nelson.lukeba486@gmail.com</t>
  </si>
  <si>
    <t>daniel.tavares487@gmail.com</t>
  </si>
  <si>
    <t>bruno.pinto488@gmail.com</t>
  </si>
  <si>
    <t>mateus.david489@gmail.com</t>
  </si>
  <si>
    <t>Paulo Silva</t>
  </si>
  <si>
    <t>paulo.silva490@gmail.com</t>
  </si>
  <si>
    <t>Isabel Almeida</t>
  </si>
  <si>
    <t>isabel.almeida491@gmail.com</t>
  </si>
  <si>
    <t>joão.pinto492@gmail.com</t>
  </si>
  <si>
    <t>pedro.pereira493@gmail.com</t>
  </si>
  <si>
    <t>Luís Santos</t>
  </si>
  <si>
    <t>luís.santos494@gmail.com</t>
  </si>
  <si>
    <t>Benedito Silva</t>
  </si>
  <si>
    <t>benedito.silva495@gmail.com</t>
  </si>
  <si>
    <t>joão.lopes496@gmail.com</t>
  </si>
  <si>
    <t>paulo.andrade497@gmail.com</t>
  </si>
  <si>
    <t>António Domingues</t>
  </si>
  <si>
    <t>antónio.domingues498@gmail.com</t>
  </si>
  <si>
    <t>domingos.monteiro499@gmail.com</t>
  </si>
  <si>
    <t>Rui Martins</t>
  </si>
  <si>
    <t>rui.martins500@gmail.com</t>
  </si>
  <si>
    <t>Samuel Fernandes</t>
  </si>
  <si>
    <t>samuel.fernandes501@gmail.com</t>
  </si>
  <si>
    <t>Rui Andrade</t>
  </si>
  <si>
    <t>rui.andrade502@gmail.com</t>
  </si>
  <si>
    <t>helena.andrade503@gmail.com</t>
  </si>
  <si>
    <t>David Almeida</t>
  </si>
  <si>
    <t>david.almeida504@gmail.com</t>
  </si>
  <si>
    <t>carlos.costa505@gmail.com</t>
  </si>
  <si>
    <t>rosa.rodrigues506@gmail.com</t>
  </si>
  <si>
    <t>pedro.lukeba507@gmail.com</t>
  </si>
  <si>
    <t>pedro.andrade508@gmail.com</t>
  </si>
  <si>
    <t>Ana Miguel</t>
  </si>
  <si>
    <t>ana.miguel509@gmail.com</t>
  </si>
  <si>
    <t>marta.miguel510@gmail.com</t>
  </si>
  <si>
    <t>rui.monteiro511@gmail.com</t>
  </si>
  <si>
    <t>mateus.monteiro512@gmail.com</t>
  </si>
  <si>
    <t>marta.domingues513@gmail.com</t>
  </si>
  <si>
    <t>manuel.silva514@gmail.com</t>
  </si>
  <si>
    <t>samuel.rodrigues515@gmail.com</t>
  </si>
  <si>
    <t>david.santos516@gmail.com</t>
  </si>
  <si>
    <t>isabel.lopes517@gmail.com</t>
  </si>
  <si>
    <t>Joaquim Almeida</t>
  </si>
  <si>
    <t>joaquim.almeida518@gmail.com</t>
  </si>
  <si>
    <t>carlos.santos519@gmail.com</t>
  </si>
  <si>
    <t>Teresa David</t>
  </si>
  <si>
    <t>teresa.david520@gmail.com</t>
  </si>
  <si>
    <t>ana.pinto521@gmail.com</t>
  </si>
  <si>
    <t>Nelson Rodrigues</t>
  </si>
  <si>
    <t>nelson.rodrigues522@gmail.com</t>
  </si>
  <si>
    <t>joão.gomes523@gmail.com</t>
  </si>
  <si>
    <t>Ana Soares</t>
  </si>
  <si>
    <t>ana.soares524@gmail.com</t>
  </si>
  <si>
    <t>João Costa</t>
  </si>
  <si>
    <t>joão.costa525@gmail.com</t>
  </si>
  <si>
    <t>mateus.andrade526@gmail.com</t>
  </si>
  <si>
    <t>Samuel Miguel</t>
  </si>
  <si>
    <t>samuel.miguel527@gmail.com</t>
  </si>
  <si>
    <t>carlos.monteiro528@gmail.com</t>
  </si>
  <si>
    <t>joaquim.costa529@gmail.com</t>
  </si>
  <si>
    <t>helena.andrade530@gmail.com</t>
  </si>
  <si>
    <t>mateus.david531@gmail.com</t>
  </si>
  <si>
    <t>pedro.pereira532@gmail.com</t>
  </si>
  <si>
    <t>pedro.pereira533@gmail.com</t>
  </si>
  <si>
    <t>Luís Lukeba</t>
  </si>
  <si>
    <t>luís.lukeba534@gmail.com</t>
  </si>
  <si>
    <t>ana.domingues535@gmail.com</t>
  </si>
  <si>
    <t>Rosa Fernandes</t>
  </si>
  <si>
    <t>rosa.fernandes536@gmail.com</t>
  </si>
  <si>
    <t>david.lopes537@gmail.com</t>
  </si>
  <si>
    <t>ana.pinto538@gmail.com</t>
  </si>
  <si>
    <t>Pedro Santos</t>
  </si>
  <si>
    <t>pedro.santos539@gmail.com</t>
  </si>
  <si>
    <t>Domingos David</t>
  </si>
  <si>
    <t>domingos.david540@gmail.com</t>
  </si>
  <si>
    <t>José Pereira</t>
  </si>
  <si>
    <t>josé.pereira541@gmail.com</t>
  </si>
  <si>
    <t>isabel.pereira542@gmail.com</t>
  </si>
  <si>
    <t>marta.david543@gmail.com</t>
  </si>
  <si>
    <t>Ana Andrade</t>
  </si>
  <si>
    <t>ana.andrade544@gmail.com</t>
  </si>
  <si>
    <t>manuel.silva545@gmail.com</t>
  </si>
  <si>
    <t>Rui Lopes</t>
  </si>
  <si>
    <t>rui.lopes546@gmail.com</t>
  </si>
  <si>
    <t>João David</t>
  </si>
  <si>
    <t>joão.david547@gmail.com</t>
  </si>
  <si>
    <t>sofia.martins548@gmail.com</t>
  </si>
  <si>
    <t>cláudia.costa549@gmail.com</t>
  </si>
  <si>
    <t>antónio.costa550@gmail.com</t>
  </si>
  <si>
    <t>nelson.soares551@gmail.com</t>
  </si>
  <si>
    <t>fátima.pinto552@gmail.com</t>
  </si>
  <si>
    <t>Mateus Fernandes</t>
  </si>
  <si>
    <t>mateus.fernandes553@gmail.com</t>
  </si>
  <si>
    <t>Bruno Soares</t>
  </si>
  <si>
    <t>bruno.soares554@gmail.com</t>
  </si>
  <si>
    <t>rosa.miguel555@gmail.com</t>
  </si>
  <si>
    <t>daniel.fernandes556@gmail.com</t>
  </si>
  <si>
    <t>Adriano Silva</t>
  </si>
  <si>
    <t>adriano.silva557@gmail.com</t>
  </si>
  <si>
    <t>pedro.lopes558@gmail.com</t>
  </si>
  <si>
    <t>rui.domingues559@gmail.com</t>
  </si>
  <si>
    <t>João Andrade</t>
  </si>
  <si>
    <t>joão.andrade560@gmail.com</t>
  </si>
  <si>
    <t>Cláudia Andrade</t>
  </si>
  <si>
    <t>cláudia.andrade561@gmail.com</t>
  </si>
  <si>
    <t>maria.monteiro562@gmail.com</t>
  </si>
  <si>
    <t>mateus.pereira563@gmail.com</t>
  </si>
  <si>
    <t>marta.lukeba564@gmail.com</t>
  </si>
  <si>
    <t>António Tavares</t>
  </si>
  <si>
    <t>antónio.tavares565@gmail.com</t>
  </si>
  <si>
    <t>daniel.monteiro566@gmail.com</t>
  </si>
  <si>
    <t>Fátima Pereira</t>
  </si>
  <si>
    <t>fátima.pereira567@gmail.com</t>
  </si>
  <si>
    <t>Daniel Martins</t>
  </si>
  <si>
    <t>daniel.martins568@gmail.com</t>
  </si>
  <si>
    <t>sofia.pinto569@gmail.com</t>
  </si>
  <si>
    <t>rui.silva570@gmail.com</t>
  </si>
  <si>
    <t>maria.martins571@gmail.com</t>
  </si>
  <si>
    <t>rui.santos572@gmail.com</t>
  </si>
  <si>
    <t>Carlos Barbosa</t>
  </si>
  <si>
    <t>carlos.barbosa573@gmail.com</t>
  </si>
  <si>
    <t>Pedro David</t>
  </si>
  <si>
    <t>pedro.david574@gmail.com</t>
  </si>
  <si>
    <t>adriano.santos575@gmail.com</t>
  </si>
  <si>
    <t>adriano.soares576@gmail.com</t>
  </si>
  <si>
    <t>Ana Martins</t>
  </si>
  <si>
    <t>ana.martins577@gmail.com</t>
  </si>
  <si>
    <t>Fátima Martins</t>
  </si>
  <si>
    <t>fátima.martins578@gmail.com</t>
  </si>
  <si>
    <t>Bruno Martins</t>
  </si>
  <si>
    <t>bruno.martins579@gmail.com</t>
  </si>
  <si>
    <t>bruno.lopes580@gmail.com</t>
  </si>
  <si>
    <t>Domingos Lukeba</t>
  </si>
  <si>
    <t>domingos.lukeba581@gmail.com</t>
  </si>
  <si>
    <t>Mateus Barbosa</t>
  </si>
  <si>
    <t>mateus.barbosa582@gmail.com</t>
  </si>
  <si>
    <t>joão.tavares583@gmail.com</t>
  </si>
  <si>
    <t>cláudia.rodrigues584@gmail.com</t>
  </si>
  <si>
    <t>daniel.miguel585@gmail.com</t>
  </si>
  <si>
    <t>Teresa Pereira</t>
  </si>
  <si>
    <t>teresa.pereira586@gmail.com</t>
  </si>
  <si>
    <t>Helena Tavares</t>
  </si>
  <si>
    <t>helena.tavares587@gmail.com</t>
  </si>
  <si>
    <t>Carlos Almeida</t>
  </si>
  <si>
    <t>carlos.almeida588@gmail.com</t>
  </si>
  <si>
    <t>manuel.silva589@gmail.com</t>
  </si>
  <si>
    <t>ana.monteiro590@gmail.com</t>
  </si>
  <si>
    <t>nelson.pinto591@gmail.com</t>
  </si>
  <si>
    <t>mateus.andrade592@gmail.com</t>
  </si>
  <si>
    <t>Helena Soares</t>
  </si>
  <si>
    <t>helena.soares594@gmail.com</t>
  </si>
  <si>
    <t>isabel.miguel595@gmail.com</t>
  </si>
  <si>
    <t>ana.soares596@gmail.com</t>
  </si>
  <si>
    <t>samuel.rodrigues597@gmail.com</t>
  </si>
  <si>
    <t>daniel.tavares598@gmail.com</t>
  </si>
  <si>
    <t>luís.tavares599@gmail.com</t>
  </si>
  <si>
    <t>manuel.david600@gmail.com</t>
  </si>
  <si>
    <t>samuel.monteiro601@gmail.com</t>
  </si>
  <si>
    <t>domingos.fernandes602@gmail.com</t>
  </si>
  <si>
    <t>benedito.lopes603@gmail.com</t>
  </si>
  <si>
    <t>José Costa</t>
  </si>
  <si>
    <t>josé.costa604@gmail.com</t>
  </si>
  <si>
    <t>Domingos Costa</t>
  </si>
  <si>
    <t>domingos.costa605@gmail.com</t>
  </si>
  <si>
    <t>Daniel Gomes</t>
  </si>
  <si>
    <t>daniel.gomes606@gmail.com</t>
  </si>
  <si>
    <t>josé.barbosa607@gmail.com</t>
  </si>
  <si>
    <t>Pedro Soares</t>
  </si>
  <si>
    <t>pedro.soares608@gmail.com</t>
  </si>
  <si>
    <t>paulo.andrade609@gmail.com</t>
  </si>
  <si>
    <t>josé.silva610@gmail.com</t>
  </si>
  <si>
    <t>isabel.costa611@gmail.com</t>
  </si>
  <si>
    <t>francisco.david612@gmail.com</t>
  </si>
  <si>
    <t>mateus.david613@gmail.com</t>
  </si>
  <si>
    <t>ana.david614@gmail.com</t>
  </si>
  <si>
    <t>Nelson Almeida</t>
  </si>
  <si>
    <t>nelson.almeida615@gmail.com</t>
  </si>
  <si>
    <t>luís.pereira616@gmail.com</t>
  </si>
  <si>
    <t>cláudia.gomes617@gmail.com</t>
  </si>
  <si>
    <t>ana.santos618@gmail.com</t>
  </si>
  <si>
    <t>sofia.david619@gmail.com</t>
  </si>
  <si>
    <t>Teresa Fernandes</t>
  </si>
  <si>
    <t>teresa.fernandes620@gmail.com</t>
  </si>
  <si>
    <t>domingos.miguel621@gmail.com</t>
  </si>
  <si>
    <t>Helena David</t>
  </si>
  <si>
    <t>helena.david622@gmail.com</t>
  </si>
  <si>
    <t>Sofia Gomes</t>
  </si>
  <si>
    <t>sofia.gomes623@gmail.com</t>
  </si>
  <si>
    <t>domingos.costa624@gmail.com</t>
  </si>
  <si>
    <t>nelson.pinto625@gmail.com</t>
  </si>
  <si>
    <t>Isabel Soares</t>
  </si>
  <si>
    <t>isabel.soares626@gmail.com</t>
  </si>
  <si>
    <t>isabel.gomes627@gmail.com</t>
  </si>
  <si>
    <t>francisco.barbosa628@gmail.com</t>
  </si>
  <si>
    <t>daniel.domingues629@gmail.com</t>
  </si>
  <si>
    <t>Francisco Santos</t>
  </si>
  <si>
    <t>francisco.santos630@gmail.com</t>
  </si>
  <si>
    <t>Maria Rodrigues</t>
  </si>
  <si>
    <t>maria.rodrigues631@gmail.com</t>
  </si>
  <si>
    <t>Fátima Tavares</t>
  </si>
  <si>
    <t>fátima.tavares632@gmail.com</t>
  </si>
  <si>
    <t>nelson.pinto633@gmail.com</t>
  </si>
  <si>
    <t>José Almeida</t>
  </si>
  <si>
    <t>josé.almeida634@gmail.com</t>
  </si>
  <si>
    <t>David Domingues</t>
  </si>
  <si>
    <t>david.domingues635@gmail.com</t>
  </si>
  <si>
    <t>ana.tavares636@gmail.com</t>
  </si>
  <si>
    <t>teresa.soares637@gmail.com</t>
  </si>
  <si>
    <t>francisco.tavares638@gmail.com</t>
  </si>
  <si>
    <t>bruno.silva639@gmail.com</t>
  </si>
  <si>
    <t>fátima.andrade640@gmail.com</t>
  </si>
  <si>
    <t>Pedro Miguel</t>
  </si>
  <si>
    <t>pedro.miguel641@gmail.com</t>
  </si>
  <si>
    <t>sofia.martins642@gmail.com</t>
  </si>
  <si>
    <t>mateus.barbosa643@gmail.com</t>
  </si>
  <si>
    <t>daniel.lopes644@gmail.com</t>
  </si>
  <si>
    <t>ana.gomes645@gmail.com</t>
  </si>
  <si>
    <t>josé.almeida646@gmail.com</t>
  </si>
  <si>
    <t>manuel.santos647@gmail.com</t>
  </si>
  <si>
    <t>Benedito Andrade</t>
  </si>
  <si>
    <t>benedito.andrade648@gmail.com</t>
  </si>
  <si>
    <t>antónio.pereira649@gmail.com</t>
  </si>
  <si>
    <t>benedito.lukeba650@gmail.com</t>
  </si>
  <si>
    <t>adriano.silva651@gmail.com</t>
  </si>
  <si>
    <t>Teresa Andrade</t>
  </si>
  <si>
    <t>teresa.andrade652@gmail.com</t>
  </si>
  <si>
    <t>teresa.silva653@gmail.com</t>
  </si>
  <si>
    <t>Manuel Fernandes</t>
  </si>
  <si>
    <t>manuel.fernandes654@gmail.com</t>
  </si>
  <si>
    <t>Maria Miguel</t>
  </si>
  <si>
    <t>maria.miguel655@gmail.com</t>
  </si>
  <si>
    <t>isabel.pereira656@gmail.com</t>
  </si>
  <si>
    <t>Rosa Almeida</t>
  </si>
  <si>
    <t>rosa.almeida657@gmail.com</t>
  </si>
  <si>
    <t>Marta Costa</t>
  </si>
  <si>
    <t>marta.costa658@gmail.com</t>
  </si>
  <si>
    <t>manuel.pereira659@gmail.com</t>
  </si>
  <si>
    <t>marta.fernandes660@gmail.com</t>
  </si>
  <si>
    <t>rui.santos661@gmail.com</t>
  </si>
  <si>
    <t>daniel.fernandes662@gmail.com</t>
  </si>
  <si>
    <t>antónio.david663@gmail.com</t>
  </si>
  <si>
    <t>adriano.david664@gmail.com</t>
  </si>
  <si>
    <t>Samuel Barbosa</t>
  </si>
  <si>
    <t>samuel.barbosa665@gmail.com</t>
  </si>
  <si>
    <t>Joaquim Barbosa</t>
  </si>
  <si>
    <t>joaquim.barbosa666@gmail.com</t>
  </si>
  <si>
    <t>cláudia.pinto667@gmail.com</t>
  </si>
  <si>
    <t>maria.lukeba668@gmail.com</t>
  </si>
  <si>
    <t>bruno.andrade669@gmail.com</t>
  </si>
  <si>
    <t>Adriano Domingues</t>
  </si>
  <si>
    <t>adriano.domingues670@gmail.com</t>
  </si>
  <si>
    <t>bruno.gomes671@gmail.com</t>
  </si>
  <si>
    <t>paulo.monteiro672@gmail.com</t>
  </si>
  <si>
    <t>luís.pereira673@gmail.com</t>
  </si>
  <si>
    <t>Samuel Silva</t>
  </si>
  <si>
    <t>samuel.silva674@gmail.com</t>
  </si>
  <si>
    <t>ana.domingues675@gmail.com</t>
  </si>
  <si>
    <t>António Miguel</t>
  </si>
  <si>
    <t>antónio.miguel676@gmail.com</t>
  </si>
  <si>
    <t>fátima.monteiro677@gmail.com</t>
  </si>
  <si>
    <t>daniel.martins678@gmail.com</t>
  </si>
  <si>
    <t>luís.lukeba679@gmail.com</t>
  </si>
  <si>
    <t>maria.lukeba680@gmail.com</t>
  </si>
  <si>
    <t>David Barbosa</t>
  </si>
  <si>
    <t>david.barbosa681@gmail.com</t>
  </si>
  <si>
    <t>Nelson Miguel</t>
  </si>
  <si>
    <t>nelson.miguel682@gmail.com</t>
  </si>
  <si>
    <t>marta.tavares683@gmail.com</t>
  </si>
  <si>
    <t>maria.miguel684@gmail.com</t>
  </si>
  <si>
    <t>João Lukeba</t>
  </si>
  <si>
    <t>joão.lukeba685@gmail.com</t>
  </si>
  <si>
    <t>Cláudia Barbosa</t>
  </si>
  <si>
    <t>cláudia.barbosa686@gmail.com</t>
  </si>
  <si>
    <t>francisco.almeida687@gmail.com</t>
  </si>
  <si>
    <t>joaquim.pereira688@gmail.com</t>
  </si>
  <si>
    <t>Samuel Andrade</t>
  </si>
  <si>
    <t>samuel.andrade689@gmail.com</t>
  </si>
  <si>
    <t>Cláudia Martins</t>
  </si>
  <si>
    <t>cláudia.martins690@gmail.com</t>
  </si>
  <si>
    <t>pedro.miguel691@gmail.com</t>
  </si>
  <si>
    <t>maria.pereira692@gmail.com</t>
  </si>
  <si>
    <t>josé.david693@gmail.com</t>
  </si>
  <si>
    <t>Joaquim Silva</t>
  </si>
  <si>
    <t>joaquim.silva694@gmail.com</t>
  </si>
  <si>
    <t>samuel.silva695@gmail.com</t>
  </si>
  <si>
    <t>João Soares</t>
  </si>
  <si>
    <t>joão.soares696@gmail.com</t>
  </si>
  <si>
    <t>sofia.almeida697@gmail.com</t>
  </si>
  <si>
    <t>david.lopes698@gmail.com</t>
  </si>
  <si>
    <t>rui.santos699@gmail.com</t>
  </si>
  <si>
    <t>ana.david700@gmail.com</t>
  </si>
  <si>
    <t>cláudia.martins701@gmail.com</t>
  </si>
  <si>
    <t>sofia.monteiro702@gmail.com</t>
  </si>
  <si>
    <t>nelson.silva703@gmail.com</t>
  </si>
  <si>
    <t>mateus.lopes704@gmail.com</t>
  </si>
  <si>
    <t>daniel.lopes705@gmail.com</t>
  </si>
  <si>
    <t>sofia.david706@gmail.com</t>
  </si>
  <si>
    <t>rosa.barbosa707@gmail.com</t>
  </si>
  <si>
    <t>manuel.lukeba708@gmail.com</t>
  </si>
  <si>
    <t>adriano.lukeba709@gmail.com</t>
  </si>
  <si>
    <t>carlos.costa710@gmail.com</t>
  </si>
  <si>
    <t>nelson.almeida711@gmail.com</t>
  </si>
  <si>
    <t>Luís Barbosa</t>
  </si>
  <si>
    <t>luís.barbosa712@gmail.com</t>
  </si>
  <si>
    <t>bruno.santos713@gmail.com</t>
  </si>
  <si>
    <t>Sofia Tavares</t>
  </si>
  <si>
    <t>sofia.tavares714@gmail.com</t>
  </si>
  <si>
    <t>domingos.lukeba715@gmail.com</t>
  </si>
  <si>
    <t>manuel.andrade716@gmail.com</t>
  </si>
  <si>
    <t>Joaquim Santos</t>
  </si>
  <si>
    <t>joaquim.santos717@gmail.com</t>
  </si>
  <si>
    <t>Pedro Barbosa</t>
  </si>
  <si>
    <t>pedro.barbosa718@gmail.com</t>
  </si>
  <si>
    <t>bruno.monteiro719@gmail.com</t>
  </si>
  <si>
    <t>nelson.soares720@gmail.com</t>
  </si>
  <si>
    <t>david.martins721@gmail.com</t>
  </si>
  <si>
    <t>Marta Monteiro</t>
  </si>
  <si>
    <t>marta.monteiro722@gmail.com</t>
  </si>
  <si>
    <t>manuel.santos723@gmail.com</t>
  </si>
  <si>
    <t>joão.lopes724@gmail.com</t>
  </si>
  <si>
    <t>adriano.andrade725@gmail.com</t>
  </si>
  <si>
    <t>josé.lukeba726@gmail.com</t>
  </si>
  <si>
    <t>Luís Costa</t>
  </si>
  <si>
    <t>luís.costa727@gmail.com</t>
  </si>
  <si>
    <t>Marta Silva</t>
  </si>
  <si>
    <t>marta.silva728@gmail.com</t>
  </si>
  <si>
    <t>paulo.pinto729@gmail.com</t>
  </si>
  <si>
    <t>Domingos Domingues</t>
  </si>
  <si>
    <t>domingos.domingues730@gmail.com</t>
  </si>
  <si>
    <t>manuel.costa731@gmail.com</t>
  </si>
  <si>
    <t>marta.costa732@gmail.com</t>
  </si>
  <si>
    <t>cláudia.fernandes733@gmail.com</t>
  </si>
  <si>
    <t>Fátima Gomes</t>
  </si>
  <si>
    <t>fátima.gomes734@gmail.com</t>
  </si>
  <si>
    <t>Rosa Monteiro</t>
  </si>
  <si>
    <t>rosa.monteiro735@gmail.com</t>
  </si>
  <si>
    <t>Marta Barbosa</t>
  </si>
  <si>
    <t>marta.barbosa736@gmail.com</t>
  </si>
  <si>
    <t>helena.tavares737@gmail.com</t>
  </si>
  <si>
    <t>Bruno Lukeba</t>
  </si>
  <si>
    <t>bruno.lukeba738@gmail.com</t>
  </si>
  <si>
    <t>Paulo Lukeba</t>
  </si>
  <si>
    <t>paulo.lukeba739@gmail.com</t>
  </si>
  <si>
    <t>Paulo Costa</t>
  </si>
  <si>
    <t>paulo.costa740@gmail.com</t>
  </si>
  <si>
    <t>francisco.monteiro741@gmail.com</t>
  </si>
  <si>
    <t>paulo.pereira742@gmail.com</t>
  </si>
  <si>
    <t>fátima.andrade743@gmail.com</t>
  </si>
  <si>
    <t>cláudia.fernandes744@gmail.com</t>
  </si>
  <si>
    <t>cláudia.rodrigues745@gmail.com</t>
  </si>
  <si>
    <t>Maria Soares</t>
  </si>
  <si>
    <t>maria.soares746@gmail.com</t>
  </si>
  <si>
    <t>Ana Barbosa</t>
  </si>
  <si>
    <t>ana.barbosa747@gmail.com</t>
  </si>
  <si>
    <t>mateus.miguel748@gmail.com</t>
  </si>
  <si>
    <t>Fátima Almeida</t>
  </si>
  <si>
    <t>fátima.almeida749@gmail.com</t>
  </si>
  <si>
    <t>Ana Costa</t>
  </si>
  <si>
    <t>ana.costa750@gmail.com</t>
  </si>
  <si>
    <t>luís.andrade751@gmail.com</t>
  </si>
  <si>
    <t>adriano.soares752@gmail.com</t>
  </si>
  <si>
    <t>josé.lopes753@gmail.com</t>
  </si>
  <si>
    <t>Benedito Rodrigues</t>
  </si>
  <si>
    <t>benedito.rodrigues754@gmail.com</t>
  </si>
  <si>
    <t>Carlos Lopes</t>
  </si>
  <si>
    <t>carlos.lopes755@gmail.com</t>
  </si>
  <si>
    <t>Marta Martins</t>
  </si>
  <si>
    <t>marta.martins756@gmail.com</t>
  </si>
  <si>
    <t>francisco.pereira757@gmail.com</t>
  </si>
  <si>
    <t>domingos.lukeba758@gmail.com</t>
  </si>
  <si>
    <t>Manuel Rodrigues</t>
  </si>
  <si>
    <t>manuel.rodrigues759@gmail.com</t>
  </si>
  <si>
    <t>rosa.gomes760@gmail.com</t>
  </si>
  <si>
    <t>Sofia Rodrigues</t>
  </si>
  <si>
    <t>sofia.rodrigues761@gmail.com</t>
  </si>
  <si>
    <t>isabel.fernandes762@gmail.com</t>
  </si>
  <si>
    <t>luís.tavares763@gmail.com</t>
  </si>
  <si>
    <t>adriano.soares764@gmail.com</t>
  </si>
  <si>
    <t>francisco.lukeba765@gmail.com</t>
  </si>
  <si>
    <t>pedro.lopes766@gmail.com</t>
  </si>
  <si>
    <t>antónio.fernandes767@gmail.com</t>
  </si>
  <si>
    <t>antónio.monteiro768@gmail.com</t>
  </si>
  <si>
    <t>mateus.silva769@gmail.com</t>
  </si>
  <si>
    <t>samuel.santos770@gmail.com</t>
  </si>
  <si>
    <t>joão.fernandes771@gmail.com</t>
  </si>
  <si>
    <t>Bruno Tavares</t>
  </si>
  <si>
    <t>bruno.tavares772@gmail.com</t>
  </si>
  <si>
    <t>Teresa Pinto</t>
  </si>
  <si>
    <t>teresa.pinto773@gmail.com</t>
  </si>
  <si>
    <t>marta.barbosa774@gmail.com</t>
  </si>
  <si>
    <t>cláudia.costa775@gmail.com</t>
  </si>
  <si>
    <t>pedro.santos776@gmail.com</t>
  </si>
  <si>
    <t>luís.andrade777@gmail.com</t>
  </si>
  <si>
    <t>joão.andrade778@gmail.com</t>
  </si>
  <si>
    <t>ana.domingues779@gmail.com</t>
  </si>
  <si>
    <t>adriano.david780@gmail.com</t>
  </si>
  <si>
    <t>Fátima Miguel</t>
  </si>
  <si>
    <t>fátima.miguel781@gmail.com</t>
  </si>
  <si>
    <t>maria.rodrigues782@gmail.com</t>
  </si>
  <si>
    <t>marta.miguel783@gmail.com</t>
  </si>
  <si>
    <t>adriano.david784@gmail.com</t>
  </si>
  <si>
    <t>fátima.andrade785@gmail.com</t>
  </si>
  <si>
    <t>Nelson Pereira</t>
  </si>
  <si>
    <t>nelson.pereira786@gmail.com</t>
  </si>
  <si>
    <t>david.martins787@gmail.com</t>
  </si>
  <si>
    <t>josé.pereira788@gmail.com</t>
  </si>
  <si>
    <t>luís.lukeba789@gmail.com</t>
  </si>
  <si>
    <t>isabel.david790@gmail.com</t>
  </si>
  <si>
    <t>Manuel Tavares</t>
  </si>
  <si>
    <t>manuel.tavares791@gmail.com</t>
  </si>
  <si>
    <t>Nelson Costa</t>
  </si>
  <si>
    <t>nelson.costa792@gmail.com</t>
  </si>
  <si>
    <t>Bruno Domingues</t>
  </si>
  <si>
    <t>bruno.domingues793@gmail.com</t>
  </si>
  <si>
    <t>luís.andrade794@gmail.com</t>
  </si>
  <si>
    <t>domingos.rodrigues795@gmail.com</t>
  </si>
  <si>
    <t>pedro.santos796@gmail.com</t>
  </si>
  <si>
    <t>Helena Santos</t>
  </si>
  <si>
    <t>helena.santos797@gmail.com</t>
  </si>
  <si>
    <t>cláudia.rodrigues798@gmail.com</t>
  </si>
  <si>
    <t>Helena Costa</t>
  </si>
  <si>
    <t>helena.costa799@gmail.com</t>
  </si>
  <si>
    <t>rui.tavares800@gmail.com</t>
  </si>
  <si>
    <t>antónio.lukeba801@gmail.com</t>
  </si>
  <si>
    <t>teresa.monteiro802@gmail.com</t>
  </si>
  <si>
    <t>Bruno Rodrigues</t>
  </si>
  <si>
    <t>bruno.rodrigues803@gmail.com</t>
  </si>
  <si>
    <t>marta.soares804@gmail.com</t>
  </si>
  <si>
    <t>david.pinto805@gmail.com</t>
  </si>
  <si>
    <t>bruno.soares806@gmail.com</t>
  </si>
  <si>
    <t>José Domingues</t>
  </si>
  <si>
    <t>josé.domingues807@gmail.com</t>
  </si>
  <si>
    <t>joaquim.andrade808@gmail.com</t>
  </si>
  <si>
    <t>marta.costa809@gmail.com</t>
  </si>
  <si>
    <t>João Martins</t>
  </si>
  <si>
    <t>joão.martins810@gmail.com</t>
  </si>
  <si>
    <t>samuel.almeida811@gmail.com</t>
  </si>
  <si>
    <t>mateus.fernandes812@gmail.com</t>
  </si>
  <si>
    <t>rui.monteiro813@gmail.com</t>
  </si>
  <si>
    <t>ana.costa814@gmail.com</t>
  </si>
  <si>
    <t>david.domingues815@gmail.com</t>
  </si>
  <si>
    <t>marta.martins816@gmail.com</t>
  </si>
  <si>
    <t>pedro.lukeba817@gmail.com</t>
  </si>
  <si>
    <t>bruno.silva818@gmail.com</t>
  </si>
  <si>
    <t>maria.monteiro819@gmail.com</t>
  </si>
  <si>
    <t>rosa.gomes820@gmail.com</t>
  </si>
  <si>
    <t>luís.costa821@gmail.com</t>
  </si>
  <si>
    <t>Cláudia Lopes</t>
  </si>
  <si>
    <t>cláudia.lopes822@gmail.com</t>
  </si>
  <si>
    <t>domingos.costa823@gmail.com</t>
  </si>
  <si>
    <t>benedito.lukeba824@gmail.com</t>
  </si>
  <si>
    <t>maria.soares825@gmail.com</t>
  </si>
  <si>
    <t>maria.fernandes826@gmail.com</t>
  </si>
  <si>
    <t>carlos.martins827@gmail.com</t>
  </si>
  <si>
    <t>bruno.santos828@gmail.com</t>
  </si>
  <si>
    <t>sofia.martins829@gmail.com</t>
  </si>
  <si>
    <t>Luís David</t>
  </si>
  <si>
    <t>luís.david830@gmail.com</t>
  </si>
  <si>
    <t>Teresa Santos</t>
  </si>
  <si>
    <t>teresa.santos831@gmail.com</t>
  </si>
  <si>
    <t>paulo.silva832@gmail.com</t>
  </si>
  <si>
    <t>joão.monteiro833@gmail.com</t>
  </si>
  <si>
    <t>ana.barbosa834@gmail.com</t>
  </si>
  <si>
    <t>sofia.tavares835@gmail.com</t>
  </si>
  <si>
    <t>Pedro Costa</t>
  </si>
  <si>
    <t>pedro.costa836@gmail.com</t>
  </si>
  <si>
    <t>rosa.rodrigues837@gmail.com</t>
  </si>
  <si>
    <t>bruno.pinto838@gmail.com</t>
  </si>
  <si>
    <t>joaquim.pereira839@gmail.com</t>
  </si>
  <si>
    <t>luís.martins840@gmail.com</t>
  </si>
  <si>
    <t>mateus.barbosa841@gmail.com</t>
  </si>
  <si>
    <t>teresa.david842@gmail.com</t>
  </si>
  <si>
    <t>marta.tavares843@gmail.com</t>
  </si>
  <si>
    <t>teresa.lopes844@gmail.com</t>
  </si>
  <si>
    <t>isabel.pinto845@gmail.com</t>
  </si>
  <si>
    <t>ana.silva846@gmail.com</t>
  </si>
  <si>
    <t>pedro.miguel847@gmail.com</t>
  </si>
  <si>
    <t>maria.martins848@gmail.com</t>
  </si>
  <si>
    <t>maria.soares849@gmail.com</t>
  </si>
  <si>
    <t>Adriano Monteiro</t>
  </si>
  <si>
    <t>adriano.monteiro850@gmail.com</t>
  </si>
  <si>
    <t>marta.fernandes851@gmail.com</t>
  </si>
  <si>
    <t>José Miguel</t>
  </si>
  <si>
    <t>josé.miguel852@gmail.com</t>
  </si>
  <si>
    <t>Cláudia Miguel</t>
  </si>
  <si>
    <t>cláudia.miguel853@gmail.com</t>
  </si>
  <si>
    <t>mateus.lopes854@gmail.com</t>
  </si>
  <si>
    <t>isabel.costa855@gmail.com</t>
  </si>
  <si>
    <t>manuel.costa856@gmail.com</t>
  </si>
  <si>
    <t>helena.santos857@gmail.com</t>
  </si>
  <si>
    <t>Benedito Soares</t>
  </si>
  <si>
    <t>benedito.soares858@gmail.com</t>
  </si>
  <si>
    <t>carlos.almeida859@gmail.com</t>
  </si>
  <si>
    <t>samuel.monteiro860@gmail.com</t>
  </si>
  <si>
    <t>maria.domingues861@gmail.com</t>
  </si>
  <si>
    <t>Ana Fernandes</t>
  </si>
  <si>
    <t>ana.fernandes862@gmail.com</t>
  </si>
  <si>
    <t>paulo.gomes863@gmail.com</t>
  </si>
  <si>
    <t>David Fernandes</t>
  </si>
  <si>
    <t>david.fernandes864@gmail.com</t>
  </si>
  <si>
    <t>benedito.barbosa865@gmail.com</t>
  </si>
  <si>
    <t>marta.costa866@gmail.com</t>
  </si>
  <si>
    <t>Isabel Barbosa</t>
  </si>
  <si>
    <t>isabel.barbosa867@gmail.com</t>
  </si>
  <si>
    <t>francisco.pereira868@gmail.com</t>
  </si>
  <si>
    <t>Francisco Rodrigues</t>
  </si>
  <si>
    <t>francisco.rodrigues869@gmail.com</t>
  </si>
  <si>
    <t>carlos.silva870@gmail.com</t>
  </si>
  <si>
    <t>mateus.miguel871@gmail.com</t>
  </si>
  <si>
    <t>carlos.martins872@gmail.com</t>
  </si>
  <si>
    <t>Francisco Gomes</t>
  </si>
  <si>
    <t>francisco.gomes873@gmail.com</t>
  </si>
  <si>
    <t>joaquim.pereira874@gmail.com</t>
  </si>
  <si>
    <t>sofia.pereira875@gmail.com</t>
  </si>
  <si>
    <t>mateus.fernandes876@gmail.com</t>
  </si>
  <si>
    <t>Pedro Domingues</t>
  </si>
  <si>
    <t>pedro.domingues877@gmail.com</t>
  </si>
  <si>
    <t>mateus.miguel878@gmail.com</t>
  </si>
  <si>
    <t>samuel.gomes879@gmail.com</t>
  </si>
  <si>
    <t>samuel.almeida880@gmail.com</t>
  </si>
  <si>
    <t>nelson.soares881@gmail.com</t>
  </si>
  <si>
    <t>Mateus Almeida</t>
  </si>
  <si>
    <t>mateus.almeida882@gmail.com</t>
  </si>
  <si>
    <t>francisco.miguel883@gmail.com</t>
  </si>
  <si>
    <t>domingos.david884@gmail.com</t>
  </si>
  <si>
    <t>adriano.martins885@gmail.com</t>
  </si>
  <si>
    <t>cláudia.martins886@gmail.com</t>
  </si>
  <si>
    <t>josé.costa887@gmail.com</t>
  </si>
  <si>
    <t>marta.gomes888@gmail.com</t>
  </si>
  <si>
    <t>adriano.domingues889@gmail.com</t>
  </si>
  <si>
    <t>teresa.santos890@gmail.com</t>
  </si>
  <si>
    <t>joaquim.silva891@gmail.com</t>
  </si>
  <si>
    <t>antónio.domingues892@gmail.com</t>
  </si>
  <si>
    <t>marta.martins893@gmail.com</t>
  </si>
  <si>
    <t>teresa.david894@gmail.com</t>
  </si>
  <si>
    <t>pedro.miguel895@gmail.com</t>
  </si>
  <si>
    <t>isabel.monteiro896@gmail.com</t>
  </si>
  <si>
    <t>samuel.gomes897@gmail.com</t>
  </si>
  <si>
    <t>adriano.domingues898@gmail.com</t>
  </si>
  <si>
    <t>pedro.almeida899@gmail.com</t>
  </si>
  <si>
    <t>bruno.gomes900@gmail.com</t>
  </si>
  <si>
    <t>Luís Silva</t>
  </si>
  <si>
    <t>luís.silva901@gmail.com</t>
  </si>
  <si>
    <t>antónio.pinto902@gmail.com</t>
  </si>
  <si>
    <t>marta.almeida903@gmail.com</t>
  </si>
  <si>
    <t>marta.david904@gmail.com</t>
  </si>
  <si>
    <t>nelson.rodrigues905@gmail.com</t>
  </si>
  <si>
    <t>Maria Barbosa</t>
  </si>
  <si>
    <t>maria.barbosa906@gmail.com</t>
  </si>
  <si>
    <t>joaquim.martins907@gmail.com</t>
  </si>
  <si>
    <t>Nelson Andrade</t>
  </si>
  <si>
    <t>nelson.andrade908@gmail.com</t>
  </si>
  <si>
    <t>domingos.barbosa909@gmail.com</t>
  </si>
  <si>
    <t>josé.costa910@gmail.com</t>
  </si>
  <si>
    <t>paulo.rodrigues911@gmail.com</t>
  </si>
  <si>
    <t>rosa.fernandes912@gmail.com</t>
  </si>
  <si>
    <t>benedito.santos913@gmail.com</t>
  </si>
  <si>
    <t>samuel.gomes914@gmail.com</t>
  </si>
  <si>
    <t>daniel.monteiro915@gmail.com</t>
  </si>
  <si>
    <t>francisco.gomes916@gmail.com</t>
  </si>
  <si>
    <t>rui.lopes917@gmail.com</t>
  </si>
  <si>
    <t>Bruno David</t>
  </si>
  <si>
    <t>bruno.david918@gmail.com</t>
  </si>
  <si>
    <t>David Miguel</t>
  </si>
  <si>
    <t>david.miguel919@gmail.com</t>
  </si>
  <si>
    <t>paulo.gomes920@gmail.com</t>
  </si>
  <si>
    <t>sofia.silva921@gmail.com</t>
  </si>
  <si>
    <t>mateus.soares922@gmail.com</t>
  </si>
  <si>
    <t>Nelson Domingues</t>
  </si>
  <si>
    <t>nelson.domingues923@gmail.com</t>
  </si>
  <si>
    <t>Manuel Monteiro</t>
  </si>
  <si>
    <t>manuel.monteiro924@gmail.com</t>
  </si>
  <si>
    <t>benedito.soares925@gmail.com</t>
  </si>
  <si>
    <t>samuel.martins926@gmail.com</t>
  </si>
  <si>
    <t>joaquim.monteiro927@gmail.com</t>
  </si>
  <si>
    <t>Paulo Tavares</t>
  </si>
  <si>
    <t>paulo.tavares928@gmail.com</t>
  </si>
  <si>
    <t>david.barbosa929@gmail.com</t>
  </si>
  <si>
    <t>carlos.domingues930@gmail.com</t>
  </si>
  <si>
    <t>joão.soares931@gmail.com</t>
  </si>
  <si>
    <t>Francisco Lopes</t>
  </si>
  <si>
    <t>francisco.lopes932@gmail.com</t>
  </si>
  <si>
    <t>cláudia.fernandes933@gmail.com</t>
  </si>
  <si>
    <t>teresa.santos934@gmail.com</t>
  </si>
  <si>
    <t>luís.martins935@gmail.com</t>
  </si>
  <si>
    <t>ana.fernandes936@gmail.com</t>
  </si>
  <si>
    <t>Francisco Martins</t>
  </si>
  <si>
    <t>francisco.martins937@gmail.com</t>
  </si>
  <si>
    <t>isabel.barbosa938@gmail.com</t>
  </si>
  <si>
    <t>Daniel Andrade</t>
  </si>
  <si>
    <t>daniel.andrade939@gmail.com</t>
  </si>
  <si>
    <t>samuel.martins940@gmail.com</t>
  </si>
  <si>
    <t>rui.rodrigues941@gmail.com</t>
  </si>
  <si>
    <t>maria.fernandes942@gmail.com</t>
  </si>
  <si>
    <t>joaquim.fernandes943@gmail.com</t>
  </si>
  <si>
    <t>helena.domingues944@gmail.com</t>
  </si>
  <si>
    <t>José Soares</t>
  </si>
  <si>
    <t>josé.soares945@gmail.com</t>
  </si>
  <si>
    <t>antónio.almeida946@gmail.com</t>
  </si>
  <si>
    <t>cláudia.martins947@gmail.com</t>
  </si>
  <si>
    <t>ana.pinto948@gmail.com</t>
  </si>
  <si>
    <t>domingos.fernandes949@gmail.com</t>
  </si>
  <si>
    <t>helena.domingues950@gmail.com</t>
  </si>
  <si>
    <t>carlos.soares951@gmail.com</t>
  </si>
  <si>
    <t>benedito.santos952@gmail.com</t>
  </si>
  <si>
    <t>adriano.tavares953@gmail.com</t>
  </si>
  <si>
    <t>cláudia.barbosa954@gmail.com</t>
  </si>
  <si>
    <t>daniel.martins955@gmail.com</t>
  </si>
  <si>
    <t>benedito.santos956@gmail.com</t>
  </si>
  <si>
    <t>luís.fernandes957@gmail.com</t>
  </si>
  <si>
    <t>fátima.monteiro958@gmail.com</t>
  </si>
  <si>
    <t>ana.santos959@gmail.com</t>
  </si>
  <si>
    <t>fátima.david960@gmail.com</t>
  </si>
  <si>
    <t>daniel.almeida961@gmail.com</t>
  </si>
  <si>
    <t>antónio.pinto962@gmail.com</t>
  </si>
  <si>
    <t>David Lukeba</t>
  </si>
  <si>
    <t>david.lukeba963@gmail.com</t>
  </si>
  <si>
    <t>sofia.pereira964@gmail.com</t>
  </si>
  <si>
    <t>José Santos</t>
  </si>
  <si>
    <t>josé.santos965@gmail.com</t>
  </si>
  <si>
    <t>rui.santos966@gmail.com</t>
  </si>
  <si>
    <t>rui.domingues967@gmail.com</t>
  </si>
  <si>
    <t>joão.lukeba968@gmail.com</t>
  </si>
  <si>
    <t>david.lopes969@gmail.com</t>
  </si>
  <si>
    <t>Cláudia Pereira</t>
  </si>
  <si>
    <t>cláudia.pereira970@gmail.com</t>
  </si>
  <si>
    <t>cláudia.lopes971@gmail.com</t>
  </si>
  <si>
    <t>joaquim.fernandes972@gmail.com</t>
  </si>
  <si>
    <t>ana.miguel973@gmail.com</t>
  </si>
  <si>
    <t>sofia.tavares974@gmail.com</t>
  </si>
  <si>
    <t>samuel.miguel975@gmail.com</t>
  </si>
  <si>
    <t>cláudia.almeida976@gmail.com</t>
  </si>
  <si>
    <t>mateus.david977@gmail.com</t>
  </si>
  <si>
    <t>adriano.david978@gmail.com</t>
  </si>
  <si>
    <t>josé.costa979@gmail.com</t>
  </si>
  <si>
    <t>teresa.miguel980@gmail.com</t>
  </si>
  <si>
    <t>paulo.rodrigues981@gmail.com</t>
  </si>
  <si>
    <t>pedro.almeida982@gmail.com</t>
  </si>
  <si>
    <t>domingos.david983@gmail.com</t>
  </si>
  <si>
    <t>paulo.monteiro984@gmail.com</t>
  </si>
  <si>
    <t>bruno.lukeba985@gmail.com</t>
  </si>
  <si>
    <t>David David</t>
  </si>
  <si>
    <t>david.david986@gmail.com</t>
  </si>
  <si>
    <t>rosa.domingues987@gmail.com</t>
  </si>
  <si>
    <t>fátima.pereira988@gmail.com</t>
  </si>
  <si>
    <t>paulo.rodrigues989@gmail.com</t>
  </si>
  <si>
    <t>adriano.domingues990@gmail.com</t>
  </si>
  <si>
    <t>Benedito Pereira</t>
  </si>
  <si>
    <t>benedito.pereira991@gmail.com</t>
  </si>
  <si>
    <t>Adriano Barbosa</t>
  </si>
  <si>
    <t>adriano.barbosa992@gmail.com</t>
  </si>
  <si>
    <t>cláudia.rodrigues993@gmail.com</t>
  </si>
  <si>
    <t>rui.lopes994@gmail.com</t>
  </si>
  <si>
    <t>cláudia.andrade995@gmail.com</t>
  </si>
  <si>
    <t>David Soares</t>
  </si>
  <si>
    <t>david.soares996@gmail.com</t>
  </si>
  <si>
    <t>manuel.costa997@gmail.com</t>
  </si>
  <si>
    <t>pedro.andrade998@gmail.com</t>
  </si>
  <si>
    <t>maria.david999@gmail.com</t>
  </si>
  <si>
    <t>samuel.david1000@gmail.com</t>
  </si>
  <si>
    <t>Quantidade</t>
  </si>
  <si>
    <t>Valor Pago</t>
  </si>
  <si>
    <t>% Vendas</t>
  </si>
  <si>
    <t>RELATÓRIO POR PRODUTO</t>
  </si>
  <si>
    <t>RELATÓRIO POR STATUS</t>
  </si>
  <si>
    <t>RELATÓRIO POR MOTIVOS</t>
  </si>
  <si>
    <t>MOTIVO</t>
  </si>
  <si>
    <t>Saldo Insuficiente</t>
  </si>
  <si>
    <t>Bonus</t>
  </si>
  <si>
    <t>VALOR</t>
  </si>
  <si>
    <t xml:space="preserve">META </t>
  </si>
  <si>
    <t xml:space="preserve"> </t>
  </si>
  <si>
    <t>CONTA , CONTA.SE, SOMA, SOMSAS, PROCV, SE, E OU , DIVIDE</t>
  </si>
  <si>
    <t>Rótulos de Linha</t>
  </si>
  <si>
    <t>Total Geral</t>
  </si>
  <si>
    <t xml:space="preserve">                  1-  Qual é o valor vendido por cada provincia?</t>
  </si>
  <si>
    <t>Qual é o valor vendido por Produto?</t>
  </si>
  <si>
    <t>Qual é o facturamento total por mês?</t>
  </si>
  <si>
    <t>Qual é o avalor vendido por cada produto em cada provincia?</t>
  </si>
  <si>
    <t>Quais são os 3 produtos com maior facturamento</t>
  </si>
  <si>
    <t>No final saber o total Receita, despesa e Saldo</t>
  </si>
  <si>
    <t xml:space="preserve">                                Perguntas de Negocios</t>
  </si>
  <si>
    <t>Soma de Valor_Produto</t>
  </si>
  <si>
    <t>Análise de Dados</t>
  </si>
  <si>
    <t>Ciência de Dados</t>
  </si>
  <si>
    <t>Curso Excel  &amp; Power BI</t>
  </si>
  <si>
    <t>Nº Incorreto Cartão Aprovado,</t>
  </si>
  <si>
    <t>Rótulos de Coluna</t>
  </si>
  <si>
    <t>MAI</t>
  </si>
  <si>
    <t>Segmentação de dados</t>
  </si>
  <si>
    <t>Valor perdido por meses em abandono de carrinhio</t>
  </si>
  <si>
    <t>Vendas aprovadas por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</si>
</sst>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_ ;[Red]\-#,##0.00\ "/>
    <numFmt numFmtId="165" formatCode="#,##0.000_ ;[Red]\-#,##0.000\ "/>
    <numFmt numFmtId="166" formatCode="#,##0_ ;[Red]\-#,##0\ "/>
    <numFmt numFmtId="167" formatCode="&quot;R$&quot;#,##0.00"/>
    <numFmt numFmtId="168" formatCode="#,##0.00&quot; KZ&quot;"/>
    <numFmt numFmtId="169" formatCode="#,##0&quot;kz&quot;"/>
  </numFmts>
  <fonts count="21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2"/>
      <color theme="1"/>
      <name val="Segoe UI"/>
      <family val="2"/>
    </font>
    <font>
      <sz val="10"/>
      <name val="Segoe UI"/>
      <family val="2"/>
    </font>
    <font>
      <sz val="11"/>
      <color theme="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2"/>
      <name val="Segoe UI"/>
      <family val="2"/>
    </font>
    <font>
      <sz val="12"/>
      <color theme="0"/>
      <name val="Segoe UI"/>
      <family val="2"/>
    </font>
    <font>
      <sz val="18"/>
      <color theme="1"/>
      <name val="Segoe UI"/>
      <family val="2"/>
    </font>
    <font>
      <b/>
      <sz val="12"/>
      <color theme="0"/>
      <name val="Segoe UI"/>
      <family val="2"/>
    </font>
    <font>
      <sz val="11"/>
      <color indexed="8"/>
      <name val="Calibr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28"/>
      <color theme="1"/>
      <name val="Segoe UI"/>
      <family val="2"/>
    </font>
    <font>
      <sz val="24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gradientFill degree="90">
        <stop position="0">
          <color theme="5"/>
        </stop>
        <stop position="1">
          <color theme="5" tint="0.40000610370189521"/>
        </stop>
      </gradient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dotted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4.9989318521683403E-2"/>
      </top>
      <bottom style="thin">
        <color theme="0" tint="-0.49998474074526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0.49998474074526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2" borderId="0" xfId="0" applyFill="1"/>
    <xf numFmtId="0" fontId="5" fillId="0" borderId="0" xfId="0" applyFont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indent="1"/>
    </xf>
    <xf numFmtId="164" fontId="0" fillId="0" borderId="6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164" fontId="0" fillId="5" borderId="6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left" vertical="center" inden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left" vertical="center" indent="1"/>
    </xf>
    <xf numFmtId="0" fontId="0" fillId="2" borderId="6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indent="1"/>
    </xf>
    <xf numFmtId="10" fontId="0" fillId="0" borderId="6" xfId="1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left" vertical="center" indent="1"/>
    </xf>
    <xf numFmtId="164" fontId="0" fillId="3" borderId="4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7" fontId="0" fillId="0" borderId="0" xfId="0" applyNumberFormat="1"/>
    <xf numFmtId="0" fontId="10" fillId="0" borderId="0" xfId="0" applyFont="1" applyAlignment="1">
      <alignment horizontal="left" vertical="center" indent="1"/>
    </xf>
    <xf numFmtId="164" fontId="1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0" fontId="5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7" borderId="0" xfId="0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6" fillId="0" borderId="0" xfId="0" applyNumberFormat="1" applyFont="1" applyAlignment="1">
      <alignment horizontal="center" vertical="center"/>
    </xf>
    <xf numFmtId="0" fontId="0" fillId="8" borderId="0" xfId="0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10" borderId="0" xfId="0" applyFont="1" applyFill="1"/>
    <xf numFmtId="0" fontId="3" fillId="10" borderId="0" xfId="0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68" fontId="0" fillId="0" borderId="0" xfId="0" applyNumberFormat="1"/>
    <xf numFmtId="0" fontId="0" fillId="0" borderId="0" xfId="0" applyNumberFormat="1"/>
    <xf numFmtId="169" fontId="0" fillId="0" borderId="0" xfId="0" applyNumberFormat="1"/>
    <xf numFmtId="0" fontId="0" fillId="8" borderId="0" xfId="0" applyFill="1" applyAlignment="1">
      <alignment horizontal="center"/>
    </xf>
    <xf numFmtId="0" fontId="13" fillId="7" borderId="17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9" fontId="5" fillId="0" borderId="16" xfId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3" fillId="7" borderId="26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9" fontId="5" fillId="0" borderId="21" xfId="1" applyFont="1" applyBorder="1" applyAlignment="1">
      <alignment horizontal="center"/>
    </xf>
    <xf numFmtId="9" fontId="5" fillId="0" borderId="22" xfId="1" applyFont="1" applyBorder="1" applyAlignment="1">
      <alignment horizontal="center"/>
    </xf>
    <xf numFmtId="9" fontId="5" fillId="0" borderId="23" xfId="1" applyFont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13" fillId="7" borderId="19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3" borderId="16" xfId="1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left" vertical="top"/>
    </xf>
    <xf numFmtId="0" fontId="18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3" borderId="21" xfId="1" applyNumberFormat="1" applyFont="1" applyFill="1" applyBorder="1" applyAlignment="1">
      <alignment horizontal="center"/>
    </xf>
    <xf numFmtId="0" fontId="5" fillId="3" borderId="22" xfId="1" applyNumberFormat="1" applyFont="1" applyFill="1" applyBorder="1" applyAlignment="1">
      <alignment horizontal="center"/>
    </xf>
    <xf numFmtId="0" fontId="5" fillId="3" borderId="23" xfId="1" applyNumberFormat="1" applyFont="1" applyFill="1" applyBorder="1" applyAlignment="1">
      <alignment horizontal="center"/>
    </xf>
    <xf numFmtId="9" fontId="5" fillId="3" borderId="16" xfId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 wrapText="1"/>
    </xf>
    <xf numFmtId="164" fontId="7" fillId="2" borderId="7" xfId="0" applyNumberFormat="1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164" fontId="7" fillId="2" borderId="14" xfId="0" applyNumberFormat="1" applyFont="1" applyFill="1" applyBorder="1" applyAlignment="1">
      <alignment horizontal="center" vertical="center" wrapText="1"/>
    </xf>
    <xf numFmtId="164" fontId="7" fillId="2" borderId="9" xfId="0" applyNumberFormat="1" applyFont="1" applyFill="1" applyBorder="1" applyAlignment="1">
      <alignment horizontal="center" vertical="center" wrapText="1"/>
    </xf>
    <xf numFmtId="164" fontId="7" fillId="2" borderId="10" xfId="0" applyNumberFormat="1" applyFont="1" applyFill="1" applyBorder="1" applyAlignment="1">
      <alignment horizontal="center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6" xfId="0" applyFill="1" applyBorder="1" applyAlignment="1">
      <alignment horizontal="left" vertical="center" inden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inden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Porcentagem" xfId="1" builtinId="5"/>
  </cellStyles>
  <dxfs count="1055"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9" formatCode="#,##0&quot;kz&quot;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numFmt numFmtId="168" formatCode="#,##0.00&quot; KZ&quot;"/>
    </dxf>
    <dxf>
      <numFmt numFmtId="168" formatCode="#,##0.00&quot; KZ&quot;"/>
    </dxf>
    <dxf>
      <numFmt numFmtId="4" formatCode="#,##0.0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7" formatCode="&quot;R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7" formatCode="&quot;R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0" indent="0" justifyLastLine="0" shrinkToFit="0" readingOrder="0"/>
    </dxf>
    <dxf>
      <numFmt numFmtId="164" formatCode="#,##0.00_ ;[Red]\-#,##0.0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4" formatCode="#,##0.00_ ;[Red]\-#,##0.00\ 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17346"/>
      <color rgb="FF339966"/>
      <color rgb="FF003764"/>
      <color rgb="FF9C0006"/>
      <color rgb="FF006100"/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dinâmica11</c:name>
    <c:fmtId val="1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6333301962926837E-2"/>
          <c:y val="4.3968962442061568E-2"/>
          <c:w val="0.75101973775476794"/>
          <c:h val="0.726054901423522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Tabela_Dinamica2!$B$27:$B$28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Tabela_Dinamica2!$A$29:$A$30</c:f>
              <c:strCache>
                <c:ptCount val="1"/>
                <c:pt idx="0">
                  <c:v>Análise de Dados</c:v>
                </c:pt>
              </c:strCache>
            </c:strRef>
          </c:cat>
          <c:val>
            <c:numRef>
              <c:f>Tabela_Dinamica2!$B$29:$B$30</c:f>
              <c:numCache>
                <c:formatCode>General</c:formatCode>
                <c:ptCount val="1"/>
                <c:pt idx="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3-4AA1-B9A3-4E2D837D1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36992"/>
        <c:axId val="178538240"/>
      </c:barChart>
      <c:catAx>
        <c:axId val="1785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8538240"/>
        <c:crosses val="autoZero"/>
        <c:auto val="1"/>
        <c:lblAlgn val="ctr"/>
        <c:lblOffset val="100"/>
        <c:noMultiLvlLbl val="0"/>
      </c:catAx>
      <c:valAx>
        <c:axId val="17853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8536992"/>
        <c:crosses val="autoZero"/>
        <c:crossBetween val="between"/>
      </c:valAx>
      <c:spPr>
        <a:noFill/>
        <a:ln>
          <a:noFill/>
        </a:ln>
        <a:effectLst>
          <a:innerShdw blurRad="63500" dist="50800" dir="10800000">
            <a:prstClr val="black">
              <a:alpha val="50000"/>
            </a:prstClr>
          </a:innerShdw>
        </a:effectLst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dinâmica2</c:name>
    <c:fmtId val="2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18031496062992"/>
          <c:y val="8.3078075401530407E-2"/>
          <c:w val="0.75465069991251099"/>
          <c:h val="0.61785284605098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Tabela_Dinamica2!$B$57:$B$58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Tabela_Dinamica2!$A$59:$A$60</c:f>
              <c:strCache>
                <c:ptCount val="1"/>
                <c:pt idx="0">
                  <c:v>Análise de Dados</c:v>
                </c:pt>
              </c:strCache>
            </c:strRef>
          </c:cat>
          <c:val>
            <c:numRef>
              <c:f>Tabela_Dinamica2!$B$59:$B$60</c:f>
              <c:numCache>
                <c:formatCode>General</c:formatCode>
                <c:ptCount val="1"/>
                <c:pt idx="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0-43E1-BDB2-32D148CE2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250960"/>
        <c:axId val="1576240976"/>
      </c:barChart>
      <c:catAx>
        <c:axId val="15762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6240976"/>
        <c:crosses val="autoZero"/>
        <c:auto val="1"/>
        <c:lblAlgn val="ctr"/>
        <c:lblOffset val="100"/>
        <c:noMultiLvlLbl val="0"/>
      </c:catAx>
      <c:valAx>
        <c:axId val="157624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625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dinâmica1</c:name>
    <c:fmtId val="4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908957489848425"/>
          <c:y val="0.14673182188381917"/>
          <c:w val="0.68023225480341287"/>
          <c:h val="0.78982638725904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Tabela_Dinamica2!$R$27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Tabela_Dinamica2!$Q$28:$Q$38</c:f>
              <c:strCache>
                <c:ptCount val="10"/>
                <c:pt idx="0">
                  <c:v>Cabinda</c:v>
                </c:pt>
                <c:pt idx="1">
                  <c:v>Moxico</c:v>
                </c:pt>
                <c:pt idx="2">
                  <c:v>Lunda Norte</c:v>
                </c:pt>
                <c:pt idx="3">
                  <c:v>Cunene</c:v>
                </c:pt>
                <c:pt idx="4">
                  <c:v>Uíge</c:v>
                </c:pt>
                <c:pt idx="5">
                  <c:v>Icolo e Bengo</c:v>
                </c:pt>
                <c:pt idx="6">
                  <c:v>Cuanza Sul</c:v>
                </c:pt>
                <c:pt idx="7">
                  <c:v>Cuando</c:v>
                </c:pt>
                <c:pt idx="8">
                  <c:v>Bié</c:v>
                </c:pt>
                <c:pt idx="9">
                  <c:v>Luanda</c:v>
                </c:pt>
              </c:strCache>
            </c:strRef>
          </c:cat>
          <c:val>
            <c:numRef>
              <c:f>Tabela_Dinamica2!$R$28:$R$38</c:f>
              <c:numCache>
                <c:formatCode>General</c:formatCode>
                <c:ptCount val="10"/>
                <c:pt idx="0">
                  <c:v>5000</c:v>
                </c:pt>
                <c:pt idx="1">
                  <c:v>5400</c:v>
                </c:pt>
                <c:pt idx="2">
                  <c:v>5800</c:v>
                </c:pt>
                <c:pt idx="3">
                  <c:v>6300</c:v>
                </c:pt>
                <c:pt idx="4">
                  <c:v>7300</c:v>
                </c:pt>
                <c:pt idx="5">
                  <c:v>7600</c:v>
                </c:pt>
                <c:pt idx="6">
                  <c:v>7900</c:v>
                </c:pt>
                <c:pt idx="7">
                  <c:v>8100</c:v>
                </c:pt>
                <c:pt idx="8">
                  <c:v>8300</c:v>
                </c:pt>
                <c:pt idx="9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E-4741-B31C-640081E20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2376000"/>
        <c:axId val="392366432"/>
      </c:barChart>
      <c:catAx>
        <c:axId val="39237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2366432"/>
        <c:crosses val="autoZero"/>
        <c:auto val="1"/>
        <c:lblAlgn val="ctr"/>
        <c:lblOffset val="100"/>
        <c:noMultiLvlLbl val="0"/>
      </c:catAx>
      <c:valAx>
        <c:axId val="3923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237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dinâmica3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vendas primeiro Trimestre</a:t>
            </a:r>
            <a:endParaRPr lang="en-US"/>
          </a:p>
        </c:rich>
      </c:tx>
      <c:layout>
        <c:manualLayout>
          <c:xMode val="edge"/>
          <c:yMode val="edge"/>
          <c:x val="0.17642896810014108"/>
          <c:y val="0.37758821813939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198495842239632"/>
          <c:y val="0.10033333333333333"/>
          <c:w val="0.76091085513884116"/>
          <c:h val="0.73043802857976081"/>
        </c:manualLayout>
      </c:layout>
      <c:pieChart>
        <c:varyColors val="1"/>
        <c:ser>
          <c:idx val="0"/>
          <c:order val="0"/>
          <c:tx>
            <c:strRef>
              <c:f>Tabela_Dinamica2!$V$27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C6-4E92-A307-BDD21F9D5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C6-4E92-A307-BDD21F9D5B9B}"/>
              </c:ext>
            </c:extLst>
          </c:dPt>
          <c:cat>
            <c:strRef>
              <c:f>Tabela_Dinamica2!$U$28:$U$30</c:f>
              <c:strCache>
                <c:ptCount val="2"/>
                <c:pt idx="0">
                  <c:v>Venda Perdida</c:v>
                </c:pt>
                <c:pt idx="1">
                  <c:v>Venda Realizada</c:v>
                </c:pt>
              </c:strCache>
            </c:strRef>
          </c:cat>
          <c:val>
            <c:numRef>
              <c:f>Tabela_Dinamica2!$V$28:$V$30</c:f>
              <c:numCache>
                <c:formatCode>#\ ##0"kz"</c:formatCode>
                <c:ptCount val="2"/>
                <c:pt idx="0">
                  <c:v>80900</c:v>
                </c:pt>
                <c:pt idx="1">
                  <c:v>28900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6-4E92-A307-BDD21F9D5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791074212650331E-2"/>
          <c:y val="0.87083289588801405"/>
          <c:w val="0.95314180374982216"/>
          <c:h val="0.10324117818606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dinâmica11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660080016425009"/>
          <c:y val="4.3620313226612438E-2"/>
          <c:w val="0.75101973775476794"/>
          <c:h val="0.76559866953567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Tabela_Dinamica2!$B$27:$B$28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Tabela_Dinamica2!$A$29:$A$30</c:f>
              <c:strCache>
                <c:ptCount val="1"/>
                <c:pt idx="0">
                  <c:v>Análise de Dados</c:v>
                </c:pt>
              </c:strCache>
            </c:strRef>
          </c:cat>
          <c:val>
            <c:numRef>
              <c:f>Tabela_Dinamica2!$B$29:$B$30</c:f>
              <c:numCache>
                <c:formatCode>General</c:formatCode>
                <c:ptCount val="1"/>
                <c:pt idx="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D-4DF3-9D02-3436B19C4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36992"/>
        <c:axId val="178538240"/>
      </c:barChart>
      <c:catAx>
        <c:axId val="1785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8538240"/>
        <c:crosses val="autoZero"/>
        <c:auto val="1"/>
        <c:lblAlgn val="ctr"/>
        <c:lblOffset val="100"/>
        <c:noMultiLvlLbl val="0"/>
      </c:catAx>
      <c:valAx>
        <c:axId val="17853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853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das provincias que mais compram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Tabela_Dinamica2!$R$27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Tabela_Dinamica2!$Q$28:$Q$38</c:f>
              <c:strCache>
                <c:ptCount val="10"/>
                <c:pt idx="0">
                  <c:v>Cabinda</c:v>
                </c:pt>
                <c:pt idx="1">
                  <c:v>Moxico</c:v>
                </c:pt>
                <c:pt idx="2">
                  <c:v>Lunda Norte</c:v>
                </c:pt>
                <c:pt idx="3">
                  <c:v>Cunene</c:v>
                </c:pt>
                <c:pt idx="4">
                  <c:v>Uíge</c:v>
                </c:pt>
                <c:pt idx="5">
                  <c:v>Icolo e Bengo</c:v>
                </c:pt>
                <c:pt idx="6">
                  <c:v>Cuanza Sul</c:v>
                </c:pt>
                <c:pt idx="7">
                  <c:v>Cuando</c:v>
                </c:pt>
                <c:pt idx="8">
                  <c:v>Bié</c:v>
                </c:pt>
                <c:pt idx="9">
                  <c:v>Luanda</c:v>
                </c:pt>
              </c:strCache>
            </c:strRef>
          </c:cat>
          <c:val>
            <c:numRef>
              <c:f>Tabela_Dinamica2!$R$28:$R$38</c:f>
              <c:numCache>
                <c:formatCode>General</c:formatCode>
                <c:ptCount val="10"/>
                <c:pt idx="0">
                  <c:v>5000</c:v>
                </c:pt>
                <c:pt idx="1">
                  <c:v>5400</c:v>
                </c:pt>
                <c:pt idx="2">
                  <c:v>5800</c:v>
                </c:pt>
                <c:pt idx="3">
                  <c:v>6300</c:v>
                </c:pt>
                <c:pt idx="4">
                  <c:v>7300</c:v>
                </c:pt>
                <c:pt idx="5">
                  <c:v>7600</c:v>
                </c:pt>
                <c:pt idx="6">
                  <c:v>7900</c:v>
                </c:pt>
                <c:pt idx="7">
                  <c:v>8100</c:v>
                </c:pt>
                <c:pt idx="8">
                  <c:v>8300</c:v>
                </c:pt>
                <c:pt idx="9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9-4020-8AA9-A0AC038D0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2376000"/>
        <c:axId val="392366432"/>
      </c:barChart>
      <c:catAx>
        <c:axId val="39237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2366432"/>
        <c:crosses val="autoZero"/>
        <c:auto val="1"/>
        <c:lblAlgn val="ctr"/>
        <c:lblOffset val="100"/>
        <c:noMultiLvlLbl val="0"/>
      </c:catAx>
      <c:valAx>
        <c:axId val="3923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23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dinâmica2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306526830393373"/>
          <c:y val="0.1111111111111111"/>
          <c:w val="0.75820647154110543"/>
          <c:h val="0.78148950131233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Tabela_Dinamica2!$B$57:$B$58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Tabela_Dinamica2!$A$59:$A$60</c:f>
              <c:strCache>
                <c:ptCount val="1"/>
                <c:pt idx="0">
                  <c:v>Análise de Dados</c:v>
                </c:pt>
              </c:strCache>
            </c:strRef>
          </c:cat>
          <c:val>
            <c:numRef>
              <c:f>Tabela_Dinamica2!$B$59:$B$60</c:f>
              <c:numCache>
                <c:formatCode>General</c:formatCode>
                <c:ptCount val="1"/>
                <c:pt idx="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4-4693-B2EE-3E9999098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250960"/>
        <c:axId val="1576240976"/>
      </c:barChart>
      <c:catAx>
        <c:axId val="15762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6240976"/>
        <c:crosses val="autoZero"/>
        <c:auto val="1"/>
        <c:lblAlgn val="ctr"/>
        <c:lblOffset val="100"/>
        <c:noMultiLvlLbl val="0"/>
      </c:catAx>
      <c:valAx>
        <c:axId val="157624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625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[Despenho de vendas Versão Final.xlsx]Tabela_Dinamica2!Tabela dinâmica3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vendas primeiro Trimestre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Tabela_Dinamica2!$V$27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59-4BE2-B894-3B8A3ABCAA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9-4BE2-B894-3B8A3ABCAAB9}"/>
              </c:ext>
            </c:extLst>
          </c:dPt>
          <c:cat>
            <c:strRef>
              <c:f>Tabela_Dinamica2!$U$28:$U$30</c:f>
              <c:strCache>
                <c:ptCount val="2"/>
                <c:pt idx="0">
                  <c:v>Venda Perdida</c:v>
                </c:pt>
                <c:pt idx="1">
                  <c:v>Venda Realizada</c:v>
                </c:pt>
              </c:strCache>
            </c:strRef>
          </c:cat>
          <c:val>
            <c:numRef>
              <c:f>Tabela_Dinamica2!$V$28:$V$30</c:f>
              <c:numCache>
                <c:formatCode>#\ ##0"kz"</c:formatCode>
                <c:ptCount val="2"/>
                <c:pt idx="0">
                  <c:v>80900</c:v>
                </c:pt>
                <c:pt idx="1">
                  <c:v>28900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6-4081-BD44-C12420CC2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2" Type="http://schemas.openxmlformats.org/officeDocument/2006/relationships/hyperlink" Target="#'03-2-Sol'!A1"/><Relationship Id="rId1" Type="http://schemas.openxmlformats.org/officeDocument/2006/relationships/hyperlink" Target="#'03-2-Exe'!A1"/></Relationships>
</file>

<file path=xl/diagrams/_rels/data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A3C5D5D-8492-4E3A-8571-ECD7780D0B40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393DF491-91CF-47FE-A03A-00AFE76F26F4}">
      <dgm:prSet phldrT="[Texto]" custT="1"/>
      <dgm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dgm:spPr>
      <dgm:t>
        <a:bodyPr/>
        <a:lstStyle/>
        <a:p>
          <a:r>
            <a:rPr lang="pt-BR" sz="10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Exercício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70BA54E-6E7A-4DDE-AAA3-6D9ACA51ABE3}" type="parTrans" cxnId="{BA49CA98-C31D-49A7-9BDB-E64008EC5DB8}">
      <dgm:prSet/>
      <dgm:spPr/>
      <dgm:t>
        <a:bodyPr/>
        <a:lstStyle/>
        <a:p>
          <a:endParaRPr lang="pt-BR" sz="1000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5113CC05-5F05-47FB-974A-2CCD82933FC0}" type="sibTrans" cxnId="{BA49CA98-C31D-49A7-9BDB-E64008EC5DB8}">
      <dgm:prSet/>
      <dgm:spPr/>
      <dgm:t>
        <a:bodyPr/>
        <a:lstStyle/>
        <a:p>
          <a:endParaRPr lang="pt-BR" sz="1000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71646D22-305D-4985-87FC-BE49B72369E1}">
      <dgm:prSet phldrT="[Texto]" custT="1"/>
      <dgm:spPr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dgm:spPr>
      <dgm:t>
        <a:bodyPr/>
        <a:lstStyle/>
        <a:p>
          <a:r>
            <a:rPr lang="pt-BR" sz="10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Solução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3648E246-CB6A-4201-9F89-0923A8497EAC}" type="parTrans" cxnId="{19CCC836-B1D7-4510-A6C6-DFEFE7C1D268}">
      <dgm:prSet/>
      <dgm:spPr/>
      <dgm:t>
        <a:bodyPr/>
        <a:lstStyle/>
        <a:p>
          <a:endParaRPr lang="pt-BR" sz="1000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07B12C7A-1F9D-495D-B1E7-C17E2A0D1D0C}" type="sibTrans" cxnId="{19CCC836-B1D7-4510-A6C6-DFEFE7C1D268}">
      <dgm:prSet/>
      <dgm:spPr/>
      <dgm:t>
        <a:bodyPr/>
        <a:lstStyle/>
        <a:p>
          <a:endParaRPr lang="pt-BR" sz="1000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80BE8CB0-D294-4EF6-AD8D-A2FFB4E5CCC6}" type="pres">
      <dgm:prSet presAssocID="{FA3C5D5D-8492-4E3A-8571-ECD7780D0B40}" presName="diagram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pt-BR"/>
        </a:p>
      </dgm:t>
    </dgm:pt>
    <dgm:pt modelId="{77BC27E3-CD45-4321-94DF-17514292F28D}" type="pres">
      <dgm:prSet presAssocID="{393DF491-91CF-47FE-A03A-00AFE76F26F4}" presName="node" presStyleLbl="node1" presStyleIdx="0" presStyleCnt="2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26E37830-BDF9-43EC-BB95-076952D485C0}" type="pres">
      <dgm:prSet presAssocID="{5113CC05-5F05-47FB-974A-2CCD82933FC0}" presName="sibTrans" presStyleCnt="0"/>
      <dgm:spPr/>
    </dgm:pt>
    <dgm:pt modelId="{41DE5C3A-4C31-4188-B14D-BC21D079EEF8}" type="pres">
      <dgm:prSet presAssocID="{71646D22-305D-4985-87FC-BE49B72369E1}" presName="node" presStyleLbl="node1" presStyleIdx="1" presStyleCnt="2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</dgm:ptLst>
  <dgm:cxnLst>
    <dgm:cxn modelId="{3A7E8B41-C068-493C-B30F-948A8224CC83}" type="presOf" srcId="{FA3C5D5D-8492-4E3A-8571-ECD7780D0B40}" destId="{80BE8CB0-D294-4EF6-AD8D-A2FFB4E5CCC6}" srcOrd="0" destOrd="0" presId="urn:microsoft.com/office/officeart/2005/8/layout/default"/>
    <dgm:cxn modelId="{7B3E5ADB-DEF0-4FD0-A8CC-B33300B5B7F9}" type="presOf" srcId="{71646D22-305D-4985-87FC-BE49B72369E1}" destId="{41DE5C3A-4C31-4188-B14D-BC21D079EEF8}" srcOrd="0" destOrd="0" presId="urn:microsoft.com/office/officeart/2005/8/layout/default"/>
    <dgm:cxn modelId="{BA49CA98-C31D-49A7-9BDB-E64008EC5DB8}" srcId="{FA3C5D5D-8492-4E3A-8571-ECD7780D0B40}" destId="{393DF491-91CF-47FE-A03A-00AFE76F26F4}" srcOrd="0" destOrd="0" parTransId="{D70BA54E-6E7A-4DDE-AAA3-6D9ACA51ABE3}" sibTransId="{5113CC05-5F05-47FB-974A-2CCD82933FC0}"/>
    <dgm:cxn modelId="{AD739FB8-151F-4E31-9ABE-474C548677B9}" type="presOf" srcId="{393DF491-91CF-47FE-A03A-00AFE76F26F4}" destId="{77BC27E3-CD45-4321-94DF-17514292F28D}" srcOrd="0" destOrd="0" presId="urn:microsoft.com/office/officeart/2005/8/layout/default"/>
    <dgm:cxn modelId="{19CCC836-B1D7-4510-A6C6-DFEFE7C1D268}" srcId="{FA3C5D5D-8492-4E3A-8571-ECD7780D0B40}" destId="{71646D22-305D-4985-87FC-BE49B72369E1}" srcOrd="1" destOrd="0" parTransId="{3648E246-CB6A-4201-9F89-0923A8497EAC}" sibTransId="{07B12C7A-1F9D-495D-B1E7-C17E2A0D1D0C}"/>
    <dgm:cxn modelId="{2C349214-3F15-4C67-8182-39F93DD0618B}" type="presParOf" srcId="{80BE8CB0-D294-4EF6-AD8D-A2FFB4E5CCC6}" destId="{77BC27E3-CD45-4321-94DF-17514292F28D}" srcOrd="0" destOrd="0" presId="urn:microsoft.com/office/officeart/2005/8/layout/default"/>
    <dgm:cxn modelId="{DCE358A0-DAFA-4A68-971B-18A9E30D17C9}" type="presParOf" srcId="{80BE8CB0-D294-4EF6-AD8D-A2FFB4E5CCC6}" destId="{26E37830-BDF9-43EC-BB95-076952D485C0}" srcOrd="1" destOrd="0" presId="urn:microsoft.com/office/officeart/2005/8/layout/default"/>
    <dgm:cxn modelId="{120A7A44-7D60-4763-9C71-7DB73BF91855}" type="presParOf" srcId="{80BE8CB0-D294-4EF6-AD8D-A2FFB4E5CCC6}" destId="{41DE5C3A-4C31-4188-B14D-BC21D079EEF8}" srcOrd="2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C580AE54-0DE3-4DCD-AD12-D2EF6CBA319F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10D0532A-EE45-4622-A0F9-78E6959FF9F5}">
      <dgm:prSet phldrT="[Texto]" custT="1"/>
      <dgm:spPr>
        <a:solidFill>
          <a:srgbClr val="0070C0"/>
        </a:solidFill>
        <a:ln>
          <a:solidFill>
            <a:schemeClr val="bg1">
              <a:lumMod val="75000"/>
            </a:schemeClr>
          </a:solidFill>
        </a:ln>
      </dgm:spPr>
      <dgm:t>
        <a:bodyPr/>
        <a:lstStyle/>
        <a:p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FBB44B84-0835-415F-8390-BC175DE4D353}" type="parTrans" cxnId="{A0BE4C3E-1FEA-423B-8DA3-1D47057BCB56}">
      <dgm:prSet/>
      <dgm:spPr/>
      <dgm:t>
        <a:bodyPr/>
        <a:lstStyle/>
        <a:p>
          <a:endParaRPr lang="pt-BR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9DEFC7C8-ABA6-4A5A-883F-F0142668E6DB}" type="sibTrans" cxnId="{A0BE4C3E-1FEA-423B-8DA3-1D47057BCB56}">
      <dgm:prSet/>
      <dgm:spPr/>
      <dgm:t>
        <a:bodyPr/>
        <a:lstStyle/>
        <a:p>
          <a:endParaRPr lang="pt-BR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23BCBFEC-4F08-4786-9278-E3B1765289CC}" type="pres">
      <dgm:prSet presAssocID="{C580AE54-0DE3-4DCD-AD12-D2EF6CBA319F}" presName="diagram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pt-BR"/>
        </a:p>
      </dgm:t>
    </dgm:pt>
    <dgm:pt modelId="{0CC1AC90-7A6B-4C79-A5E1-F331BA3B7DC8}" type="pres">
      <dgm:prSet presAssocID="{10D0532A-EE45-4622-A0F9-78E6959FF9F5}" presName="node" presStyleLbl="node1" presStyleIdx="0" presStyleCnt="1" custScaleX="92184" custScaleY="20588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</dgm:ptLst>
  <dgm:cxnLst>
    <dgm:cxn modelId="{A0BE4C3E-1FEA-423B-8DA3-1D47057BCB56}" srcId="{C580AE54-0DE3-4DCD-AD12-D2EF6CBA319F}" destId="{10D0532A-EE45-4622-A0F9-78E6959FF9F5}" srcOrd="0" destOrd="0" parTransId="{FBB44B84-0835-415F-8390-BC175DE4D353}" sibTransId="{9DEFC7C8-ABA6-4A5A-883F-F0142668E6DB}"/>
    <dgm:cxn modelId="{1745B9E0-C52A-42EB-8F9B-49EDEE30CE81}" type="presOf" srcId="{10D0532A-EE45-4622-A0F9-78E6959FF9F5}" destId="{0CC1AC90-7A6B-4C79-A5E1-F331BA3B7DC8}" srcOrd="0" destOrd="0" presId="urn:microsoft.com/office/officeart/2005/8/layout/default"/>
    <dgm:cxn modelId="{AD21EC68-8D53-4F21-974B-FA064E0DB489}" type="presOf" srcId="{C580AE54-0DE3-4DCD-AD12-D2EF6CBA319F}" destId="{23BCBFEC-4F08-4786-9278-E3B1765289CC}" srcOrd="0" destOrd="0" presId="urn:microsoft.com/office/officeart/2005/8/layout/default"/>
    <dgm:cxn modelId="{4C5FA2AE-D043-48AE-9782-146113E56F87}" type="presParOf" srcId="{23BCBFEC-4F08-4786-9278-E3B1765289CC}" destId="{0CC1AC90-7A6B-4C79-A5E1-F331BA3B7DC8}" srcOrd="0" destOrd="0" presId="urn:microsoft.com/office/officeart/2005/8/layout/default"/>
  </dgm:cxnLst>
  <dgm:bg/>
  <dgm:whole>
    <a:ln>
      <a:noFill/>
    </a:ln>
  </dgm:whole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7BC27E3-CD45-4321-94DF-17514292F28D}">
      <dsp:nvSpPr>
        <dsp:cNvPr id="0" name=""/>
        <dsp:cNvSpPr/>
      </dsp:nvSpPr>
      <dsp:spPr>
        <a:xfrm>
          <a:off x="25748" y="213"/>
          <a:ext cx="673977" cy="40438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ap="flat" cmpd="sng" algn="ctr">
          <a:solidFill>
            <a:schemeClr val="bg1">
              <a:lumMod val="8500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1000" kern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Exercício</a:t>
          </a:r>
        </a:p>
      </dsp:txBody>
      <dsp:txXfrm>
        <a:off x="25748" y="213"/>
        <a:ext cx="673977" cy="404386"/>
      </dsp:txXfrm>
    </dsp:sp>
    <dsp:sp modelId="{41DE5C3A-4C31-4188-B14D-BC21D079EEF8}">
      <dsp:nvSpPr>
        <dsp:cNvPr id="0" name=""/>
        <dsp:cNvSpPr/>
      </dsp:nvSpPr>
      <dsp:spPr>
        <a:xfrm>
          <a:off x="767123" y="213"/>
          <a:ext cx="673977" cy="404386"/>
        </a:xfrm>
        <a:prstGeom prst="rect">
          <a:avLst/>
        </a:prstGeom>
        <a:solidFill>
          <a:schemeClr val="bg1">
            <a:lumMod val="95000"/>
          </a:schemeClr>
        </a:solidFill>
        <a:ln w="12700" cap="flat" cmpd="sng" algn="ctr">
          <a:solidFill>
            <a:schemeClr val="bg1">
              <a:lumMod val="8500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1000" kern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Solução</a:t>
          </a:r>
        </a:p>
      </dsp:txBody>
      <dsp:txXfrm>
        <a:off x="767123" y="213"/>
        <a:ext cx="673977" cy="40438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CC1AC90-7A6B-4C79-A5E1-F331BA3B7DC8}">
      <dsp:nvSpPr>
        <dsp:cNvPr id="0" name=""/>
        <dsp:cNvSpPr/>
      </dsp:nvSpPr>
      <dsp:spPr>
        <a:xfrm>
          <a:off x="76143" y="148457"/>
          <a:ext cx="1796104" cy="240680"/>
        </a:xfrm>
        <a:prstGeom prst="rect">
          <a:avLst/>
        </a:prstGeom>
        <a:solidFill>
          <a:srgbClr val="0070C0"/>
        </a:solidFill>
        <a:ln w="12700" cap="flat" cmpd="sng" algn="ctr">
          <a:solidFill>
            <a:schemeClr val="bg1">
              <a:lumMod val="7500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1000" kern="12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dsp:txBody>
      <dsp:txXfrm>
        <a:off x="76143" y="148457"/>
        <a:ext cx="1796104" cy="24068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Relat&#243;rio!A1"/><Relationship Id="rId1" Type="http://schemas.openxmlformats.org/officeDocument/2006/relationships/hyperlink" Target="#Bas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Relat&#243;rio!A1"/><Relationship Id="rId1" Type="http://schemas.openxmlformats.org/officeDocument/2006/relationships/hyperlink" Target="#Base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2.png"/><Relationship Id="rId7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Relat&#243;rio!A1"/><Relationship Id="rId5" Type="http://schemas.openxmlformats.org/officeDocument/2006/relationships/hyperlink" Target="#Base!A1"/><Relationship Id="rId4" Type="http://schemas.openxmlformats.org/officeDocument/2006/relationships/hyperlink" Target="#Dashboard!A1"/><Relationship Id="rId9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diagramQuickStyle" Target="../diagrams/quickStyle2.xml"/><Relationship Id="rId18" Type="http://schemas.openxmlformats.org/officeDocument/2006/relationships/hyperlink" Target="#'02-3-Exe'!A1"/><Relationship Id="rId26" Type="http://schemas.openxmlformats.org/officeDocument/2006/relationships/hyperlink" Target="https://nextlevel.run/blog" TargetMode="External"/><Relationship Id="rId3" Type="http://schemas.openxmlformats.org/officeDocument/2006/relationships/diagramLayout" Target="../diagrams/layout1.xml"/><Relationship Id="rId21" Type="http://schemas.openxmlformats.org/officeDocument/2006/relationships/hyperlink" Target="#'02-6-Exe'!A1"/><Relationship Id="rId34" Type="http://schemas.openxmlformats.org/officeDocument/2006/relationships/hyperlink" Target="#In&#237;cio!A1"/><Relationship Id="rId7" Type="http://schemas.openxmlformats.org/officeDocument/2006/relationships/hyperlink" Target="#'01-1-Exe'!A1"/><Relationship Id="rId12" Type="http://schemas.openxmlformats.org/officeDocument/2006/relationships/diagramLayout" Target="../diagrams/layout2.xml"/><Relationship Id="rId17" Type="http://schemas.openxmlformats.org/officeDocument/2006/relationships/hyperlink" Target="#'02-2-Exe'!A1"/><Relationship Id="rId25" Type="http://schemas.openxmlformats.org/officeDocument/2006/relationships/hyperlink" Target="#'03-4-Exe'!A1"/><Relationship Id="rId33" Type="http://schemas.openxmlformats.org/officeDocument/2006/relationships/image" Target="../media/image7.png"/><Relationship Id="rId2" Type="http://schemas.openxmlformats.org/officeDocument/2006/relationships/diagramData" Target="../diagrams/data1.xml"/><Relationship Id="rId16" Type="http://schemas.openxmlformats.org/officeDocument/2006/relationships/hyperlink" Target="#'02-1-Exe'!A1"/><Relationship Id="rId20" Type="http://schemas.openxmlformats.org/officeDocument/2006/relationships/hyperlink" Target="#'02-5-Exe'!A1"/><Relationship Id="rId29" Type="http://schemas.openxmlformats.org/officeDocument/2006/relationships/image" Target="../media/image5.png"/><Relationship Id="rId1" Type="http://schemas.openxmlformats.org/officeDocument/2006/relationships/image" Target="../media/image3.png"/><Relationship Id="rId6" Type="http://schemas.microsoft.com/office/2007/relationships/diagramDrawing" Target="../diagrams/drawing1.xml"/><Relationship Id="rId11" Type="http://schemas.openxmlformats.org/officeDocument/2006/relationships/diagramData" Target="../diagrams/data2.xml"/><Relationship Id="rId24" Type="http://schemas.openxmlformats.org/officeDocument/2006/relationships/hyperlink" Target="#'03-3-Exe'!A1"/><Relationship Id="rId32" Type="http://schemas.openxmlformats.org/officeDocument/2006/relationships/hyperlink" Target="https://wa.me/5531988608848" TargetMode="External"/><Relationship Id="rId5" Type="http://schemas.openxmlformats.org/officeDocument/2006/relationships/diagramColors" Target="../diagrams/colors1.xml"/><Relationship Id="rId15" Type="http://schemas.microsoft.com/office/2007/relationships/diagramDrawing" Target="../diagrams/drawing2.xml"/><Relationship Id="rId23" Type="http://schemas.openxmlformats.org/officeDocument/2006/relationships/hyperlink" Target="#'03-2-Exe'!A1"/><Relationship Id="rId28" Type="http://schemas.openxmlformats.org/officeDocument/2006/relationships/hyperlink" Target="https://www.instagram.com/nextlevel.run/" TargetMode="External"/><Relationship Id="rId36" Type="http://schemas.openxmlformats.org/officeDocument/2006/relationships/image" Target="../media/image7.svg"/><Relationship Id="rId10" Type="http://schemas.openxmlformats.org/officeDocument/2006/relationships/hyperlink" Target="#'01-4-Exe'!A1"/><Relationship Id="rId19" Type="http://schemas.openxmlformats.org/officeDocument/2006/relationships/hyperlink" Target="#'02-4-Exe'!A1"/><Relationship Id="rId31" Type="http://schemas.openxmlformats.org/officeDocument/2006/relationships/image" Target="../media/image6.png"/><Relationship Id="rId4" Type="http://schemas.openxmlformats.org/officeDocument/2006/relationships/diagramQuickStyle" Target="../diagrams/quickStyle1.xml"/><Relationship Id="rId9" Type="http://schemas.openxmlformats.org/officeDocument/2006/relationships/hyperlink" Target="#'01-3-Exe'!A1"/><Relationship Id="rId14" Type="http://schemas.openxmlformats.org/officeDocument/2006/relationships/diagramColors" Target="../diagrams/colors2.xml"/><Relationship Id="rId22" Type="http://schemas.openxmlformats.org/officeDocument/2006/relationships/hyperlink" Target="#'03-1-Exe'!A1"/><Relationship Id="rId27" Type="http://schemas.openxmlformats.org/officeDocument/2006/relationships/image" Target="../media/image4.png"/><Relationship Id="rId30" Type="http://schemas.openxmlformats.org/officeDocument/2006/relationships/hyperlink" Target="https://www.youtube.com/channel/UCRIafgU7_URCZXt6X9XMbAg" TargetMode="External"/><Relationship Id="rId35" Type="http://schemas.openxmlformats.org/officeDocument/2006/relationships/image" Target="../media/image8.png"/><Relationship Id="rId8" Type="http://schemas.openxmlformats.org/officeDocument/2006/relationships/hyperlink" Target="#'01-2-Exe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https://www.instagram.com/nextlevel.run/" TargetMode="External"/><Relationship Id="rId7" Type="http://schemas.openxmlformats.org/officeDocument/2006/relationships/hyperlink" Target="https://wa.me/5531988608848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nextlevel.run/blog" TargetMode="External"/><Relationship Id="rId6" Type="http://schemas.openxmlformats.org/officeDocument/2006/relationships/image" Target="../media/image6.png"/><Relationship Id="rId5" Type="http://schemas.openxmlformats.org/officeDocument/2006/relationships/hyperlink" Target="https://www.youtube.com/channel/UCRIafgU7_URCZXt6X9XMbAg" TargetMode="External"/><Relationship Id="rId4" Type="http://schemas.openxmlformats.org/officeDocument/2006/relationships/image" Target="../media/image5.png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</xdr:row>
      <xdr:rowOff>66675</xdr:rowOff>
    </xdr:from>
    <xdr:to>
      <xdr:col>2</xdr:col>
      <xdr:colOff>361950</xdr:colOff>
      <xdr:row>3</xdr:row>
      <xdr:rowOff>180975</xdr:rowOff>
    </xdr:to>
    <xdr:sp macro="" textlink="">
      <xdr:nvSpPr>
        <xdr:cNvPr id="2" name="Retângulo: Cant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05DEF-2348-54A0-1A0C-ED1CBDE3A05B}"/>
            </a:ext>
          </a:extLst>
        </xdr:cNvPr>
        <xdr:cNvSpPr/>
      </xdr:nvSpPr>
      <xdr:spPr>
        <a:xfrm>
          <a:off x="438150" y="190500"/>
          <a:ext cx="1924050" cy="609600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Base</a:t>
          </a:r>
        </a:p>
      </xdr:txBody>
    </xdr:sp>
    <xdr:clientData/>
  </xdr:twoCellAnchor>
  <xdr:twoCellAnchor>
    <xdr:from>
      <xdr:col>2</xdr:col>
      <xdr:colOff>638175</xdr:colOff>
      <xdr:row>1</xdr:row>
      <xdr:rowOff>66675</xdr:rowOff>
    </xdr:from>
    <xdr:to>
      <xdr:col>4</xdr:col>
      <xdr:colOff>466725</xdr:colOff>
      <xdr:row>3</xdr:row>
      <xdr:rowOff>180975</xdr:rowOff>
    </xdr:to>
    <xdr:sp macro="" textlink="">
      <xdr:nvSpPr>
        <xdr:cNvPr id="3" name="Retângulo: Canto Arredondad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88DFA5-FDC3-44AE-9FC7-3F09D0EA606D}"/>
            </a:ext>
          </a:extLst>
        </xdr:cNvPr>
        <xdr:cNvSpPr/>
      </xdr:nvSpPr>
      <xdr:spPr>
        <a:xfrm>
          <a:off x="2638425" y="190500"/>
          <a:ext cx="1924050" cy="609600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Relatório</a:t>
          </a:r>
        </a:p>
      </xdr:txBody>
    </xdr:sp>
    <xdr:clientData/>
  </xdr:twoCellAnchor>
  <xdr:twoCellAnchor>
    <xdr:from>
      <xdr:col>4</xdr:col>
      <xdr:colOff>895350</xdr:colOff>
      <xdr:row>1</xdr:row>
      <xdr:rowOff>85725</xdr:rowOff>
    </xdr:from>
    <xdr:to>
      <xdr:col>5</xdr:col>
      <xdr:colOff>857250</xdr:colOff>
      <xdr:row>3</xdr:row>
      <xdr:rowOff>200025</xdr:rowOff>
    </xdr:to>
    <xdr:sp macro="" textlink="">
      <xdr:nvSpPr>
        <xdr:cNvPr id="7" name="Retângulo: Cant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3BE97E-93EE-420A-8D41-5092125EE232}"/>
            </a:ext>
          </a:extLst>
        </xdr:cNvPr>
        <xdr:cNvSpPr/>
      </xdr:nvSpPr>
      <xdr:spPr>
        <a:xfrm>
          <a:off x="4991100" y="209550"/>
          <a:ext cx="1924050" cy="609600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0</xdr:row>
      <xdr:rowOff>427403</xdr:rowOff>
    </xdr:from>
    <xdr:to>
      <xdr:col>2</xdr:col>
      <xdr:colOff>855037</xdr:colOff>
      <xdr:row>0</xdr:row>
      <xdr:rowOff>1034762</xdr:rowOff>
    </xdr:to>
    <xdr:sp macro="" textlink="">
      <xdr:nvSpPr>
        <xdr:cNvPr id="8" name="Retângulo: Cant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05DEF-2348-54A0-1A0C-ED1CBDE3A05B}"/>
            </a:ext>
          </a:extLst>
        </xdr:cNvPr>
        <xdr:cNvSpPr/>
      </xdr:nvSpPr>
      <xdr:spPr>
        <a:xfrm>
          <a:off x="146538" y="427403"/>
          <a:ext cx="1929653" cy="607359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Base</a:t>
          </a:r>
        </a:p>
      </xdr:txBody>
    </xdr:sp>
    <xdr:clientData/>
  </xdr:twoCellAnchor>
  <xdr:twoCellAnchor>
    <xdr:from>
      <xdr:col>2</xdr:col>
      <xdr:colOff>1131262</xdr:colOff>
      <xdr:row>0</xdr:row>
      <xdr:rowOff>427403</xdr:rowOff>
    </xdr:from>
    <xdr:to>
      <xdr:col>6</xdr:col>
      <xdr:colOff>393628</xdr:colOff>
      <xdr:row>0</xdr:row>
      <xdr:rowOff>1034762</xdr:rowOff>
    </xdr:to>
    <xdr:sp macro="" textlink="">
      <xdr:nvSpPr>
        <xdr:cNvPr id="9" name="Retângulo: Canto Arredondad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88DFA5-FDC3-44AE-9FC7-3F09D0EA606D}"/>
            </a:ext>
          </a:extLst>
        </xdr:cNvPr>
        <xdr:cNvSpPr/>
      </xdr:nvSpPr>
      <xdr:spPr>
        <a:xfrm>
          <a:off x="2352416" y="427403"/>
          <a:ext cx="2327462" cy="607359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Relatório</a:t>
          </a:r>
        </a:p>
      </xdr:txBody>
    </xdr:sp>
    <xdr:clientData/>
  </xdr:twoCellAnchor>
  <xdr:twoCellAnchor>
    <xdr:from>
      <xdr:col>7</xdr:col>
      <xdr:colOff>211676</xdr:colOff>
      <xdr:row>0</xdr:row>
      <xdr:rowOff>446453</xdr:rowOff>
    </xdr:from>
    <xdr:to>
      <xdr:col>10</xdr:col>
      <xdr:colOff>538198</xdr:colOff>
      <xdr:row>0</xdr:row>
      <xdr:rowOff>1053812</xdr:rowOff>
    </xdr:to>
    <xdr:sp macro="" textlink="">
      <xdr:nvSpPr>
        <xdr:cNvPr id="10" name="Retângulo: Cant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3BE97E-93EE-420A-8D41-5092125EE232}"/>
            </a:ext>
          </a:extLst>
        </xdr:cNvPr>
        <xdr:cNvSpPr/>
      </xdr:nvSpPr>
      <xdr:spPr>
        <a:xfrm>
          <a:off x="5108503" y="446453"/>
          <a:ext cx="2158253" cy="607359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536121</xdr:colOff>
      <xdr:row>0</xdr:row>
      <xdr:rowOff>706212</xdr:rowOff>
    </xdr:from>
    <xdr:to>
      <xdr:col>21</xdr:col>
      <xdr:colOff>340179</xdr:colOff>
      <xdr:row>40</xdr:row>
      <xdr:rowOff>2</xdr:rowOff>
    </xdr:to>
    <xdr:sp macro="" textlink="">
      <xdr:nvSpPr>
        <xdr:cNvPr id="5" name="Retângulo Arredondado 4"/>
        <xdr:cNvSpPr/>
      </xdr:nvSpPr>
      <xdr:spPr>
        <a:xfrm>
          <a:off x="536121" y="706212"/>
          <a:ext cx="12662808" cy="7104290"/>
        </a:xfrm>
        <a:prstGeom prst="roundRect">
          <a:avLst>
            <a:gd name="adj" fmla="val 2193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66675</xdr:colOff>
      <xdr:row>1</xdr:row>
      <xdr:rowOff>0</xdr:rowOff>
    </xdr:from>
    <xdr:to>
      <xdr:col>2</xdr:col>
      <xdr:colOff>78675</xdr:colOff>
      <xdr:row>5</xdr:row>
      <xdr:rowOff>147300</xdr:rowOff>
    </xdr:to>
    <xdr:sp macro="" textlink="">
      <xdr:nvSpPr>
        <xdr:cNvPr id="6" name="Retângulo Arredondado 5"/>
        <xdr:cNvSpPr/>
      </xdr:nvSpPr>
      <xdr:spPr>
        <a:xfrm>
          <a:off x="66675" y="0"/>
          <a:ext cx="1231200" cy="871200"/>
        </a:xfrm>
        <a:prstGeom prst="roundRect">
          <a:avLst/>
        </a:prstGeom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161924</xdr:colOff>
      <xdr:row>1</xdr:row>
      <xdr:rowOff>0</xdr:rowOff>
    </xdr:from>
    <xdr:to>
      <xdr:col>21</xdr:col>
      <xdr:colOff>231321</xdr:colOff>
      <xdr:row>5</xdr:row>
      <xdr:rowOff>147300</xdr:rowOff>
    </xdr:to>
    <xdr:sp macro="" textlink="">
      <xdr:nvSpPr>
        <xdr:cNvPr id="7" name="Retângulo Arredondado 6"/>
        <xdr:cNvSpPr/>
      </xdr:nvSpPr>
      <xdr:spPr>
        <a:xfrm>
          <a:off x="1386567" y="911679"/>
          <a:ext cx="11703504" cy="854871"/>
        </a:xfrm>
        <a:prstGeom prst="roundRect">
          <a:avLst/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104775</xdr:colOff>
      <xdr:row>6</xdr:row>
      <xdr:rowOff>19049</xdr:rowOff>
    </xdr:from>
    <xdr:to>
      <xdr:col>2</xdr:col>
      <xdr:colOff>116775</xdr:colOff>
      <xdr:row>40</xdr:row>
      <xdr:rowOff>163286</xdr:rowOff>
    </xdr:to>
    <xdr:sp macro="" textlink="">
      <xdr:nvSpPr>
        <xdr:cNvPr id="8" name="Retângulo Arredondado 7"/>
        <xdr:cNvSpPr/>
      </xdr:nvSpPr>
      <xdr:spPr>
        <a:xfrm>
          <a:off x="104775" y="903513"/>
          <a:ext cx="1236643" cy="6158594"/>
        </a:xfrm>
        <a:prstGeom prst="roundRect">
          <a:avLst/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228599</xdr:colOff>
      <xdr:row>11</xdr:row>
      <xdr:rowOff>44903</xdr:rowOff>
    </xdr:from>
    <xdr:to>
      <xdr:col>10</xdr:col>
      <xdr:colOff>352425</xdr:colOff>
      <xdr:row>22</xdr:row>
      <xdr:rowOff>91109</xdr:rowOff>
    </xdr:to>
    <xdr:sp macro="" textlink="">
      <xdr:nvSpPr>
        <xdr:cNvPr id="11" name="Retângulo Arredondado 10"/>
        <xdr:cNvSpPr/>
      </xdr:nvSpPr>
      <xdr:spPr>
        <a:xfrm>
          <a:off x="1454425" y="1867077"/>
          <a:ext cx="5027130" cy="2050597"/>
        </a:xfrm>
        <a:prstGeom prst="roundRect">
          <a:avLst/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54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180974</xdr:colOff>
      <xdr:row>22</xdr:row>
      <xdr:rowOff>133350</xdr:rowOff>
    </xdr:from>
    <xdr:to>
      <xdr:col>10</xdr:col>
      <xdr:colOff>304800</xdr:colOff>
      <xdr:row>34</xdr:row>
      <xdr:rowOff>38100</xdr:rowOff>
    </xdr:to>
    <xdr:sp macro="" textlink="">
      <xdr:nvSpPr>
        <xdr:cNvPr id="12" name="Retângulo Arredondado 11"/>
        <xdr:cNvSpPr/>
      </xdr:nvSpPr>
      <xdr:spPr>
        <a:xfrm>
          <a:off x="1400174" y="3933825"/>
          <a:ext cx="5000626" cy="2076450"/>
        </a:xfrm>
        <a:prstGeom prst="roundRect">
          <a:avLst/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10</xdr:col>
      <xdr:colOff>414384</xdr:colOff>
      <xdr:row>11</xdr:row>
      <xdr:rowOff>63096</xdr:rowOff>
    </xdr:from>
    <xdr:to>
      <xdr:col>16</xdr:col>
      <xdr:colOff>54428</xdr:colOff>
      <xdr:row>34</xdr:row>
      <xdr:rowOff>69272</xdr:rowOff>
    </xdr:to>
    <xdr:sp macro="" textlink="">
      <xdr:nvSpPr>
        <xdr:cNvPr id="14" name="Retângulo Arredondado 13"/>
        <xdr:cNvSpPr/>
      </xdr:nvSpPr>
      <xdr:spPr>
        <a:xfrm>
          <a:off x="6537598" y="2743703"/>
          <a:ext cx="3313973" cy="4074712"/>
        </a:xfrm>
        <a:prstGeom prst="roundRect">
          <a:avLst>
            <a:gd name="adj" fmla="val 2050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oneCell">
    <xdr:from>
      <xdr:col>0</xdr:col>
      <xdr:colOff>200025</xdr:colOff>
      <xdr:row>1</xdr:row>
      <xdr:rowOff>66675</xdr:rowOff>
    </xdr:from>
    <xdr:to>
      <xdr:col>1</xdr:col>
      <xdr:colOff>561975</xdr:colOff>
      <xdr:row>5</xdr:row>
      <xdr:rowOff>38100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75"/>
          <a:ext cx="971550" cy="695325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112060</xdr:colOff>
      <xdr:row>1</xdr:row>
      <xdr:rowOff>67237</xdr:rowOff>
    </xdr:from>
    <xdr:to>
      <xdr:col>18</xdr:col>
      <xdr:colOff>459442</xdr:colOff>
      <xdr:row>4</xdr:row>
      <xdr:rowOff>145677</xdr:rowOff>
    </xdr:to>
    <xdr:sp macro="" textlink="">
      <xdr:nvSpPr>
        <xdr:cNvPr id="22" name="CaixaDeTexto 21"/>
        <xdr:cNvSpPr txBox="1"/>
      </xdr:nvSpPr>
      <xdr:spPr>
        <a:xfrm>
          <a:off x="3137648" y="67237"/>
          <a:ext cx="8213912" cy="616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PT" sz="3600">
              <a:solidFill>
                <a:schemeClr val="bg1"/>
              </a:solidFill>
              <a:latin typeface="+mn-lt"/>
              <a:cs typeface="Segoe UI" panose="020B0502040204020203" pitchFamily="34" charset="0"/>
            </a:rPr>
            <a:t>ANÁLISE DE DESEMPENHO DE VENDA 2024</a:t>
          </a:r>
        </a:p>
      </xdr:txBody>
    </xdr:sp>
    <xdr:clientData/>
  </xdr:twoCellAnchor>
  <xdr:twoCellAnchor>
    <xdr:from>
      <xdr:col>2</xdr:col>
      <xdr:colOff>462643</xdr:colOff>
      <xdr:row>23</xdr:row>
      <xdr:rowOff>122464</xdr:rowOff>
    </xdr:from>
    <xdr:to>
      <xdr:col>10</xdr:col>
      <xdr:colOff>416380</xdr:colOff>
      <xdr:row>34</xdr:row>
      <xdr:rowOff>46345</xdr:rowOff>
    </xdr:to>
    <xdr:graphicFrame macro="">
      <xdr:nvGraphicFramePr>
        <xdr:cNvPr id="33" name="Gráfico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9</xdr:row>
      <xdr:rowOff>0</xdr:rowOff>
    </xdr:from>
    <xdr:to>
      <xdr:col>24</xdr:col>
      <xdr:colOff>81644</xdr:colOff>
      <xdr:row>11</xdr:row>
      <xdr:rowOff>27214</xdr:rowOff>
    </xdr:to>
    <xdr:sp macro="" textlink="">
      <xdr:nvSpPr>
        <xdr:cNvPr id="35" name="CaixaDeTexto 34"/>
        <xdr:cNvSpPr txBox="1"/>
      </xdr:nvSpPr>
      <xdr:spPr>
        <a:xfrm>
          <a:off x="12801600" y="1447800"/>
          <a:ext cx="1910444" cy="389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bg1"/>
              </a:solidFill>
            </a:rPr>
            <a:t>Abandono de carrinho Análise de dados</a:t>
          </a:r>
        </a:p>
      </xdr:txBody>
    </xdr:sp>
    <xdr:clientData/>
  </xdr:twoCellAnchor>
  <xdr:twoCellAnchor>
    <xdr:from>
      <xdr:col>2</xdr:col>
      <xdr:colOff>259895</xdr:colOff>
      <xdr:row>6</xdr:row>
      <xdr:rowOff>54428</xdr:rowOff>
    </xdr:from>
    <xdr:to>
      <xdr:col>16</xdr:col>
      <xdr:colOff>261936</xdr:colOff>
      <xdr:row>11</xdr:row>
      <xdr:rowOff>57150</xdr:rowOff>
    </xdr:to>
    <xdr:grpSp>
      <xdr:nvGrpSpPr>
        <xdr:cNvPr id="15" name="Agrupar 14"/>
        <xdr:cNvGrpSpPr/>
      </xdr:nvGrpSpPr>
      <xdr:grpSpPr>
        <a:xfrm>
          <a:off x="1484538" y="1850571"/>
          <a:ext cx="8574541" cy="887186"/>
          <a:chOff x="1484539" y="938892"/>
          <a:chExt cx="8014607" cy="887187"/>
        </a:xfrm>
      </xdr:grpSpPr>
      <xdr:grpSp>
        <xdr:nvGrpSpPr>
          <xdr:cNvPr id="13" name="Agrupar 12"/>
          <xdr:cNvGrpSpPr/>
        </xdr:nvGrpSpPr>
        <xdr:grpSpPr>
          <a:xfrm>
            <a:off x="1484539" y="938892"/>
            <a:ext cx="5291818" cy="887187"/>
            <a:chOff x="1484539" y="938892"/>
            <a:chExt cx="5291818" cy="887187"/>
          </a:xfrm>
        </xdr:grpSpPr>
        <xdr:sp macro="" textlink="ciencia">
          <xdr:nvSpPr>
            <xdr:cNvPr id="10" name="Retângulo Arredondado 9"/>
            <xdr:cNvSpPr/>
          </xdr:nvSpPr>
          <xdr:spPr>
            <a:xfrm>
              <a:off x="4026354" y="960664"/>
              <a:ext cx="2750003" cy="811672"/>
            </a:xfrm>
            <a:prstGeom prst="roundRect">
              <a:avLst/>
            </a:prstGeom>
            <a:gradFill flip="none" rotWithShape="1">
              <a:gsLst>
                <a:gs pos="0">
                  <a:schemeClr val="accent2">
                    <a:shade val="30000"/>
                    <a:satMod val="115000"/>
                  </a:schemeClr>
                </a:gs>
                <a:gs pos="50000">
                  <a:schemeClr val="accent2">
                    <a:shade val="67500"/>
                    <a:satMod val="115000"/>
                  </a:schemeClr>
                </a:gs>
                <a:gs pos="100000">
                  <a:schemeClr val="accent2"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7EF09A4-BE32-4799-B72E-EE118E5662C6}" type="TxLink">
                <a:rPr lang="en-US" sz="1600" b="1" i="0" u="none" strike="noStrike">
                  <a:solidFill>
                    <a:schemeClr val="bg1"/>
                  </a:solidFill>
                  <a:latin typeface="Segoe UI"/>
                  <a:cs typeface="Segoe UI"/>
                </a:rPr>
                <a:pPr algn="ctr"/>
                <a:t>12 600,00 KZ</a:t>
              </a:fld>
              <a:endParaRPr lang="pt-PT" sz="2000" b="1">
                <a:solidFill>
                  <a:schemeClr val="bg1"/>
                </a:solidFill>
              </a:endParaRPr>
            </a:p>
          </xdr:txBody>
        </xdr:sp>
        <xdr:grpSp>
          <xdr:nvGrpSpPr>
            <xdr:cNvPr id="3" name="Agrupar 2"/>
            <xdr:cNvGrpSpPr/>
          </xdr:nvGrpSpPr>
          <xdr:grpSpPr>
            <a:xfrm>
              <a:off x="1484539" y="938892"/>
              <a:ext cx="2461532" cy="884465"/>
              <a:chOff x="1484539" y="938892"/>
              <a:chExt cx="2461532" cy="884465"/>
            </a:xfrm>
          </xdr:grpSpPr>
          <xdr:sp macro="" textlink="Total_1">
            <xdr:nvSpPr>
              <xdr:cNvPr id="9" name="Retângulo Arredondado 8"/>
              <xdr:cNvSpPr/>
            </xdr:nvSpPr>
            <xdr:spPr>
              <a:xfrm>
                <a:off x="1484539" y="952500"/>
                <a:ext cx="2449286" cy="807590"/>
              </a:xfrm>
              <a:prstGeom prst="roundRect">
                <a:avLst/>
              </a:prstGeom>
              <a:gradFill flip="none" rotWithShape="1">
                <a:gsLst>
                  <a:gs pos="0">
                    <a:schemeClr val="accent2">
                      <a:shade val="30000"/>
                      <a:satMod val="115000"/>
                    </a:schemeClr>
                  </a:gs>
                  <a:gs pos="50000">
                    <a:schemeClr val="accent2">
                      <a:shade val="67500"/>
                      <a:satMod val="115000"/>
                    </a:schemeClr>
                  </a:gs>
                  <a:gs pos="100000">
                    <a:schemeClr val="accent2">
                      <a:shade val="100000"/>
                      <a:satMod val="115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817BE816-E65D-496C-8BC0-91F90BF04C9E}" type="TxLink">
                  <a:rPr lang="en-US" sz="1600" b="1" i="0" u="none" strike="noStrike">
                    <a:solidFill>
                      <a:schemeClr val="bg1"/>
                    </a:solidFill>
                    <a:latin typeface="Segoe UI"/>
                    <a:cs typeface="Segoe UI"/>
                  </a:rPr>
                  <a:pPr algn="ctr"/>
                  <a:t>12 000,00 KZ</a:t>
                </a:fld>
                <a:endParaRPr lang="pt-PT" sz="2000" b="1">
                  <a:solidFill>
                    <a:schemeClr val="bg1"/>
                  </a:solidFill>
                </a:endParaRPr>
              </a:p>
            </xdr:txBody>
          </xdr:sp>
          <xdr:pic>
            <xdr:nvPicPr>
              <xdr:cNvPr id="2" name="Imagem 1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557967" y="1006928"/>
                <a:ext cx="525839" cy="512790"/>
              </a:xfrm>
              <a:prstGeom prst="rect">
                <a:avLst/>
              </a:prstGeom>
            </xdr:spPr>
          </xdr:pic>
          <xdr:sp macro="" textlink="">
            <xdr:nvSpPr>
              <xdr:cNvPr id="4" name="CaixaDeTexto 3"/>
              <xdr:cNvSpPr txBox="1"/>
            </xdr:nvSpPr>
            <xdr:spPr>
              <a:xfrm>
                <a:off x="2027463" y="938892"/>
                <a:ext cx="1918608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PT" sz="1400" b="1">
                    <a:solidFill>
                      <a:schemeClr val="bg1"/>
                    </a:solidFill>
                  </a:rPr>
                  <a:t>Abandono de carrinho Análise de dados</a:t>
                </a:r>
              </a:p>
            </xdr:txBody>
          </xdr:sp>
          <xdr:sp macro="" textlink="">
            <xdr:nvSpPr>
              <xdr:cNvPr id="19" name="CaixaDeTexto 18"/>
              <xdr:cNvSpPr txBox="1"/>
            </xdr:nvSpPr>
            <xdr:spPr>
              <a:xfrm>
                <a:off x="1756682" y="1442357"/>
                <a:ext cx="1918608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PT" sz="1400" b="1">
                    <a:solidFill>
                      <a:schemeClr val="bg1"/>
                    </a:solidFill>
                  </a:rPr>
                  <a:t>Análise</a:t>
                </a:r>
                <a:r>
                  <a:rPr lang="pt-PT" sz="1400" b="1" baseline="0">
                    <a:solidFill>
                      <a:schemeClr val="bg1"/>
                    </a:solidFill>
                  </a:rPr>
                  <a:t> de Dados</a:t>
                </a:r>
                <a:endParaRPr lang="pt-PT" sz="1400" b="1">
                  <a:solidFill>
                    <a:schemeClr val="bg1"/>
                  </a:solidFill>
                </a:endParaRPr>
              </a:p>
            </xdr:txBody>
          </xdr:sp>
        </xdr:grpSp>
        <xdr:pic>
          <xdr:nvPicPr>
            <xdr:cNvPr id="21" name="Imagem 20"/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78010" y="1064077"/>
              <a:ext cx="525839" cy="512790"/>
            </a:xfrm>
            <a:prstGeom prst="rect">
              <a:avLst/>
            </a:prstGeom>
          </xdr:spPr>
        </xdr:pic>
        <xdr:sp macro="" textlink="">
          <xdr:nvSpPr>
            <xdr:cNvPr id="23" name="CaixaDeTexto 22"/>
            <xdr:cNvSpPr txBox="1"/>
          </xdr:nvSpPr>
          <xdr:spPr>
            <a:xfrm>
              <a:off x="4506685" y="941614"/>
              <a:ext cx="1918608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1400" b="1">
                  <a:solidFill>
                    <a:schemeClr val="bg1"/>
                  </a:solidFill>
                </a:rPr>
                <a:t>Abandono de carrinho Análise de dados</a:t>
              </a:r>
            </a:p>
          </xdr:txBody>
        </xdr:sp>
        <xdr:sp macro="" textlink="">
          <xdr:nvSpPr>
            <xdr:cNvPr id="24" name="CaixaDeTexto 23"/>
            <xdr:cNvSpPr txBox="1"/>
          </xdr:nvSpPr>
          <xdr:spPr>
            <a:xfrm>
              <a:off x="4358367" y="1445079"/>
              <a:ext cx="1918608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1400" b="1">
                  <a:solidFill>
                    <a:schemeClr val="bg1"/>
                  </a:solidFill>
                </a:rPr>
                <a:t>Ciência</a:t>
              </a:r>
              <a:r>
                <a:rPr lang="pt-PT" sz="1400" b="1" baseline="0">
                  <a:solidFill>
                    <a:schemeClr val="bg1"/>
                  </a:solidFill>
                </a:rPr>
                <a:t> de Dados </a:t>
              </a:r>
              <a:endParaRPr lang="pt-PT" sz="1400" b="1">
                <a:solidFill>
                  <a:schemeClr val="bg1"/>
                </a:solidFill>
              </a:endParaRPr>
            </a:p>
          </xdr:txBody>
        </xdr:sp>
      </xdr:grpSp>
      <xdr:sp macro="" textlink="Excel">
        <xdr:nvSpPr>
          <xdr:cNvPr id="29" name="Retângulo Arredondado 28"/>
          <xdr:cNvSpPr/>
        </xdr:nvSpPr>
        <xdr:spPr>
          <a:xfrm>
            <a:off x="6847115" y="949779"/>
            <a:ext cx="2652031" cy="811672"/>
          </a:xfrm>
          <a:prstGeom prst="roundRect">
            <a:avLst/>
          </a:prstGeom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978E66F-FB1C-4BB9-99BF-214143616777}" type="TxLink">
              <a:rPr lang="en-US" sz="1600" b="1" i="0" u="none" strike="noStrike">
                <a:solidFill>
                  <a:schemeClr val="bg1"/>
                </a:solidFill>
                <a:latin typeface="Segoe UI"/>
                <a:cs typeface="Segoe UI"/>
              </a:rPr>
              <a:pPr algn="ctr"/>
              <a:t>2 400,00 KZ</a:t>
            </a:fld>
            <a:endParaRPr lang="pt-PT" sz="4000" b="1">
              <a:solidFill>
                <a:schemeClr val="bg1"/>
              </a:solidFill>
            </a:endParaRPr>
          </a:p>
        </xdr:txBody>
      </xdr:sp>
      <xdr:pic>
        <xdr:nvPicPr>
          <xdr:cNvPr id="31" name="Imagem 30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7410" y="1094013"/>
            <a:ext cx="525839" cy="512790"/>
          </a:xfrm>
          <a:prstGeom prst="rect">
            <a:avLst/>
          </a:prstGeom>
        </xdr:spPr>
      </xdr:pic>
      <xdr:sp macro="" textlink="">
        <xdr:nvSpPr>
          <xdr:cNvPr id="34" name="CaixaDeTexto 33"/>
          <xdr:cNvSpPr txBox="1"/>
        </xdr:nvSpPr>
        <xdr:spPr>
          <a:xfrm>
            <a:off x="7451272" y="938893"/>
            <a:ext cx="1918608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Abandono de carrinho Análise de dados</a:t>
            </a:r>
          </a:p>
        </xdr:txBody>
      </xdr:sp>
      <xdr:sp macro="" textlink="">
        <xdr:nvSpPr>
          <xdr:cNvPr id="37" name="CaixaDeTexto 36"/>
          <xdr:cNvSpPr txBox="1"/>
        </xdr:nvSpPr>
        <xdr:spPr>
          <a:xfrm>
            <a:off x="7266215" y="1432833"/>
            <a:ext cx="1921329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Excel &amp;</a:t>
            </a:r>
            <a:r>
              <a:rPr lang="pt-PT" sz="1400" b="1" baseline="0">
                <a:solidFill>
                  <a:schemeClr val="bg1"/>
                </a:solidFill>
              </a:rPr>
              <a:t> Power BI</a:t>
            </a:r>
            <a:endParaRPr lang="pt-PT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16</xdr:col>
      <xdr:colOff>309562</xdr:colOff>
      <xdr:row>5</xdr:row>
      <xdr:rowOff>144236</xdr:rowOff>
    </xdr:from>
    <xdr:to>
      <xdr:col>21</xdr:col>
      <xdr:colOff>10206</xdr:colOff>
      <xdr:row>11</xdr:row>
      <xdr:rowOff>19050</xdr:rowOff>
    </xdr:to>
    <xdr:grpSp>
      <xdr:nvGrpSpPr>
        <xdr:cNvPr id="17" name="Agrupar 16"/>
        <xdr:cNvGrpSpPr/>
      </xdr:nvGrpSpPr>
      <xdr:grpSpPr>
        <a:xfrm>
          <a:off x="10106705" y="1763486"/>
          <a:ext cx="2762251" cy="936171"/>
          <a:chOff x="9624333" y="851807"/>
          <a:chExt cx="2377168" cy="936172"/>
        </a:xfrm>
      </xdr:grpSpPr>
      <xdr:sp macro="" textlink="ciencia">
        <xdr:nvSpPr>
          <xdr:cNvPr id="30" name="Retângulo Arredondado 29"/>
          <xdr:cNvSpPr/>
        </xdr:nvSpPr>
        <xdr:spPr>
          <a:xfrm>
            <a:off x="9624333" y="925286"/>
            <a:ext cx="2377168" cy="811672"/>
          </a:xfrm>
          <a:prstGeom prst="roundRect">
            <a:avLst/>
          </a:prstGeom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7EF09A4-BE32-4799-B72E-EE118E5662C6}" type="TxLink">
              <a:rPr lang="en-US" sz="1600" b="1" i="0" u="none" strike="noStrike">
                <a:solidFill>
                  <a:schemeClr val="bg1"/>
                </a:solidFill>
                <a:latin typeface="Segoe UI"/>
                <a:cs typeface="Segoe UI"/>
              </a:rPr>
              <a:pPr algn="ctr"/>
              <a:t>12 600,00 KZ</a:t>
            </a:fld>
            <a:endParaRPr lang="pt-PT" sz="2000" b="1">
              <a:solidFill>
                <a:schemeClr val="bg1"/>
              </a:solidFill>
            </a:endParaRPr>
          </a:p>
        </xdr:txBody>
      </xdr:sp>
      <xdr:pic>
        <xdr:nvPicPr>
          <xdr:cNvPr id="32" name="Imagem 3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33857" y="1061357"/>
            <a:ext cx="525839" cy="512790"/>
          </a:xfrm>
          <a:prstGeom prst="rect">
            <a:avLst/>
          </a:prstGeom>
        </xdr:spPr>
      </xdr:pic>
      <xdr:sp macro="" textlink="">
        <xdr:nvSpPr>
          <xdr:cNvPr id="36" name="CaixaDeTexto 35"/>
          <xdr:cNvSpPr txBox="1"/>
        </xdr:nvSpPr>
        <xdr:spPr>
          <a:xfrm>
            <a:off x="9963151" y="851807"/>
            <a:ext cx="1918608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Abandono de carrinho Análise de dados</a:t>
            </a:r>
          </a:p>
        </xdr:txBody>
      </xdr:sp>
      <xdr:sp macro="" textlink="">
        <xdr:nvSpPr>
          <xdr:cNvPr id="38" name="CaixaDeTexto 37"/>
          <xdr:cNvSpPr txBox="1"/>
        </xdr:nvSpPr>
        <xdr:spPr>
          <a:xfrm>
            <a:off x="9925051" y="1411061"/>
            <a:ext cx="1918608" cy="3769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Abandono de carrinho Análise de dados</a:t>
            </a:r>
          </a:p>
        </xdr:txBody>
      </xdr:sp>
    </xdr:grpSp>
    <xdr:clientData/>
  </xdr:twoCellAnchor>
  <xdr:twoCellAnchor>
    <xdr:from>
      <xdr:col>3</xdr:col>
      <xdr:colOff>533401</xdr:colOff>
      <xdr:row>22</xdr:row>
      <xdr:rowOff>156481</xdr:rowOff>
    </xdr:from>
    <xdr:to>
      <xdr:col>9</xdr:col>
      <xdr:colOff>27214</xdr:colOff>
      <xdr:row>25</xdr:row>
      <xdr:rowOff>6804</xdr:rowOff>
    </xdr:to>
    <xdr:sp macro="" textlink="">
      <xdr:nvSpPr>
        <xdr:cNvPr id="39" name="CaixaDeTexto 38"/>
        <xdr:cNvSpPr txBox="1"/>
      </xdr:nvSpPr>
      <xdr:spPr>
        <a:xfrm>
          <a:off x="2370365" y="4782910"/>
          <a:ext cx="3167742" cy="381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bg1"/>
              </a:solidFill>
            </a:rPr>
            <a:t>VENDAS</a:t>
          </a:r>
          <a:r>
            <a:rPr lang="pt-PT" sz="1400" b="1" baseline="0">
              <a:solidFill>
                <a:schemeClr val="bg1"/>
              </a:solidFill>
            </a:rPr>
            <a:t> POR MÊS</a:t>
          </a:r>
          <a:endParaRPr lang="pt-PT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129267</xdr:colOff>
      <xdr:row>38</xdr:row>
      <xdr:rowOff>59872</xdr:rowOff>
    </xdr:from>
    <xdr:to>
      <xdr:col>10</xdr:col>
      <xdr:colOff>210911</xdr:colOff>
      <xdr:row>40</xdr:row>
      <xdr:rowOff>87087</xdr:rowOff>
    </xdr:to>
    <xdr:sp macro="" textlink="">
      <xdr:nvSpPr>
        <xdr:cNvPr id="42" name="CaixaDeTexto 41"/>
        <xdr:cNvSpPr txBox="1"/>
      </xdr:nvSpPr>
      <xdr:spPr>
        <a:xfrm>
          <a:off x="4415517" y="6604908"/>
          <a:ext cx="19186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bg1"/>
              </a:solidFill>
            </a:rPr>
            <a:t>Ciência</a:t>
          </a:r>
          <a:r>
            <a:rPr lang="pt-PT" sz="1400" b="1" baseline="0">
              <a:solidFill>
                <a:schemeClr val="bg1"/>
              </a:solidFill>
            </a:rPr>
            <a:t> de Dados </a:t>
          </a:r>
          <a:endParaRPr lang="pt-PT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160565</xdr:colOff>
      <xdr:row>35</xdr:row>
      <xdr:rowOff>84365</xdr:rowOff>
    </xdr:from>
    <xdr:to>
      <xdr:col>15</xdr:col>
      <xdr:colOff>242209</xdr:colOff>
      <xdr:row>37</xdr:row>
      <xdr:rowOff>111579</xdr:rowOff>
    </xdr:to>
    <xdr:sp macro="" textlink="">
      <xdr:nvSpPr>
        <xdr:cNvPr id="45" name="CaixaDeTexto 44"/>
        <xdr:cNvSpPr txBox="1"/>
      </xdr:nvSpPr>
      <xdr:spPr>
        <a:xfrm>
          <a:off x="7508422" y="6098722"/>
          <a:ext cx="19186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bg1"/>
              </a:solidFill>
            </a:rPr>
            <a:t>Abandono de carrinho Análise de dados</a:t>
          </a:r>
        </a:p>
      </xdr:txBody>
    </xdr:sp>
    <xdr:clientData/>
  </xdr:twoCellAnchor>
  <xdr:twoCellAnchor>
    <xdr:from>
      <xdr:col>2</xdr:col>
      <xdr:colOff>262618</xdr:colOff>
      <xdr:row>35</xdr:row>
      <xdr:rowOff>2720</xdr:rowOff>
    </xdr:from>
    <xdr:to>
      <xdr:col>16</xdr:col>
      <xdr:colOff>217715</xdr:colOff>
      <xdr:row>40</xdr:row>
      <xdr:rowOff>5442</xdr:rowOff>
    </xdr:to>
    <xdr:grpSp>
      <xdr:nvGrpSpPr>
        <xdr:cNvPr id="16" name="Agrupar 15"/>
        <xdr:cNvGrpSpPr/>
      </xdr:nvGrpSpPr>
      <xdr:grpSpPr>
        <a:xfrm>
          <a:off x="1487261" y="6928756"/>
          <a:ext cx="8527597" cy="887186"/>
          <a:chOff x="1432832" y="6860721"/>
          <a:chExt cx="8041821" cy="887186"/>
        </a:xfrm>
      </xdr:grpSpPr>
      <xdr:grpSp>
        <xdr:nvGrpSpPr>
          <xdr:cNvPr id="47" name="Agrupar 46"/>
          <xdr:cNvGrpSpPr/>
        </xdr:nvGrpSpPr>
        <xdr:grpSpPr>
          <a:xfrm>
            <a:off x="1432832" y="6860721"/>
            <a:ext cx="5291818" cy="887186"/>
            <a:chOff x="1484539" y="938892"/>
            <a:chExt cx="5291818" cy="887187"/>
          </a:xfrm>
        </xdr:grpSpPr>
        <xdr:sp macro="" textlink="cieenn">
          <xdr:nvSpPr>
            <xdr:cNvPr id="52" name="Retângulo Arredondado 51"/>
            <xdr:cNvSpPr/>
          </xdr:nvSpPr>
          <xdr:spPr>
            <a:xfrm>
              <a:off x="4026354" y="960664"/>
              <a:ext cx="2750003" cy="811672"/>
            </a:xfrm>
            <a:prstGeom prst="roundRect">
              <a:avLst/>
            </a:prstGeom>
            <a:gradFill flip="none" rotWithShape="1">
              <a:gsLst>
                <a:gs pos="0">
                  <a:schemeClr val="accent2">
                    <a:shade val="30000"/>
                    <a:satMod val="115000"/>
                  </a:schemeClr>
                </a:gs>
                <a:gs pos="50000">
                  <a:schemeClr val="accent2">
                    <a:shade val="67500"/>
                    <a:satMod val="115000"/>
                  </a:schemeClr>
                </a:gs>
                <a:gs pos="100000">
                  <a:schemeClr val="accent2"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7EED65D-443E-4CEC-B861-DE8D248CD53E}" type="TxLink">
                <a:rPr lang="en-US" sz="1600" b="1" i="0" u="none" strike="noStrike">
                  <a:solidFill>
                    <a:schemeClr val="bg1"/>
                  </a:solidFill>
                  <a:latin typeface="Segoe UI"/>
                  <a:cs typeface="Segoe UI"/>
                </a:rPr>
                <a:pPr algn="ctr"/>
                <a:t>19 000,00 KZ</a:t>
              </a:fld>
              <a:endParaRPr lang="pt-PT" sz="4000" b="1">
                <a:solidFill>
                  <a:schemeClr val="bg1"/>
                </a:solidFill>
              </a:endParaRPr>
            </a:p>
          </xdr:txBody>
        </xdr:sp>
        <xdr:grpSp>
          <xdr:nvGrpSpPr>
            <xdr:cNvPr id="53" name="Agrupar 52"/>
            <xdr:cNvGrpSpPr/>
          </xdr:nvGrpSpPr>
          <xdr:grpSpPr>
            <a:xfrm>
              <a:off x="1484539" y="938892"/>
              <a:ext cx="2461532" cy="884465"/>
              <a:chOff x="1484539" y="938892"/>
              <a:chExt cx="2461532" cy="884465"/>
            </a:xfrm>
          </xdr:grpSpPr>
          <xdr:sp macro="" textlink="anaaa">
            <xdr:nvSpPr>
              <xdr:cNvPr id="57" name="Retângulo Arredondado 56"/>
              <xdr:cNvSpPr/>
            </xdr:nvSpPr>
            <xdr:spPr>
              <a:xfrm>
                <a:off x="1484539" y="952500"/>
                <a:ext cx="2449286" cy="807590"/>
              </a:xfrm>
              <a:prstGeom prst="roundRect">
                <a:avLst/>
              </a:prstGeom>
              <a:gradFill flip="none" rotWithShape="1">
                <a:gsLst>
                  <a:gs pos="0">
                    <a:schemeClr val="accent2">
                      <a:shade val="30000"/>
                      <a:satMod val="115000"/>
                    </a:schemeClr>
                  </a:gs>
                  <a:gs pos="50000">
                    <a:schemeClr val="accent2">
                      <a:shade val="67500"/>
                      <a:satMod val="115000"/>
                    </a:schemeClr>
                  </a:gs>
                  <a:gs pos="100000">
                    <a:schemeClr val="accent2">
                      <a:shade val="100000"/>
                      <a:satMod val="115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64629C69-AF4B-44A0-81A4-4038248595E0}" type="TxLink">
                  <a:rPr lang="en-US" sz="1600" b="1" i="0" u="none" strike="noStrike">
                    <a:solidFill>
                      <a:schemeClr val="bg1"/>
                    </a:solidFill>
                    <a:latin typeface="Segoe UI"/>
                    <a:cs typeface="Segoe UI"/>
                  </a:rPr>
                  <a:pPr algn="ctr"/>
                  <a:t>7 500,00 KZ</a:t>
                </a:fld>
                <a:endParaRPr lang="pt-PT" sz="4000" b="1">
                  <a:solidFill>
                    <a:schemeClr val="bg1"/>
                  </a:solidFill>
                </a:endParaRPr>
              </a:p>
            </xdr:txBody>
          </xdr:sp>
          <xdr:pic>
            <xdr:nvPicPr>
              <xdr:cNvPr id="58" name="Imagem 57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557967" y="1006928"/>
                <a:ext cx="525839" cy="512790"/>
              </a:xfrm>
              <a:prstGeom prst="rect">
                <a:avLst/>
              </a:prstGeom>
            </xdr:spPr>
          </xdr:pic>
          <xdr:sp macro="" textlink="">
            <xdr:nvSpPr>
              <xdr:cNvPr id="59" name="CaixaDeTexto 58"/>
              <xdr:cNvSpPr txBox="1"/>
            </xdr:nvSpPr>
            <xdr:spPr>
              <a:xfrm>
                <a:off x="2027463" y="938892"/>
                <a:ext cx="1918608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PT" sz="1400" b="1">
                    <a:solidFill>
                      <a:schemeClr val="bg1"/>
                    </a:solidFill>
                  </a:rPr>
                  <a:t>Venda</a:t>
                </a:r>
                <a:r>
                  <a:rPr lang="pt-PT" sz="1400" b="1" baseline="0">
                    <a:solidFill>
                      <a:schemeClr val="bg1"/>
                    </a:solidFill>
                  </a:rPr>
                  <a:t> aprovada</a:t>
                </a:r>
                <a:endParaRPr lang="pt-PT" sz="1400" b="1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60" name="CaixaDeTexto 59"/>
              <xdr:cNvSpPr txBox="1"/>
            </xdr:nvSpPr>
            <xdr:spPr>
              <a:xfrm>
                <a:off x="1756682" y="1442357"/>
                <a:ext cx="1918608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PT" sz="1400" b="1">
                    <a:solidFill>
                      <a:schemeClr val="bg1"/>
                    </a:solidFill>
                  </a:rPr>
                  <a:t>Análise</a:t>
                </a:r>
                <a:r>
                  <a:rPr lang="pt-PT" sz="1400" b="1" baseline="0">
                    <a:solidFill>
                      <a:schemeClr val="bg1"/>
                    </a:solidFill>
                  </a:rPr>
                  <a:t> de Dados</a:t>
                </a:r>
                <a:endParaRPr lang="pt-PT" sz="1400" b="1">
                  <a:solidFill>
                    <a:schemeClr val="bg1"/>
                  </a:solidFill>
                </a:endParaRPr>
              </a:p>
            </xdr:txBody>
          </xdr:sp>
        </xdr:grpSp>
        <xdr:pic>
          <xdr:nvPicPr>
            <xdr:cNvPr id="54" name="Imagem 53"/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78010" y="1064077"/>
              <a:ext cx="525839" cy="512790"/>
            </a:xfrm>
            <a:prstGeom prst="rect">
              <a:avLst/>
            </a:prstGeom>
          </xdr:spPr>
        </xdr:pic>
        <xdr:sp macro="" textlink="">
          <xdr:nvSpPr>
            <xdr:cNvPr id="55" name="CaixaDeTexto 54"/>
            <xdr:cNvSpPr txBox="1"/>
          </xdr:nvSpPr>
          <xdr:spPr>
            <a:xfrm>
              <a:off x="4506685" y="941614"/>
              <a:ext cx="1918608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1400" b="1">
                  <a:solidFill>
                    <a:schemeClr val="bg1"/>
                  </a:solidFill>
                </a:rPr>
                <a:t>Venda aprovada</a:t>
              </a:r>
            </a:p>
          </xdr:txBody>
        </xdr:sp>
        <xdr:sp macro="" textlink="">
          <xdr:nvSpPr>
            <xdr:cNvPr id="56" name="CaixaDeTexto 55"/>
            <xdr:cNvSpPr txBox="1"/>
          </xdr:nvSpPr>
          <xdr:spPr>
            <a:xfrm>
              <a:off x="4358367" y="1445079"/>
              <a:ext cx="1918608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1400" b="1">
                  <a:solidFill>
                    <a:schemeClr val="bg1"/>
                  </a:solidFill>
                </a:rPr>
                <a:t>Ciência</a:t>
              </a:r>
              <a:r>
                <a:rPr lang="pt-PT" sz="1400" b="1" baseline="0">
                  <a:solidFill>
                    <a:schemeClr val="bg1"/>
                  </a:solidFill>
                </a:rPr>
                <a:t> de Dados </a:t>
              </a:r>
              <a:endParaRPr lang="pt-PT" sz="1400" b="1">
                <a:solidFill>
                  <a:schemeClr val="bg1"/>
                </a:solidFill>
              </a:endParaRPr>
            </a:p>
          </xdr:txBody>
        </xdr:sp>
      </xdr:grpSp>
      <xdr:sp macro="" textlink="biiiii">
        <xdr:nvSpPr>
          <xdr:cNvPr id="48" name="Retângulo Arredondado 47"/>
          <xdr:cNvSpPr/>
        </xdr:nvSpPr>
        <xdr:spPr>
          <a:xfrm>
            <a:off x="6822622" y="6871607"/>
            <a:ext cx="2652031" cy="811671"/>
          </a:xfrm>
          <a:prstGeom prst="roundRect">
            <a:avLst/>
          </a:prstGeom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117245A-EE8A-4C47-B9F7-121C9271543B}" type="TxLink">
              <a:rPr lang="en-US" sz="1600" b="1" i="0" u="none" strike="noStrike">
                <a:solidFill>
                  <a:schemeClr val="bg1"/>
                </a:solidFill>
                <a:latin typeface="Segoe UI"/>
                <a:cs typeface="Segoe UI"/>
              </a:rPr>
              <a:pPr algn="ctr"/>
              <a:t>2 400,00 KZ</a:t>
            </a:fld>
            <a:endParaRPr lang="pt-PT" sz="6600" b="1">
              <a:solidFill>
                <a:schemeClr val="bg1"/>
              </a:solidFill>
            </a:endParaRPr>
          </a:p>
        </xdr:txBody>
      </xdr:sp>
      <xdr:pic>
        <xdr:nvPicPr>
          <xdr:cNvPr id="49" name="Imagem 48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45703" y="6988627"/>
            <a:ext cx="525839" cy="512789"/>
          </a:xfrm>
          <a:prstGeom prst="rect">
            <a:avLst/>
          </a:prstGeom>
        </xdr:spPr>
      </xdr:pic>
      <xdr:sp macro="" textlink="">
        <xdr:nvSpPr>
          <xdr:cNvPr id="50" name="CaixaDeTexto 49"/>
          <xdr:cNvSpPr txBox="1"/>
        </xdr:nvSpPr>
        <xdr:spPr>
          <a:xfrm>
            <a:off x="7236280" y="6860722"/>
            <a:ext cx="1918608" cy="380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Venda aprovada</a:t>
            </a:r>
          </a:p>
        </xdr:txBody>
      </xdr:sp>
      <xdr:sp macro="" textlink="">
        <xdr:nvSpPr>
          <xdr:cNvPr id="51" name="CaixaDeTexto 50"/>
          <xdr:cNvSpPr txBox="1"/>
        </xdr:nvSpPr>
        <xdr:spPr>
          <a:xfrm>
            <a:off x="7173686" y="7354660"/>
            <a:ext cx="1921329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Excel &amp;</a:t>
            </a:r>
            <a:r>
              <a:rPr lang="pt-PT" sz="1400" b="1" baseline="0">
                <a:solidFill>
                  <a:schemeClr val="bg1"/>
                </a:solidFill>
              </a:rPr>
              <a:t> Power BI</a:t>
            </a:r>
            <a:endParaRPr lang="pt-PT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16</xdr:col>
      <xdr:colOff>299357</xdr:colOff>
      <xdr:row>34</xdr:row>
      <xdr:rowOff>126547</xdr:rowOff>
    </xdr:from>
    <xdr:to>
      <xdr:col>21</xdr:col>
      <xdr:colOff>23811</xdr:colOff>
      <xdr:row>39</xdr:row>
      <xdr:rowOff>178254</xdr:rowOff>
    </xdr:to>
    <xdr:grpSp>
      <xdr:nvGrpSpPr>
        <xdr:cNvPr id="61" name="Agrupar 60"/>
        <xdr:cNvGrpSpPr/>
      </xdr:nvGrpSpPr>
      <xdr:grpSpPr>
        <a:xfrm>
          <a:off x="10096500" y="6875690"/>
          <a:ext cx="2786061" cy="936171"/>
          <a:chOff x="9624333" y="851807"/>
          <a:chExt cx="2377168" cy="936172"/>
        </a:xfrm>
      </xdr:grpSpPr>
      <xdr:sp macro="" textlink="ciencia">
        <xdr:nvSpPr>
          <xdr:cNvPr id="62" name="Retângulo Arredondado 61"/>
          <xdr:cNvSpPr/>
        </xdr:nvSpPr>
        <xdr:spPr>
          <a:xfrm>
            <a:off x="9624333" y="925286"/>
            <a:ext cx="2377168" cy="811672"/>
          </a:xfrm>
          <a:prstGeom prst="roundRect">
            <a:avLst/>
          </a:prstGeom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7EF09A4-BE32-4799-B72E-EE118E5662C6}" type="TxLink">
              <a:rPr lang="en-US" sz="1600" b="1" i="0" u="none" strike="noStrike">
                <a:solidFill>
                  <a:schemeClr val="bg1"/>
                </a:solidFill>
                <a:latin typeface="Segoe UI"/>
                <a:cs typeface="Segoe UI"/>
              </a:rPr>
              <a:pPr algn="ctr"/>
              <a:t>12 600,00 KZ</a:t>
            </a:fld>
            <a:endParaRPr lang="pt-PT" sz="2000" b="1">
              <a:solidFill>
                <a:schemeClr val="bg1"/>
              </a:solidFill>
            </a:endParaRPr>
          </a:p>
        </xdr:txBody>
      </xdr:sp>
      <xdr:pic>
        <xdr:nvPicPr>
          <xdr:cNvPr id="63" name="Imagem 6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33857" y="1061357"/>
            <a:ext cx="525839" cy="512790"/>
          </a:xfrm>
          <a:prstGeom prst="rect">
            <a:avLst/>
          </a:prstGeom>
        </xdr:spPr>
      </xdr:pic>
      <xdr:sp macro="" textlink="">
        <xdr:nvSpPr>
          <xdr:cNvPr id="64" name="CaixaDeTexto 63"/>
          <xdr:cNvSpPr txBox="1"/>
        </xdr:nvSpPr>
        <xdr:spPr>
          <a:xfrm>
            <a:off x="9963151" y="851807"/>
            <a:ext cx="1918608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Venda aprovada</a:t>
            </a:r>
          </a:p>
        </xdr:txBody>
      </xdr:sp>
      <xdr:sp macro="" textlink="">
        <xdr:nvSpPr>
          <xdr:cNvPr id="65" name="CaixaDeTexto 64"/>
          <xdr:cNvSpPr txBox="1"/>
        </xdr:nvSpPr>
        <xdr:spPr>
          <a:xfrm>
            <a:off x="9925051" y="1411061"/>
            <a:ext cx="1918608" cy="3769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>
                <a:solidFill>
                  <a:schemeClr val="bg1"/>
                </a:solidFill>
              </a:rPr>
              <a:t>Abandono de carrinho Análise de dados</a:t>
            </a:r>
          </a:p>
        </xdr:txBody>
      </xdr:sp>
    </xdr:grpSp>
    <xdr:clientData/>
  </xdr:twoCellAnchor>
  <xdr:twoCellAnchor>
    <xdr:from>
      <xdr:col>0</xdr:col>
      <xdr:colOff>114177</xdr:colOff>
      <xdr:row>15</xdr:row>
      <xdr:rowOff>53684</xdr:rowOff>
    </xdr:from>
    <xdr:to>
      <xdr:col>2</xdr:col>
      <xdr:colOff>95250</xdr:colOff>
      <xdr:row>18</xdr:row>
      <xdr:rowOff>126654</xdr:rowOff>
    </xdr:to>
    <xdr:sp macro="" textlink="">
      <xdr:nvSpPr>
        <xdr:cNvPr id="68" name="Retângulo: Canto Arredond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3BE97E-93EE-420A-8D41-5092125EE232}"/>
            </a:ext>
          </a:extLst>
        </xdr:cNvPr>
        <xdr:cNvSpPr/>
      </xdr:nvSpPr>
      <xdr:spPr>
        <a:xfrm>
          <a:off x="114177" y="3441863"/>
          <a:ext cx="1205716" cy="603648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</a:p>
      </xdr:txBody>
    </xdr:sp>
    <xdr:clientData/>
  </xdr:twoCellAnchor>
  <xdr:twoCellAnchor>
    <xdr:from>
      <xdr:col>0</xdr:col>
      <xdr:colOff>141394</xdr:colOff>
      <xdr:row>7</xdr:row>
      <xdr:rowOff>58138</xdr:rowOff>
    </xdr:from>
    <xdr:to>
      <xdr:col>2</xdr:col>
      <xdr:colOff>60807</xdr:colOff>
      <xdr:row>10</xdr:row>
      <xdr:rowOff>134819</xdr:rowOff>
    </xdr:to>
    <xdr:sp macro="" textlink="">
      <xdr:nvSpPr>
        <xdr:cNvPr id="70" name="Retângulo: Canto Arredondado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705DEF-2348-54A0-1A0C-ED1CBDE3A05B}"/>
            </a:ext>
          </a:extLst>
        </xdr:cNvPr>
        <xdr:cNvSpPr/>
      </xdr:nvSpPr>
      <xdr:spPr>
        <a:xfrm>
          <a:off x="141394" y="1997774"/>
          <a:ext cx="1131686" cy="596227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Base</a:t>
          </a:r>
        </a:p>
      </xdr:txBody>
    </xdr:sp>
    <xdr:clientData/>
  </xdr:twoCellAnchor>
  <xdr:twoCellAnchor>
    <xdr:from>
      <xdr:col>0</xdr:col>
      <xdr:colOff>141392</xdr:colOff>
      <xdr:row>11</xdr:row>
      <xdr:rowOff>58138</xdr:rowOff>
    </xdr:from>
    <xdr:to>
      <xdr:col>2</xdr:col>
      <xdr:colOff>69272</xdr:colOff>
      <xdr:row>14</xdr:row>
      <xdr:rowOff>134818</xdr:rowOff>
    </xdr:to>
    <xdr:sp macro="" textlink="">
      <xdr:nvSpPr>
        <xdr:cNvPr id="71" name="Retângulo: Canto Arredondado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88DFA5-FDC3-44AE-9FC7-3F09D0EA606D}"/>
            </a:ext>
          </a:extLst>
        </xdr:cNvPr>
        <xdr:cNvSpPr/>
      </xdr:nvSpPr>
      <xdr:spPr>
        <a:xfrm>
          <a:off x="141392" y="2690502"/>
          <a:ext cx="1140153" cy="596225"/>
        </a:xfrm>
        <a:prstGeom prst="round1Rect">
          <a:avLst>
            <a:gd name="adj" fmla="val 338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600" b="1">
              <a:latin typeface="Segoe UI" panose="020B0502040204020203" pitchFamily="34" charset="0"/>
              <a:cs typeface="Segoe UI" panose="020B0502040204020203" pitchFamily="34" charset="0"/>
            </a:rPr>
            <a:t>Relatório</a:t>
          </a:r>
        </a:p>
      </xdr:txBody>
    </xdr:sp>
    <xdr:clientData/>
  </xdr:twoCellAnchor>
  <xdr:twoCellAnchor>
    <xdr:from>
      <xdr:col>2</xdr:col>
      <xdr:colOff>406674</xdr:colOff>
      <xdr:row>11</xdr:row>
      <xdr:rowOff>122464</xdr:rowOff>
    </xdr:from>
    <xdr:to>
      <xdr:col>10</xdr:col>
      <xdr:colOff>80103</xdr:colOff>
      <xdr:row>22</xdr:row>
      <xdr:rowOff>11061</xdr:rowOff>
    </xdr:to>
    <xdr:graphicFrame macro="">
      <xdr:nvGraphicFramePr>
        <xdr:cNvPr id="73" name="Gráfico 7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454480</xdr:colOff>
      <xdr:row>11</xdr:row>
      <xdr:rowOff>36738</xdr:rowOff>
    </xdr:from>
    <xdr:to>
      <xdr:col>8</xdr:col>
      <xdr:colOff>560615</xdr:colOff>
      <xdr:row>13</xdr:row>
      <xdr:rowOff>63953</xdr:rowOff>
    </xdr:to>
    <xdr:sp macro="" textlink="">
      <xdr:nvSpPr>
        <xdr:cNvPr id="74" name="CaixaDeTexto 73"/>
        <xdr:cNvSpPr txBox="1"/>
      </xdr:nvSpPr>
      <xdr:spPr>
        <a:xfrm>
          <a:off x="2291444" y="2717345"/>
          <a:ext cx="3167742" cy="381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bg1"/>
              </a:solidFill>
            </a:rPr>
            <a:t>ABANDONO</a:t>
          </a:r>
          <a:r>
            <a:rPr lang="pt-PT" sz="1400" b="1" baseline="0">
              <a:solidFill>
                <a:schemeClr val="bg1"/>
              </a:solidFill>
            </a:rPr>
            <a:t> DE CARRINHO POR MÊS</a:t>
          </a:r>
          <a:endParaRPr lang="pt-PT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402773</xdr:colOff>
      <xdr:row>11</xdr:row>
      <xdr:rowOff>134709</xdr:rowOff>
    </xdr:from>
    <xdr:to>
      <xdr:col>15</xdr:col>
      <xdr:colOff>508908</xdr:colOff>
      <xdr:row>13</xdr:row>
      <xdr:rowOff>161924</xdr:rowOff>
    </xdr:to>
    <xdr:sp macro="" textlink="">
      <xdr:nvSpPr>
        <xdr:cNvPr id="75" name="CaixaDeTexto 74"/>
        <xdr:cNvSpPr txBox="1"/>
      </xdr:nvSpPr>
      <xdr:spPr>
        <a:xfrm>
          <a:off x="6525987" y="2815316"/>
          <a:ext cx="3167742" cy="381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bg1"/>
              </a:solidFill>
            </a:rPr>
            <a:t>AS</a:t>
          </a:r>
          <a:r>
            <a:rPr lang="pt-PT" sz="1400" b="1" baseline="0">
              <a:solidFill>
                <a:schemeClr val="bg1"/>
              </a:solidFill>
            </a:rPr>
            <a:t> 7 MELHOR PROVINCIAS</a:t>
          </a:r>
          <a:endParaRPr lang="pt-PT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381123</xdr:colOff>
      <xdr:row>1</xdr:row>
      <xdr:rowOff>118189</xdr:rowOff>
    </xdr:from>
    <xdr:to>
      <xdr:col>4</xdr:col>
      <xdr:colOff>398319</xdr:colOff>
      <xdr:row>6</xdr:row>
      <xdr:rowOff>0</xdr:rowOff>
    </xdr:to>
    <xdr:pic>
      <xdr:nvPicPr>
        <xdr:cNvPr id="77" name="Imagem 7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396" y="1018734"/>
          <a:ext cx="1229468" cy="747721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19</xdr:row>
      <xdr:rowOff>129143</xdr:rowOff>
    </xdr:from>
    <xdr:to>
      <xdr:col>2</xdr:col>
      <xdr:colOff>31296</xdr:colOff>
      <xdr:row>40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8" name="Mês 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71" y="4224893"/>
              <a:ext cx="1119868" cy="36808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492318</xdr:colOff>
      <xdr:row>11</xdr:row>
      <xdr:rowOff>81644</xdr:rowOff>
    </xdr:from>
    <xdr:to>
      <xdr:col>17</xdr:col>
      <xdr:colOff>176894</xdr:colOff>
      <xdr:row>33</xdr:row>
      <xdr:rowOff>42057</xdr:rowOff>
    </xdr:to>
    <xdr:graphicFrame macro="">
      <xdr:nvGraphicFramePr>
        <xdr:cNvPr id="66" name="Gráfico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159205</xdr:colOff>
      <xdr:row>10</xdr:row>
      <xdr:rowOff>176892</xdr:rowOff>
    </xdr:from>
    <xdr:to>
      <xdr:col>21</xdr:col>
      <xdr:colOff>122464</xdr:colOff>
      <xdr:row>34</xdr:row>
      <xdr:rowOff>122463</xdr:rowOff>
    </xdr:to>
    <xdr:sp macro="" textlink="">
      <xdr:nvSpPr>
        <xdr:cNvPr id="67" name="Retângulo Arredondado 66"/>
        <xdr:cNvSpPr/>
      </xdr:nvSpPr>
      <xdr:spPr>
        <a:xfrm>
          <a:off x="9956348" y="2680606"/>
          <a:ext cx="3024866" cy="4191000"/>
        </a:xfrm>
        <a:prstGeom prst="roundRect">
          <a:avLst/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16</xdr:col>
      <xdr:colOff>299357</xdr:colOff>
      <xdr:row>13</xdr:row>
      <xdr:rowOff>163284</xdr:rowOff>
    </xdr:from>
    <xdr:to>
      <xdr:col>20</xdr:col>
      <xdr:colOff>447783</xdr:colOff>
      <xdr:row>30</xdr:row>
      <xdr:rowOff>176891</xdr:rowOff>
    </xdr:to>
    <xdr:graphicFrame macro="">
      <xdr:nvGraphicFramePr>
        <xdr:cNvPr id="69" name="Gráfico 6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486456</xdr:colOff>
      <xdr:row>31</xdr:row>
      <xdr:rowOff>5441</xdr:rowOff>
    </xdr:from>
    <xdr:to>
      <xdr:col>5</xdr:col>
      <xdr:colOff>122464</xdr:colOff>
      <xdr:row>48</xdr:row>
      <xdr:rowOff>96609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224316</xdr:colOff>
      <xdr:row>39</xdr:row>
      <xdr:rowOff>94288</xdr:rowOff>
    </xdr:from>
    <xdr:to>
      <xdr:col>18</xdr:col>
      <xdr:colOff>548886</xdr:colOff>
      <xdr:row>54</xdr:row>
      <xdr:rowOff>122864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1238249</xdr:colOff>
      <xdr:row>67</xdr:row>
      <xdr:rowOff>17930</xdr:rowOff>
    </xdr:from>
    <xdr:to>
      <xdr:col>9</xdr:col>
      <xdr:colOff>229719</xdr:colOff>
      <xdr:row>82</xdr:row>
      <xdr:rowOff>71718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229159</xdr:colOff>
      <xdr:row>31</xdr:row>
      <xdr:rowOff>116540</xdr:rowOff>
    </xdr:from>
    <xdr:to>
      <xdr:col>13</xdr:col>
      <xdr:colOff>186576</xdr:colOff>
      <xdr:row>45</xdr:row>
      <xdr:rowOff>130547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ês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2306" y="571948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20</xdr:col>
      <xdr:colOff>235323</xdr:colOff>
      <xdr:row>32</xdr:row>
      <xdr:rowOff>163606</xdr:rowOff>
    </xdr:from>
    <xdr:to>
      <xdr:col>22</xdr:col>
      <xdr:colOff>537881</xdr:colOff>
      <xdr:row>48</xdr:row>
      <xdr:rowOff>38100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123825</xdr:rowOff>
    </xdr:from>
    <xdr:to>
      <xdr:col>1</xdr:col>
      <xdr:colOff>1679575</xdr:colOff>
      <xdr:row>2</xdr:row>
      <xdr:rowOff>133350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2CE6DDD-6749-4A72-900F-54F439E98862}"/>
            </a:ext>
          </a:extLst>
        </xdr:cNvPr>
        <xdr:cNvGrpSpPr/>
      </xdr:nvGrpSpPr>
      <xdr:grpSpPr>
        <a:xfrm>
          <a:off x="142875" y="123825"/>
          <a:ext cx="1651000" cy="504825"/>
          <a:chOff x="2543175" y="447675"/>
          <a:chExt cx="1651000" cy="50482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D0BE2F64-DA0C-4297-BF3E-BDB4FF68D102}"/>
              </a:ext>
            </a:extLst>
          </xdr:cNvPr>
          <xdr:cNvSpPr/>
        </xdr:nvSpPr>
        <xdr:spPr>
          <a:xfrm>
            <a:off x="2543175" y="447675"/>
            <a:ext cx="1651000" cy="504825"/>
          </a:xfrm>
          <a:prstGeom prst="rect">
            <a:avLst/>
          </a:prstGeom>
          <a:solidFill>
            <a:schemeClr val="bg1"/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7E2DC50E-66FB-48CE-84F5-4D02E3356E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61868" y="517064"/>
            <a:ext cx="1013615" cy="366046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419099</xdr:colOff>
      <xdr:row>5</xdr:row>
      <xdr:rowOff>157163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458E5D1-4C14-4DA2-9926-BE7C7562F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3</xdr:col>
      <xdr:colOff>5291</xdr:colOff>
      <xdr:row>27</xdr:row>
      <xdr:rowOff>153988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7C5B1FB-6426-423F-AA3F-B44E847D5E3C}"/>
            </a:ext>
          </a:extLst>
        </xdr:cNvPr>
        <xdr:cNvGrpSpPr/>
      </xdr:nvGrpSpPr>
      <xdr:grpSpPr>
        <a:xfrm>
          <a:off x="0" y="742950"/>
          <a:ext cx="1948391" cy="6097588"/>
          <a:chOff x="0" y="742950"/>
          <a:chExt cx="1952624" cy="5995988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19C0968-33D7-44BB-8734-3B3E2D15A977}"/>
              </a:ext>
            </a:extLst>
          </xdr:cNvPr>
          <xdr:cNvGrpSpPr/>
        </xdr:nvGrpSpPr>
        <xdr:grpSpPr>
          <a:xfrm>
            <a:off x="0" y="1390650"/>
            <a:ext cx="1952624" cy="1595438"/>
            <a:chOff x="0" y="1395412"/>
            <a:chExt cx="1952624" cy="1595438"/>
          </a:xfrm>
        </xdr:grpSpPr>
        <xdr:sp macro="" textlink="">
          <xdr:nvSpPr>
            <xdr:cNvPr id="25" name="Retângulo 24">
              <a:extLst>
                <a:ext uri="{FF2B5EF4-FFF2-40B4-BE49-F238E27FC236}">
                  <a16:creationId xmlns:a16="http://schemas.microsoft.com/office/drawing/2014/main" id="{23FEC0BF-FAA8-4810-9112-A11CAB8F6BC7}"/>
                </a:ext>
              </a:extLst>
            </xdr:cNvPr>
            <xdr:cNvSpPr/>
          </xdr:nvSpPr>
          <xdr:spPr>
            <a:xfrm>
              <a:off x="0" y="1395412"/>
              <a:ext cx="1952624" cy="1595438"/>
            </a:xfrm>
            <a:prstGeom prst="rect">
              <a:avLst/>
            </a:prstGeom>
            <a:ln>
              <a:noFill/>
            </a:ln>
          </xdr:spPr>
        </xdr:sp>
        <xdr:sp macro="" textlink="">
          <xdr:nvSpPr>
            <xdr:cNvPr id="26" name="Forma Livre: Forma 25">
              <a:extLst>
                <a:ext uri="{FF2B5EF4-FFF2-40B4-BE49-F238E27FC236}">
                  <a16:creationId xmlns:a16="http://schemas.microsoft.com/office/drawing/2014/main" id="{A23891D9-6492-496D-9F11-4AA620F2ED06}"/>
                </a:ext>
              </a:extLst>
            </xdr:cNvPr>
            <xdr:cNvSpPr/>
          </xdr:nvSpPr>
          <xdr:spPr>
            <a:xfrm>
              <a:off x="76312" y="1395586"/>
              <a:ext cx="1799999" cy="193622"/>
            </a:xfrm>
            <a:custGeom>
              <a:avLst/>
              <a:gdLst>
                <a:gd name="connsiteX0" fmla="*/ 0 w 1799999"/>
                <a:gd name="connsiteY0" fmla="*/ 0 h 193622"/>
                <a:gd name="connsiteX1" fmla="*/ 1799999 w 1799999"/>
                <a:gd name="connsiteY1" fmla="*/ 0 h 193622"/>
                <a:gd name="connsiteX2" fmla="*/ 1799999 w 1799999"/>
                <a:gd name="connsiteY2" fmla="*/ 193622 h 193622"/>
                <a:gd name="connsiteX3" fmla="*/ 0 w 1799999"/>
                <a:gd name="connsiteY3" fmla="*/ 193622 h 193622"/>
                <a:gd name="connsiteX4" fmla="*/ 0 w 1799999"/>
                <a:gd name="connsiteY4" fmla="*/ 0 h 19362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799999" h="193622">
                  <a:moveTo>
                    <a:pt x="0" y="0"/>
                  </a:moveTo>
                  <a:lnTo>
                    <a:pt x="1799999" y="0"/>
                  </a:lnTo>
                  <a:lnTo>
                    <a:pt x="1799999" y="193622"/>
                  </a:lnTo>
                  <a:lnTo>
                    <a:pt x="0" y="19362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latin typeface="Segoe UI" panose="020B0502040204020203" pitchFamily="34" charset="0"/>
                  <a:cs typeface="Segoe UI" panose="020B0502040204020203" pitchFamily="34" charset="0"/>
                </a:rPr>
                <a:t>Módulo 1</a:t>
              </a:r>
            </a:p>
          </xdr:txBody>
        </xdr:sp>
        <xdr:sp macro="" textlink="">
          <xdr:nvSpPr>
            <xdr:cNvPr id="27" name="Forma Livre: Forma 26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C0432231-2D62-41A2-981A-1251E5966DC8}"/>
                </a:ext>
              </a:extLst>
            </xdr:cNvPr>
            <xdr:cNvSpPr/>
          </xdr:nvSpPr>
          <xdr:spPr>
            <a:xfrm>
              <a:off x="166314" y="1669753"/>
              <a:ext cx="1619994" cy="193622"/>
            </a:xfrm>
            <a:custGeom>
              <a:avLst/>
              <a:gdLst>
                <a:gd name="connsiteX0" fmla="*/ 0 w 1619994"/>
                <a:gd name="connsiteY0" fmla="*/ 0 h 193622"/>
                <a:gd name="connsiteX1" fmla="*/ 1619994 w 1619994"/>
                <a:gd name="connsiteY1" fmla="*/ 0 h 193622"/>
                <a:gd name="connsiteX2" fmla="*/ 1619994 w 1619994"/>
                <a:gd name="connsiteY2" fmla="*/ 193622 h 193622"/>
                <a:gd name="connsiteX3" fmla="*/ 0 w 1619994"/>
                <a:gd name="connsiteY3" fmla="*/ 193622 h 193622"/>
                <a:gd name="connsiteX4" fmla="*/ 0 w 1619994"/>
                <a:gd name="connsiteY4" fmla="*/ 0 h 19362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19994" h="193622">
                  <a:moveTo>
                    <a:pt x="0" y="0"/>
                  </a:moveTo>
                  <a:lnTo>
                    <a:pt x="1619994" y="0"/>
                  </a:lnTo>
                  <a:lnTo>
                    <a:pt x="1619994" y="193622"/>
                  </a:lnTo>
                  <a:lnTo>
                    <a:pt x="0" y="19362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Formatação Número</a:t>
              </a:r>
            </a:p>
          </xdr:txBody>
        </xdr:sp>
        <xdr:sp macro="" textlink="">
          <xdr:nvSpPr>
            <xdr:cNvPr id="28" name="Forma Livre: Forma 27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786161B0-90C9-4224-8520-B8463FBA420E}"/>
                </a:ext>
              </a:extLst>
            </xdr:cNvPr>
            <xdr:cNvSpPr/>
          </xdr:nvSpPr>
          <xdr:spPr>
            <a:xfrm>
              <a:off x="166314" y="1924869"/>
              <a:ext cx="1619994" cy="193622"/>
            </a:xfrm>
            <a:custGeom>
              <a:avLst/>
              <a:gdLst>
                <a:gd name="connsiteX0" fmla="*/ 0 w 1619994"/>
                <a:gd name="connsiteY0" fmla="*/ 0 h 193622"/>
                <a:gd name="connsiteX1" fmla="*/ 1619994 w 1619994"/>
                <a:gd name="connsiteY1" fmla="*/ 0 h 193622"/>
                <a:gd name="connsiteX2" fmla="*/ 1619994 w 1619994"/>
                <a:gd name="connsiteY2" fmla="*/ 193622 h 193622"/>
                <a:gd name="connsiteX3" fmla="*/ 0 w 1619994"/>
                <a:gd name="connsiteY3" fmla="*/ 193622 h 193622"/>
                <a:gd name="connsiteX4" fmla="*/ 0 w 1619994"/>
                <a:gd name="connsiteY4" fmla="*/ 0 h 19362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19994" h="193622">
                  <a:moveTo>
                    <a:pt x="0" y="0"/>
                  </a:moveTo>
                  <a:lnTo>
                    <a:pt x="1619994" y="0"/>
                  </a:lnTo>
                  <a:lnTo>
                    <a:pt x="1619994" y="193622"/>
                  </a:lnTo>
                  <a:lnTo>
                    <a:pt x="0" y="19362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Formatação Condicional</a:t>
              </a:r>
            </a:p>
          </xdr:txBody>
        </xdr:sp>
        <xdr:sp macro="" textlink="">
          <xdr:nvSpPr>
            <xdr:cNvPr id="29" name="Forma Livre: Forma 28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B58E6304-1449-4A16-A246-BBAF76D03800}"/>
                </a:ext>
              </a:extLst>
            </xdr:cNvPr>
            <xdr:cNvSpPr/>
          </xdr:nvSpPr>
          <xdr:spPr>
            <a:xfrm>
              <a:off x="166314" y="2179985"/>
              <a:ext cx="1619994" cy="193622"/>
            </a:xfrm>
            <a:custGeom>
              <a:avLst/>
              <a:gdLst>
                <a:gd name="connsiteX0" fmla="*/ 0 w 1619994"/>
                <a:gd name="connsiteY0" fmla="*/ 0 h 193622"/>
                <a:gd name="connsiteX1" fmla="*/ 1619994 w 1619994"/>
                <a:gd name="connsiteY1" fmla="*/ 0 h 193622"/>
                <a:gd name="connsiteX2" fmla="*/ 1619994 w 1619994"/>
                <a:gd name="connsiteY2" fmla="*/ 193622 h 193622"/>
                <a:gd name="connsiteX3" fmla="*/ 0 w 1619994"/>
                <a:gd name="connsiteY3" fmla="*/ 193622 h 193622"/>
                <a:gd name="connsiteX4" fmla="*/ 0 w 1619994"/>
                <a:gd name="connsiteY4" fmla="*/ 0 h 19362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19994" h="193622">
                  <a:moveTo>
                    <a:pt x="0" y="0"/>
                  </a:moveTo>
                  <a:lnTo>
                    <a:pt x="1619994" y="0"/>
                  </a:lnTo>
                  <a:lnTo>
                    <a:pt x="1619994" y="193622"/>
                  </a:lnTo>
                  <a:lnTo>
                    <a:pt x="0" y="19362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Ferramentas Básicas</a:t>
              </a:r>
            </a:p>
          </xdr:txBody>
        </xdr:sp>
        <xdr:sp macro="" textlink="">
          <xdr:nvSpPr>
            <xdr:cNvPr id="30" name="Forma Livre: Forma 29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22131B32-45CF-47CB-88B5-FBD22DEFC1B6}"/>
                </a:ext>
              </a:extLst>
            </xdr:cNvPr>
            <xdr:cNvSpPr/>
          </xdr:nvSpPr>
          <xdr:spPr>
            <a:xfrm>
              <a:off x="166314" y="2435102"/>
              <a:ext cx="1619994" cy="193622"/>
            </a:xfrm>
            <a:custGeom>
              <a:avLst/>
              <a:gdLst>
                <a:gd name="connsiteX0" fmla="*/ 0 w 1619994"/>
                <a:gd name="connsiteY0" fmla="*/ 0 h 193622"/>
                <a:gd name="connsiteX1" fmla="*/ 1619994 w 1619994"/>
                <a:gd name="connsiteY1" fmla="*/ 0 h 193622"/>
                <a:gd name="connsiteX2" fmla="*/ 1619994 w 1619994"/>
                <a:gd name="connsiteY2" fmla="*/ 193622 h 193622"/>
                <a:gd name="connsiteX3" fmla="*/ 0 w 1619994"/>
                <a:gd name="connsiteY3" fmla="*/ 193622 h 193622"/>
                <a:gd name="connsiteX4" fmla="*/ 0 w 1619994"/>
                <a:gd name="connsiteY4" fmla="*/ 0 h 19362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19994" h="193622">
                  <a:moveTo>
                    <a:pt x="0" y="0"/>
                  </a:moveTo>
                  <a:lnTo>
                    <a:pt x="1619994" y="0"/>
                  </a:lnTo>
                  <a:lnTo>
                    <a:pt x="1619994" y="193622"/>
                  </a:lnTo>
                  <a:lnTo>
                    <a:pt x="0" y="19362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Gráficos</a:t>
              </a:r>
            </a:p>
          </xdr:txBody>
        </xdr:sp>
      </xdr:grpSp>
      <xdr:graphicFrame macro="">
        <xdr:nvGraphicFramePr>
          <xdr:cNvPr id="8" name="Diagrama 7">
            <a:extLst>
              <a:ext uri="{FF2B5EF4-FFF2-40B4-BE49-F238E27FC236}">
                <a16:creationId xmlns:a16="http://schemas.microsoft.com/office/drawing/2014/main" id="{BC682E4A-3448-43CE-911E-C4D8CF922CD5}"/>
              </a:ext>
            </a:extLst>
          </xdr:cNvPr>
          <xdr:cNvGraphicFramePr/>
        </xdr:nvGraphicFramePr>
        <xdr:xfrm>
          <a:off x="0" y="742950"/>
          <a:ext cx="1952624" cy="528638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1" r:lo="rId12" r:qs="rId13" r:cs="rId14"/>
          </a:graphicData>
        </a:graphic>
      </xdr:graphicFrame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6C0FE539-63C2-4433-960A-E5B81E58702B}"/>
              </a:ext>
            </a:extLst>
          </xdr:cNvPr>
          <xdr:cNvGrpSpPr/>
        </xdr:nvGrpSpPr>
        <xdr:grpSpPr>
          <a:xfrm>
            <a:off x="0" y="2719387"/>
            <a:ext cx="1952624" cy="2771775"/>
            <a:chOff x="0" y="3219449"/>
            <a:chExt cx="1952624" cy="2771775"/>
          </a:xfrm>
        </xdr:grpSpPr>
        <xdr:sp macro="" textlink="">
          <xdr:nvSpPr>
            <xdr:cNvPr id="17" name="Retângulo 16">
              <a:extLst>
                <a:ext uri="{FF2B5EF4-FFF2-40B4-BE49-F238E27FC236}">
                  <a16:creationId xmlns:a16="http://schemas.microsoft.com/office/drawing/2014/main" id="{3C446F8C-36F9-40B3-8ECB-CF539AAB6FAC}"/>
                </a:ext>
              </a:extLst>
            </xdr:cNvPr>
            <xdr:cNvSpPr/>
          </xdr:nvSpPr>
          <xdr:spPr>
            <a:xfrm>
              <a:off x="0" y="3219449"/>
              <a:ext cx="1952624" cy="2771775"/>
            </a:xfrm>
            <a:prstGeom prst="rect">
              <a:avLst/>
            </a:prstGeom>
            <a:ln>
              <a:noFill/>
            </a:ln>
          </xdr:spPr>
        </xdr:sp>
        <xdr:sp macro="" textlink="">
          <xdr:nvSpPr>
            <xdr:cNvPr id="18" name="Forma Livre: Forma 17">
              <a:extLst>
                <a:ext uri="{FF2B5EF4-FFF2-40B4-BE49-F238E27FC236}">
                  <a16:creationId xmlns:a16="http://schemas.microsoft.com/office/drawing/2014/main" id="{400A6E82-3DAF-48FD-971B-021DC16B3AF6}"/>
                </a:ext>
              </a:extLst>
            </xdr:cNvPr>
            <xdr:cNvSpPr/>
          </xdr:nvSpPr>
          <xdr:spPr>
            <a:xfrm>
              <a:off x="76308" y="3319117"/>
              <a:ext cx="1800006" cy="194399"/>
            </a:xfrm>
            <a:custGeom>
              <a:avLst/>
              <a:gdLst>
                <a:gd name="connsiteX0" fmla="*/ 0 w 1800006"/>
                <a:gd name="connsiteY0" fmla="*/ 0 h 194399"/>
                <a:gd name="connsiteX1" fmla="*/ 1800006 w 1800006"/>
                <a:gd name="connsiteY1" fmla="*/ 0 h 194399"/>
                <a:gd name="connsiteX2" fmla="*/ 1800006 w 1800006"/>
                <a:gd name="connsiteY2" fmla="*/ 194399 h 194399"/>
                <a:gd name="connsiteX3" fmla="*/ 0 w 1800006"/>
                <a:gd name="connsiteY3" fmla="*/ 194399 h 194399"/>
                <a:gd name="connsiteX4" fmla="*/ 0 w 1800006"/>
                <a:gd name="connsiteY4" fmla="*/ 0 h 19439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800006" h="194399">
                  <a:moveTo>
                    <a:pt x="0" y="0"/>
                  </a:moveTo>
                  <a:lnTo>
                    <a:pt x="1800006" y="0"/>
                  </a:lnTo>
                  <a:lnTo>
                    <a:pt x="1800006" y="194399"/>
                  </a:lnTo>
                  <a:lnTo>
                    <a:pt x="0" y="19439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latin typeface="Segoe UI" panose="020B0502040204020203" pitchFamily="34" charset="0"/>
                  <a:cs typeface="Segoe UI" panose="020B0502040204020203" pitchFamily="34" charset="0"/>
                </a:rPr>
                <a:t>Módulo 2</a:t>
              </a:r>
            </a:p>
          </xdr:txBody>
        </xdr:sp>
        <xdr:sp macro="" textlink="">
          <xdr:nvSpPr>
            <xdr:cNvPr id="19" name="Forma Livre: Forma 18">
              <a:hlinkClick xmlns:r="http://schemas.openxmlformats.org/officeDocument/2006/relationships" r:id="rId16"/>
              <a:extLst>
                <a:ext uri="{FF2B5EF4-FFF2-40B4-BE49-F238E27FC236}">
                  <a16:creationId xmlns:a16="http://schemas.microsoft.com/office/drawing/2014/main" id="{741FE2DD-14C0-492E-BB2C-4849ED2A55C4}"/>
                </a:ext>
              </a:extLst>
            </xdr:cNvPr>
            <xdr:cNvSpPr/>
          </xdr:nvSpPr>
          <xdr:spPr>
            <a:xfrm>
              <a:off x="138489" y="3632579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Operadores Matemáticos</a:t>
              </a:r>
            </a:p>
          </xdr:txBody>
        </xdr:sp>
        <xdr:sp macro="" textlink="">
          <xdr:nvSpPr>
            <xdr:cNvPr id="20" name="Forma Livre: Forma 19">
              <a:hlinkClick xmlns:r="http://schemas.openxmlformats.org/officeDocument/2006/relationships" r:id="rId17"/>
              <a:extLst>
                <a:ext uri="{FF2B5EF4-FFF2-40B4-BE49-F238E27FC236}">
                  <a16:creationId xmlns:a16="http://schemas.microsoft.com/office/drawing/2014/main" id="{7B3F0A58-525A-448E-A7BB-1C9EF2EE4F2A}"/>
                </a:ext>
              </a:extLst>
            </xdr:cNvPr>
            <xdr:cNvSpPr/>
          </xdr:nvSpPr>
          <xdr:spPr>
            <a:xfrm>
              <a:off x="138489" y="3901284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Funções Matemáticas</a:t>
              </a:r>
            </a:p>
          </xdr:txBody>
        </xdr:sp>
        <xdr:sp macro="" textlink="">
          <xdr:nvSpPr>
            <xdr:cNvPr id="21" name="Forma Livre: Forma 20">
              <a:hlinkClick xmlns:r="http://schemas.openxmlformats.org/officeDocument/2006/relationships" r:id="rId18"/>
              <a:extLst>
                <a:ext uri="{FF2B5EF4-FFF2-40B4-BE49-F238E27FC236}">
                  <a16:creationId xmlns:a16="http://schemas.microsoft.com/office/drawing/2014/main" id="{EF2AD94D-E64C-4C03-913F-8DDB55724886}"/>
                </a:ext>
              </a:extLst>
            </xdr:cNvPr>
            <xdr:cNvSpPr/>
          </xdr:nvSpPr>
          <xdr:spPr>
            <a:xfrm>
              <a:off x="138489" y="4169989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Funções Estatísticas</a:t>
              </a:r>
            </a:p>
          </xdr:txBody>
        </xdr:sp>
        <xdr:sp macro="" textlink="">
          <xdr:nvSpPr>
            <xdr:cNvPr id="22" name="Forma Livre: Forma 21">
              <a:hlinkClick xmlns:r="http://schemas.openxmlformats.org/officeDocument/2006/relationships" r:id="rId19"/>
              <a:extLst>
                <a:ext uri="{FF2B5EF4-FFF2-40B4-BE49-F238E27FC236}">
                  <a16:creationId xmlns:a16="http://schemas.microsoft.com/office/drawing/2014/main" id="{36872E15-2CC5-4B80-9B4F-CC782ED915C0}"/>
                </a:ext>
              </a:extLst>
            </xdr:cNvPr>
            <xdr:cNvSpPr/>
          </xdr:nvSpPr>
          <xdr:spPr>
            <a:xfrm>
              <a:off x="138489" y="4438694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Funções Texto</a:t>
              </a:r>
            </a:p>
          </xdr:txBody>
        </xdr:sp>
        <xdr:sp macro="" textlink="">
          <xdr:nvSpPr>
            <xdr:cNvPr id="23" name="Forma Livre: Forma 22">
              <a:hlinkClick xmlns:r="http://schemas.openxmlformats.org/officeDocument/2006/relationships" r:id="rId20"/>
              <a:extLst>
                <a:ext uri="{FF2B5EF4-FFF2-40B4-BE49-F238E27FC236}">
                  <a16:creationId xmlns:a16="http://schemas.microsoft.com/office/drawing/2014/main" id="{C688A734-697E-4B42-BB3C-59C87E4BABA6}"/>
                </a:ext>
              </a:extLst>
            </xdr:cNvPr>
            <xdr:cNvSpPr/>
          </xdr:nvSpPr>
          <xdr:spPr>
            <a:xfrm>
              <a:off x="138489" y="4707399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Funções Data e Hora</a:t>
              </a:r>
            </a:p>
          </xdr:txBody>
        </xdr:sp>
        <xdr:sp macro="" textlink="">
          <xdr:nvSpPr>
            <xdr:cNvPr id="24" name="Forma Livre: Forma 23">
              <a:hlinkClick xmlns:r="http://schemas.openxmlformats.org/officeDocument/2006/relationships" r:id="rId21"/>
              <a:extLst>
                <a:ext uri="{FF2B5EF4-FFF2-40B4-BE49-F238E27FC236}">
                  <a16:creationId xmlns:a16="http://schemas.microsoft.com/office/drawing/2014/main" id="{9C163DC0-2A82-4035-B31C-12EF7BAB2312}"/>
                </a:ext>
              </a:extLst>
            </xdr:cNvPr>
            <xdr:cNvSpPr/>
          </xdr:nvSpPr>
          <xdr:spPr>
            <a:xfrm>
              <a:off x="138489" y="4976106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Funções Financeiras</a:t>
              </a:r>
            </a:p>
          </xdr:txBody>
        </xdr:sp>
      </xdr:grpSp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E09AC5F0-773E-48C1-B977-5C89560498BF}"/>
              </a:ext>
            </a:extLst>
          </xdr:cNvPr>
          <xdr:cNvGrpSpPr/>
        </xdr:nvGrpSpPr>
        <xdr:grpSpPr>
          <a:xfrm>
            <a:off x="0" y="4786313"/>
            <a:ext cx="1952624" cy="1952625"/>
            <a:chOff x="0" y="4991100"/>
            <a:chExt cx="1952624" cy="1952625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C7FD53EA-0947-4134-B384-89671D1E4D7A}"/>
                </a:ext>
              </a:extLst>
            </xdr:cNvPr>
            <xdr:cNvSpPr/>
          </xdr:nvSpPr>
          <xdr:spPr>
            <a:xfrm>
              <a:off x="0" y="4991100"/>
              <a:ext cx="1952624" cy="1952625"/>
            </a:xfrm>
            <a:prstGeom prst="rect">
              <a:avLst/>
            </a:prstGeom>
            <a:ln>
              <a:noFill/>
            </a:ln>
          </xdr:spPr>
        </xdr:sp>
        <xdr:sp macro="" textlink="">
          <xdr:nvSpPr>
            <xdr:cNvPr id="12" name="Forma Livre: Forma 11">
              <a:extLst>
                <a:ext uri="{FF2B5EF4-FFF2-40B4-BE49-F238E27FC236}">
                  <a16:creationId xmlns:a16="http://schemas.microsoft.com/office/drawing/2014/main" id="{60F9D9DD-6EB5-4B9F-A391-8A93A19FEFF2}"/>
                </a:ext>
              </a:extLst>
            </xdr:cNvPr>
            <xdr:cNvSpPr/>
          </xdr:nvSpPr>
          <xdr:spPr>
            <a:xfrm>
              <a:off x="76308" y="5077533"/>
              <a:ext cx="1800006" cy="194399"/>
            </a:xfrm>
            <a:custGeom>
              <a:avLst/>
              <a:gdLst>
                <a:gd name="connsiteX0" fmla="*/ 0 w 1800006"/>
                <a:gd name="connsiteY0" fmla="*/ 0 h 194399"/>
                <a:gd name="connsiteX1" fmla="*/ 1800006 w 1800006"/>
                <a:gd name="connsiteY1" fmla="*/ 0 h 194399"/>
                <a:gd name="connsiteX2" fmla="*/ 1800006 w 1800006"/>
                <a:gd name="connsiteY2" fmla="*/ 194399 h 194399"/>
                <a:gd name="connsiteX3" fmla="*/ 0 w 1800006"/>
                <a:gd name="connsiteY3" fmla="*/ 194399 h 194399"/>
                <a:gd name="connsiteX4" fmla="*/ 0 w 1800006"/>
                <a:gd name="connsiteY4" fmla="*/ 0 h 19439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800006" h="194399">
                  <a:moveTo>
                    <a:pt x="0" y="0"/>
                  </a:moveTo>
                  <a:lnTo>
                    <a:pt x="1800006" y="0"/>
                  </a:lnTo>
                  <a:lnTo>
                    <a:pt x="1800006" y="194399"/>
                  </a:lnTo>
                  <a:lnTo>
                    <a:pt x="0" y="19439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latin typeface="Segoe UI" panose="020B0502040204020203" pitchFamily="34" charset="0"/>
                  <a:cs typeface="Segoe UI" panose="020B0502040204020203" pitchFamily="34" charset="0"/>
                </a:rPr>
                <a:t>Módulo 3</a:t>
              </a:r>
            </a:p>
          </xdr:txBody>
        </xdr:sp>
        <xdr:sp macro="" textlink="">
          <xdr:nvSpPr>
            <xdr:cNvPr id="13" name="Forma Livre: Forma 12">
              <a:hlinkClick xmlns:r="http://schemas.openxmlformats.org/officeDocument/2006/relationships" r:id="rId22"/>
              <a:extLst>
                <a:ext uri="{FF2B5EF4-FFF2-40B4-BE49-F238E27FC236}">
                  <a16:creationId xmlns:a16="http://schemas.microsoft.com/office/drawing/2014/main" id="{D0E48EF9-DB21-4D9D-ADF6-1BE6C5D94487}"/>
                </a:ext>
              </a:extLst>
            </xdr:cNvPr>
            <xdr:cNvSpPr/>
          </xdr:nvSpPr>
          <xdr:spPr>
            <a:xfrm>
              <a:off x="138489" y="5390995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Funções Lógicas</a:t>
              </a:r>
            </a:p>
          </xdr:txBody>
        </xdr:sp>
        <xdr:sp macro="" textlink="">
          <xdr:nvSpPr>
            <xdr:cNvPr id="14" name="Forma Livre: Forma 13">
              <a:hlinkClick xmlns:r="http://schemas.openxmlformats.org/officeDocument/2006/relationships" r:id="rId23"/>
              <a:extLst>
                <a:ext uri="{FF2B5EF4-FFF2-40B4-BE49-F238E27FC236}">
                  <a16:creationId xmlns:a16="http://schemas.microsoft.com/office/drawing/2014/main" id="{5C2EE52D-14D0-4D92-BFE0-A5340DC94F7D}"/>
                </a:ext>
              </a:extLst>
            </xdr:cNvPr>
            <xdr:cNvSpPr/>
          </xdr:nvSpPr>
          <xdr:spPr>
            <a:xfrm>
              <a:off x="138489" y="5647636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Funções Pesquisa</a:t>
              </a:r>
            </a:p>
          </xdr:txBody>
        </xdr:sp>
        <xdr:sp macro="" textlink="">
          <xdr:nvSpPr>
            <xdr:cNvPr id="15" name="Forma Livre: Forma 14">
              <a:hlinkClick xmlns:r="http://schemas.openxmlformats.org/officeDocument/2006/relationships" r:id="rId24"/>
              <a:extLst>
                <a:ext uri="{FF2B5EF4-FFF2-40B4-BE49-F238E27FC236}">
                  <a16:creationId xmlns:a16="http://schemas.microsoft.com/office/drawing/2014/main" id="{1C0CE010-AE80-4BC9-871D-48AFEF8F0EC2}"/>
                </a:ext>
              </a:extLst>
            </xdr:cNvPr>
            <xdr:cNvSpPr/>
          </xdr:nvSpPr>
          <xdr:spPr>
            <a:xfrm>
              <a:off x="138489" y="5904277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Validação de Dados</a:t>
              </a:r>
            </a:p>
          </xdr:txBody>
        </xdr:sp>
        <xdr:sp macro="" textlink="">
          <xdr:nvSpPr>
            <xdr:cNvPr id="16" name="Forma Livre: Forma 15">
              <a:hlinkClick xmlns:r="http://schemas.openxmlformats.org/officeDocument/2006/relationships" r:id="rId25"/>
              <a:extLst>
                <a:ext uri="{FF2B5EF4-FFF2-40B4-BE49-F238E27FC236}">
                  <a16:creationId xmlns:a16="http://schemas.microsoft.com/office/drawing/2014/main" id="{981988D2-1F4E-4DAA-8E66-C6A121E9AF7B}"/>
                </a:ext>
              </a:extLst>
            </xdr:cNvPr>
            <xdr:cNvSpPr/>
          </xdr:nvSpPr>
          <xdr:spPr>
            <a:xfrm>
              <a:off x="138489" y="6160917"/>
              <a:ext cx="1675644" cy="201077"/>
            </a:xfrm>
            <a:custGeom>
              <a:avLst/>
              <a:gdLst>
                <a:gd name="connsiteX0" fmla="*/ 0 w 1675644"/>
                <a:gd name="connsiteY0" fmla="*/ 0 h 201077"/>
                <a:gd name="connsiteX1" fmla="*/ 1675644 w 1675644"/>
                <a:gd name="connsiteY1" fmla="*/ 0 h 201077"/>
                <a:gd name="connsiteX2" fmla="*/ 1675644 w 1675644"/>
                <a:gd name="connsiteY2" fmla="*/ 201077 h 201077"/>
                <a:gd name="connsiteX3" fmla="*/ 0 w 1675644"/>
                <a:gd name="connsiteY3" fmla="*/ 201077 h 201077"/>
                <a:gd name="connsiteX4" fmla="*/ 0 w 1675644"/>
                <a:gd name="connsiteY4" fmla="*/ 0 h 20107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75644" h="201077">
                  <a:moveTo>
                    <a:pt x="0" y="0"/>
                  </a:moveTo>
                  <a:lnTo>
                    <a:pt x="1675644" y="0"/>
                  </a:lnTo>
                  <a:lnTo>
                    <a:pt x="1675644" y="201077"/>
                  </a:lnTo>
                  <a:lnTo>
                    <a:pt x="0" y="20107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ysClr val="window" lastClr="FFFFFF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rgbClr r="0" g="0" b="0"/>
            </a:lnRef>
            <a:fillRef idx="1">
              <a:scrgbClr r="0" g="0" b="0"/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30480" tIns="30480" rIns="30480" bIns="30480" numCol="1" spcCol="1270" anchor="ctr" anchorCtr="0">
              <a:noAutofit/>
            </a:bodyPr>
            <a:lstStyle/>
            <a:p>
              <a:pPr marL="0" lvl="0" indent="0" algn="ctr" defTabSz="3556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pt-BR" sz="800" kern="120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Tabela Dinâmica</a:t>
              </a:r>
            </a:p>
          </xdr:txBody>
        </xdr:sp>
      </xdr:grpSp>
    </xdr:grpSp>
    <xdr:clientData/>
  </xdr:twoCellAnchor>
  <xdr:twoCellAnchor>
    <xdr:from>
      <xdr:col>9</xdr:col>
      <xdr:colOff>0</xdr:colOff>
      <xdr:row>0</xdr:row>
      <xdr:rowOff>76200</xdr:rowOff>
    </xdr:from>
    <xdr:to>
      <xdr:col>12</xdr:col>
      <xdr:colOff>876300</xdr:colOff>
      <xdr:row>2</xdr:row>
      <xdr:rowOff>171450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996F8E23-E9E6-432E-8E6A-9D819164E412}"/>
            </a:ext>
          </a:extLst>
        </xdr:cNvPr>
        <xdr:cNvGrpSpPr/>
      </xdr:nvGrpSpPr>
      <xdr:grpSpPr>
        <a:xfrm>
          <a:off x="7296150" y="76200"/>
          <a:ext cx="4019550" cy="590550"/>
          <a:chOff x="6477000" y="76200"/>
          <a:chExt cx="4019550" cy="590550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56D69E83-54DD-4BA3-BCAD-E97FF47D46B8}"/>
              </a:ext>
            </a:extLst>
          </xdr:cNvPr>
          <xdr:cNvGrpSpPr/>
        </xdr:nvGrpSpPr>
        <xdr:grpSpPr>
          <a:xfrm>
            <a:off x="6477000" y="76200"/>
            <a:ext cx="3343275" cy="590550"/>
            <a:chOff x="2085975" y="4148137"/>
            <a:chExt cx="3343275" cy="590550"/>
          </a:xfrm>
        </xdr:grpSpPr>
        <xdr:grpSp>
          <xdr:nvGrpSpPr>
            <xdr:cNvPr id="34" name="Agrupar 33">
              <a:extLst>
                <a:ext uri="{FF2B5EF4-FFF2-40B4-BE49-F238E27FC236}">
                  <a16:creationId xmlns:a16="http://schemas.microsoft.com/office/drawing/2014/main" id="{64C645F7-DE61-4D38-946A-FF526D511B89}"/>
                </a:ext>
              </a:extLst>
            </xdr:cNvPr>
            <xdr:cNvGrpSpPr/>
          </xdr:nvGrpSpPr>
          <xdr:grpSpPr>
            <a:xfrm>
              <a:off x="2085975" y="4148137"/>
              <a:ext cx="723900" cy="590550"/>
              <a:chOff x="2085975" y="4148137"/>
              <a:chExt cx="723900" cy="590550"/>
            </a:xfrm>
          </xdr:grpSpPr>
          <xdr:sp macro="" textlink="">
            <xdr:nvSpPr>
              <xdr:cNvPr id="44" name="Retângulo 43">
                <a:extLst>
                  <a:ext uri="{FF2B5EF4-FFF2-40B4-BE49-F238E27FC236}">
                    <a16:creationId xmlns:a16="http://schemas.microsoft.com/office/drawing/2014/main" id="{D6F758E6-FC9C-40DD-87AE-63701B697E42}"/>
                  </a:ext>
                </a:extLst>
              </xdr:cNvPr>
              <xdr:cNvSpPr/>
            </xdr:nvSpPr>
            <xdr:spPr>
              <a:xfrm>
                <a:off x="2085975" y="4148137"/>
                <a:ext cx="723900" cy="590550"/>
              </a:xfrm>
              <a:prstGeom prst="rect">
                <a:avLst/>
              </a:prstGeom>
              <a:solidFill>
                <a:schemeClr val="bg1"/>
              </a:solidFill>
              <a:ln w="6350">
                <a:solidFill>
                  <a:schemeClr val="bg1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r>
                  <a:rPr lang="pt-BR" sz="700" b="1" i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BLOG</a:t>
                </a:r>
              </a:p>
            </xdr:txBody>
          </xdr:sp>
          <xdr:pic>
            <xdr:nvPicPr>
              <xdr:cNvPr id="45" name="Imagem 44">
                <a:hlinkClick xmlns:r="http://schemas.openxmlformats.org/officeDocument/2006/relationships" r:id="rId26"/>
                <a:extLst>
                  <a:ext uri="{FF2B5EF4-FFF2-40B4-BE49-F238E27FC236}">
                    <a16:creationId xmlns:a16="http://schemas.microsoft.com/office/drawing/2014/main" id="{796CD432-2A57-4CC8-8F12-51169F98F9B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7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289938" y="4188522"/>
                <a:ext cx="315975" cy="315975"/>
              </a:xfrm>
              <a:prstGeom prst="rect">
                <a:avLst/>
              </a:prstGeom>
            </xdr:spPr>
          </xdr:pic>
        </xdr:grpSp>
        <xdr:grpSp>
          <xdr:nvGrpSpPr>
            <xdr:cNvPr id="35" name="Agrupar 34">
              <a:extLst>
                <a:ext uri="{FF2B5EF4-FFF2-40B4-BE49-F238E27FC236}">
                  <a16:creationId xmlns:a16="http://schemas.microsoft.com/office/drawing/2014/main" id="{4EE54564-4149-4ED2-B95F-DEF40958BD69}"/>
                </a:ext>
              </a:extLst>
            </xdr:cNvPr>
            <xdr:cNvGrpSpPr/>
          </xdr:nvGrpSpPr>
          <xdr:grpSpPr>
            <a:xfrm>
              <a:off x="3832225" y="4148137"/>
              <a:ext cx="723900" cy="590550"/>
              <a:chOff x="2581275" y="5772151"/>
              <a:chExt cx="723900" cy="590550"/>
            </a:xfrm>
          </xdr:grpSpPr>
          <xdr:sp macro="" textlink="">
            <xdr:nvSpPr>
              <xdr:cNvPr id="42" name="Retângulo 41">
                <a:extLst>
                  <a:ext uri="{FF2B5EF4-FFF2-40B4-BE49-F238E27FC236}">
                    <a16:creationId xmlns:a16="http://schemas.microsoft.com/office/drawing/2014/main" id="{A0D00124-2D32-4633-A736-720C9430FBF2}"/>
                  </a:ext>
                </a:extLst>
              </xdr:cNvPr>
              <xdr:cNvSpPr/>
            </xdr:nvSpPr>
            <xdr:spPr>
              <a:xfrm>
                <a:off x="2581275" y="5772151"/>
                <a:ext cx="723900" cy="590550"/>
              </a:xfrm>
              <a:prstGeom prst="rect">
                <a:avLst/>
              </a:prstGeom>
              <a:solidFill>
                <a:schemeClr val="bg1"/>
              </a:solidFill>
              <a:ln w="6350">
                <a:solidFill>
                  <a:schemeClr val="bg1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r>
                  <a:rPr lang="pt-BR" sz="700" b="1" i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INSTAGRAM</a:t>
                </a:r>
              </a:p>
            </xdr:txBody>
          </xdr:sp>
          <xdr:pic>
            <xdr:nvPicPr>
              <xdr:cNvPr id="43" name="Imagem 42">
                <a:hlinkClick xmlns:r="http://schemas.openxmlformats.org/officeDocument/2006/relationships" r:id="rId28"/>
                <a:extLst>
                  <a:ext uri="{FF2B5EF4-FFF2-40B4-BE49-F238E27FC236}">
                    <a16:creationId xmlns:a16="http://schemas.microsoft.com/office/drawing/2014/main" id="{21C2CFEC-17AC-422E-A16B-87F76077643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9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784825" y="5812536"/>
                <a:ext cx="316800" cy="316800"/>
              </a:xfrm>
              <a:prstGeom prst="rect">
                <a:avLst/>
              </a:prstGeom>
            </xdr:spPr>
          </xdr:pic>
        </xdr:grpSp>
        <xdr:grpSp>
          <xdr:nvGrpSpPr>
            <xdr:cNvPr id="36" name="Agrupar 35">
              <a:extLst>
                <a:ext uri="{FF2B5EF4-FFF2-40B4-BE49-F238E27FC236}">
                  <a16:creationId xmlns:a16="http://schemas.microsoft.com/office/drawing/2014/main" id="{B545AD29-A024-42D8-B38E-F86A1E44CDD0}"/>
                </a:ext>
              </a:extLst>
            </xdr:cNvPr>
            <xdr:cNvGrpSpPr/>
          </xdr:nvGrpSpPr>
          <xdr:grpSpPr>
            <a:xfrm>
              <a:off x="2959100" y="4148137"/>
              <a:ext cx="723900" cy="590550"/>
              <a:chOff x="4086225" y="5695950"/>
              <a:chExt cx="723900" cy="590550"/>
            </a:xfrm>
          </xdr:grpSpPr>
          <xdr:sp macro="" textlink="">
            <xdr:nvSpPr>
              <xdr:cNvPr id="40" name="Retângulo 39">
                <a:extLst>
                  <a:ext uri="{FF2B5EF4-FFF2-40B4-BE49-F238E27FC236}">
                    <a16:creationId xmlns:a16="http://schemas.microsoft.com/office/drawing/2014/main" id="{A912018F-2B9B-4972-A174-24619E4A67BA}"/>
                  </a:ext>
                </a:extLst>
              </xdr:cNvPr>
              <xdr:cNvSpPr/>
            </xdr:nvSpPr>
            <xdr:spPr>
              <a:xfrm>
                <a:off x="4086225" y="5695950"/>
                <a:ext cx="723900" cy="590550"/>
              </a:xfrm>
              <a:prstGeom prst="rect">
                <a:avLst/>
              </a:prstGeom>
              <a:solidFill>
                <a:schemeClr val="bg1"/>
              </a:solidFill>
              <a:ln w="6350">
                <a:solidFill>
                  <a:schemeClr val="bg1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7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r>
                  <a:rPr lang="pt-BR" sz="700" b="1" i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YOUTUBE</a:t>
                </a:r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pic>
            <xdr:nvPicPr>
              <xdr:cNvPr id="41" name="Imagem 40">
                <a:hlinkClick xmlns:r="http://schemas.openxmlformats.org/officeDocument/2006/relationships" r:id="rId30"/>
                <a:extLst>
                  <a:ext uri="{FF2B5EF4-FFF2-40B4-BE49-F238E27FC236}">
                    <a16:creationId xmlns:a16="http://schemas.microsoft.com/office/drawing/2014/main" id="{88BAED32-FCED-4328-B80A-EBDAB03DBF9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4299300" y="5736335"/>
                <a:ext cx="316800" cy="316800"/>
              </a:xfrm>
              <a:prstGeom prst="rect">
                <a:avLst/>
              </a:prstGeom>
            </xdr:spPr>
          </xdr:pic>
        </xdr:grpSp>
        <xdr:grpSp>
          <xdr:nvGrpSpPr>
            <xdr:cNvPr id="37" name="Agrupar 36">
              <a:extLst>
                <a:ext uri="{FF2B5EF4-FFF2-40B4-BE49-F238E27FC236}">
                  <a16:creationId xmlns:a16="http://schemas.microsoft.com/office/drawing/2014/main" id="{C03CADD4-E33A-4076-9119-796C98ADB898}"/>
                </a:ext>
              </a:extLst>
            </xdr:cNvPr>
            <xdr:cNvGrpSpPr/>
          </xdr:nvGrpSpPr>
          <xdr:grpSpPr>
            <a:xfrm>
              <a:off x="4705350" y="4148137"/>
              <a:ext cx="723900" cy="590550"/>
              <a:chOff x="3076575" y="5943600"/>
              <a:chExt cx="723900" cy="590550"/>
            </a:xfrm>
          </xdr:grpSpPr>
          <xdr:sp macro="" textlink="">
            <xdr:nvSpPr>
              <xdr:cNvPr id="38" name="Retângulo 37">
                <a:extLst>
                  <a:ext uri="{FF2B5EF4-FFF2-40B4-BE49-F238E27FC236}">
                    <a16:creationId xmlns:a16="http://schemas.microsoft.com/office/drawing/2014/main" id="{DAB82835-3BB0-427B-87D7-55C273BFDDD5}"/>
                  </a:ext>
                </a:extLst>
              </xdr:cNvPr>
              <xdr:cNvSpPr/>
            </xdr:nvSpPr>
            <xdr:spPr>
              <a:xfrm>
                <a:off x="3076575" y="5943600"/>
                <a:ext cx="723900" cy="590550"/>
              </a:xfrm>
              <a:prstGeom prst="rect">
                <a:avLst/>
              </a:prstGeom>
              <a:solidFill>
                <a:schemeClr val="bg1"/>
              </a:solidFill>
              <a:ln w="6350">
                <a:solidFill>
                  <a:schemeClr val="bg1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endParaRPr lang="pt-BR" sz="7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  <a:p>
                <a:pPr algn="ctr"/>
                <a:r>
                  <a:rPr lang="pt-BR" sz="700" b="1" i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WHATSAPP</a:t>
                </a:r>
                <a:endParaRPr lang="pt-BR" sz="6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pic>
            <xdr:nvPicPr>
              <xdr:cNvPr id="39" name="Imagem 38">
                <a:hlinkClick xmlns:r="http://schemas.openxmlformats.org/officeDocument/2006/relationships" r:id="rId32"/>
                <a:extLst>
                  <a:ext uri="{FF2B5EF4-FFF2-40B4-BE49-F238E27FC236}">
                    <a16:creationId xmlns:a16="http://schemas.microsoft.com/office/drawing/2014/main" id="{83F299D2-7551-4FFF-B95C-7341E40B398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280125" y="5983985"/>
                <a:ext cx="316800" cy="316800"/>
              </a:xfrm>
              <a:prstGeom prst="rect">
                <a:avLst/>
              </a:prstGeom>
            </xdr:spPr>
          </xdr:pic>
        </xdr:grpSp>
      </xdr:grpSp>
      <xdr:pic>
        <xdr:nvPicPr>
          <xdr:cNvPr id="33" name="Gráfico 32" descr="Seta: curva ligeira">
            <a:hlinkClick xmlns:r="http://schemas.openxmlformats.org/officeDocument/2006/relationships" r:id="rId34"/>
            <a:extLst>
              <a:ext uri="{FF2B5EF4-FFF2-40B4-BE49-F238E27FC236}">
                <a16:creationId xmlns:a16="http://schemas.microsoft.com/office/drawing/2014/main" id="{A7CD34CC-6630-4FAF-8154-2018D711E3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36"/>
              </a:ext>
            </a:extLst>
          </a:blip>
          <a:stretch>
            <a:fillRect/>
          </a:stretch>
        </xdr:blipFill>
        <xdr:spPr>
          <a:xfrm rot="10800000">
            <a:off x="10020300" y="95250"/>
            <a:ext cx="476250" cy="47625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76200</xdr:rowOff>
    </xdr:from>
    <xdr:to>
      <xdr:col>12</xdr:col>
      <xdr:colOff>200025</xdr:colOff>
      <xdr:row>2</xdr:row>
      <xdr:rowOff>171450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25FB2D8D-8000-45D4-A6C5-541D065B208A}"/>
            </a:ext>
          </a:extLst>
        </xdr:cNvPr>
        <xdr:cNvGrpSpPr/>
      </xdr:nvGrpSpPr>
      <xdr:grpSpPr>
        <a:xfrm>
          <a:off x="8496300" y="76200"/>
          <a:ext cx="3343275" cy="590550"/>
          <a:chOff x="2085975" y="4148137"/>
          <a:chExt cx="3343275" cy="59055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E2075E5A-87E0-4C8A-A569-AD033DCE8E8C}"/>
              </a:ext>
            </a:extLst>
          </xdr:cNvPr>
          <xdr:cNvGrpSpPr/>
        </xdr:nvGrpSpPr>
        <xdr:grpSpPr>
          <a:xfrm>
            <a:off x="2085975" y="4148137"/>
            <a:ext cx="723900" cy="590550"/>
            <a:chOff x="2085975" y="4148137"/>
            <a:chExt cx="723900" cy="590550"/>
          </a:xfrm>
        </xdr:grpSpPr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B38F79B8-9088-406A-AC6A-7DC0E385E16C}"/>
                </a:ext>
              </a:extLst>
            </xdr:cNvPr>
            <xdr:cNvSpPr/>
          </xdr:nvSpPr>
          <xdr:spPr>
            <a:xfrm>
              <a:off x="2085975" y="4148137"/>
              <a:ext cx="723900" cy="590550"/>
            </a:xfrm>
            <a:prstGeom prst="rect">
              <a:avLst/>
            </a:prstGeom>
            <a:solidFill>
              <a:schemeClr val="bg1"/>
            </a:solidFill>
            <a:ln w="6350"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7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BLOG</a:t>
              </a:r>
            </a:p>
          </xdr:txBody>
        </xdr:sp>
        <xdr:pic>
          <xdr:nvPicPr>
            <xdr:cNvPr id="14" name="Imagem 13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FBB8F2D8-6792-4FC6-BF56-AE86B2E198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289938" y="4188522"/>
              <a:ext cx="315975" cy="315975"/>
            </a:xfrm>
            <a:prstGeom prst="rect">
              <a:avLst/>
            </a:prstGeom>
          </xdr:spPr>
        </xdr:pic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37403384-81E0-466D-BC69-2163505BE9E3}"/>
              </a:ext>
            </a:extLst>
          </xdr:cNvPr>
          <xdr:cNvGrpSpPr/>
        </xdr:nvGrpSpPr>
        <xdr:grpSpPr>
          <a:xfrm>
            <a:off x="3832225" y="4148137"/>
            <a:ext cx="723900" cy="590550"/>
            <a:chOff x="2581275" y="5772151"/>
            <a:chExt cx="723900" cy="590550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4E8B49BC-8BFC-42C4-B8E8-999A40CA59AF}"/>
                </a:ext>
              </a:extLst>
            </xdr:cNvPr>
            <xdr:cNvSpPr/>
          </xdr:nvSpPr>
          <xdr:spPr>
            <a:xfrm>
              <a:off x="2581275" y="5772151"/>
              <a:ext cx="723900" cy="590550"/>
            </a:xfrm>
            <a:prstGeom prst="rect">
              <a:avLst/>
            </a:prstGeom>
            <a:solidFill>
              <a:schemeClr val="bg1"/>
            </a:solidFill>
            <a:ln w="6350"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7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INSTAGRAM</a:t>
              </a:r>
            </a:p>
          </xdr:txBody>
        </xdr:sp>
        <xdr:pic>
          <xdr:nvPicPr>
            <xdr:cNvPr id="12" name="Imagem 1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B8A6DD3F-DFA1-42EC-82E7-C38DE7EF26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84825" y="5812536"/>
              <a:ext cx="316800" cy="316800"/>
            </a:xfrm>
            <a:prstGeom prst="rect">
              <a:avLst/>
            </a:prstGeom>
          </xdr:spPr>
        </xdr:pic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3CCA4832-496F-48FC-8419-BA6039088A69}"/>
              </a:ext>
            </a:extLst>
          </xdr:cNvPr>
          <xdr:cNvGrpSpPr/>
        </xdr:nvGrpSpPr>
        <xdr:grpSpPr>
          <a:xfrm>
            <a:off x="2959100" y="4148137"/>
            <a:ext cx="723900" cy="590550"/>
            <a:chOff x="4086225" y="5695950"/>
            <a:chExt cx="723900" cy="590550"/>
          </a:xfrm>
        </xdr:grpSpPr>
        <xdr:sp macro="" textlink="">
          <xdr:nvSpPr>
            <xdr:cNvPr id="9" name="Retângulo 8">
              <a:extLst>
                <a:ext uri="{FF2B5EF4-FFF2-40B4-BE49-F238E27FC236}">
                  <a16:creationId xmlns:a16="http://schemas.microsoft.com/office/drawing/2014/main" id="{F994B096-BAC7-4771-891F-7D7D00CA7B61}"/>
                </a:ext>
              </a:extLst>
            </xdr:cNvPr>
            <xdr:cNvSpPr/>
          </xdr:nvSpPr>
          <xdr:spPr>
            <a:xfrm>
              <a:off x="4086225" y="5695950"/>
              <a:ext cx="723900" cy="590550"/>
            </a:xfrm>
            <a:prstGeom prst="rect">
              <a:avLst/>
            </a:prstGeom>
            <a:solidFill>
              <a:schemeClr val="bg1"/>
            </a:solidFill>
            <a:ln w="6350"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7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7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YOUTUBE</a:t>
              </a:r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10" name="Imagem 9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B27D5897-3A5F-4515-BB06-3531251D56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99300" y="5736335"/>
              <a:ext cx="316800" cy="316800"/>
            </a:xfrm>
            <a:prstGeom prst="rect">
              <a:avLst/>
            </a:prstGeom>
          </xdr:spPr>
        </xdr:pic>
      </xdr:grpSp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ED5A6A0D-FD0E-47BF-8E5D-BC04DE3C7457}"/>
              </a:ext>
            </a:extLst>
          </xdr:cNvPr>
          <xdr:cNvGrpSpPr/>
        </xdr:nvGrpSpPr>
        <xdr:grpSpPr>
          <a:xfrm>
            <a:off x="4705350" y="4148137"/>
            <a:ext cx="723900" cy="590550"/>
            <a:chOff x="3076575" y="5943600"/>
            <a:chExt cx="723900" cy="590550"/>
          </a:xfrm>
        </xdr:grpSpPr>
        <xdr:sp macro="" textlink="">
          <xdr:nvSpPr>
            <xdr:cNvPr id="7" name="Retângulo 6">
              <a:extLst>
                <a:ext uri="{FF2B5EF4-FFF2-40B4-BE49-F238E27FC236}">
                  <a16:creationId xmlns:a16="http://schemas.microsoft.com/office/drawing/2014/main" id="{6EA42B62-B51F-4A35-BCB8-CE573EE638ED}"/>
                </a:ext>
              </a:extLst>
            </xdr:cNvPr>
            <xdr:cNvSpPr/>
          </xdr:nvSpPr>
          <xdr:spPr>
            <a:xfrm>
              <a:off x="3076575" y="5943600"/>
              <a:ext cx="723900" cy="590550"/>
            </a:xfrm>
            <a:prstGeom prst="rect">
              <a:avLst/>
            </a:prstGeom>
            <a:solidFill>
              <a:schemeClr val="bg1"/>
            </a:solidFill>
            <a:ln w="6350"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7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700" b="1" i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WHATSAPP</a:t>
              </a:r>
              <a:endParaRPr lang="pt-BR" sz="600" b="1" i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8" name="Imagem 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1A881DE-8861-4F5E-80C1-896E0C1E97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80125" y="5983985"/>
              <a:ext cx="316800" cy="3168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0</xdr:colOff>
      <xdr:row>0</xdr:row>
      <xdr:rowOff>123825</xdr:rowOff>
    </xdr:from>
    <xdr:to>
      <xdr:col>2</xdr:col>
      <xdr:colOff>603250</xdr:colOff>
      <xdr:row>2</xdr:row>
      <xdr:rowOff>133350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ECC8A3B-4C5D-4E91-A416-2A94A49303EF}"/>
            </a:ext>
          </a:extLst>
        </xdr:cNvPr>
        <xdr:cNvGrpSpPr/>
      </xdr:nvGrpSpPr>
      <xdr:grpSpPr>
        <a:xfrm>
          <a:off x="114300" y="123825"/>
          <a:ext cx="1651000" cy="504825"/>
          <a:chOff x="2543175" y="447675"/>
          <a:chExt cx="1651000" cy="504825"/>
        </a:xfrm>
      </xdr:grpSpPr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7AB2F841-EBE7-487E-8B54-8C479251AEDA}"/>
              </a:ext>
            </a:extLst>
          </xdr:cNvPr>
          <xdr:cNvSpPr/>
        </xdr:nvSpPr>
        <xdr:spPr>
          <a:xfrm>
            <a:off x="2543175" y="447675"/>
            <a:ext cx="1651000" cy="504825"/>
          </a:xfrm>
          <a:prstGeom prst="rect">
            <a:avLst/>
          </a:prstGeom>
          <a:solidFill>
            <a:schemeClr val="bg1"/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CD7AB82A-3DEA-4A90-B50E-52D41D0D83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61868" y="517064"/>
            <a:ext cx="1013615" cy="366046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terna Aprendiz" refreshedDate="46030.490399189817" createdVersion="6" refreshedVersion="6" minRefreshableVersion="3" recordCount="1000">
  <cacheSource type="worksheet">
    <worksheetSource name="Dados_Cursos"/>
  </cacheSource>
  <cacheFields count="13">
    <cacheField name="ID" numFmtId="0">
      <sharedItems containsSemiMixedTypes="0" containsString="0" containsNumber="1" containsInteger="1" minValue="1" maxValue="1000"/>
    </cacheField>
    <cacheField name="Data" numFmtId="14">
      <sharedItems containsSemiMixedTypes="0" containsNonDate="0" containsDate="1" containsString="0" minDate="2024-01-02T00:00:00" maxDate="2025-01-01T00:00:00"/>
    </cacheField>
    <cacheField name="Mês " numFmtId="0">
      <sharedItems count="12">
        <s v="DEZ"/>
        <s v="OUT"/>
        <s v="ABR"/>
        <s v="JUL"/>
        <s v="SET"/>
        <s v="AGO"/>
        <s v="JAN"/>
        <s v="MAI"/>
        <s v="FEV"/>
        <s v="NOV"/>
        <s v="MAR"/>
        <s v="JUN"/>
      </sharedItems>
    </cacheField>
    <cacheField name="Nome" numFmtId="0">
      <sharedItems/>
    </cacheField>
    <cacheField name="Email" numFmtId="0">
      <sharedItems/>
    </cacheField>
    <cacheField name="Telefone" numFmtId="0">
      <sharedItems/>
    </cacheField>
    <cacheField name="Produto" numFmtId="0">
      <sharedItems count="3">
        <s v="Curso Excel  &amp; Power BI"/>
        <s v="Ciência de Dados"/>
        <s v="Análise de Dados"/>
      </sharedItems>
    </cacheField>
    <cacheField name="Valor_Produto" numFmtId="0">
      <sharedItems containsSemiMixedTypes="0" containsString="0" containsNumber="1" containsInteger="1" minValue="800" maxValue="1500"/>
    </cacheField>
    <cacheField name="Quantidade Vendida" numFmtId="0">
      <sharedItems containsSemiMixedTypes="0" containsString="0" containsNumber="1" containsInteger="1" minValue="1" maxValue="20"/>
    </cacheField>
    <cacheField name="Região" numFmtId="0">
      <sharedItems count="21">
        <s v="Bié"/>
        <s v="Huíla"/>
        <s v="Icolo e Bengo"/>
        <s v="Malanje"/>
        <s v="Namibe"/>
        <s v="Lunda Sul"/>
        <s v="Moxico Leste"/>
        <s v="Uíge"/>
        <s v="Moxico"/>
        <s v="Benguela"/>
        <s v="Huambo"/>
        <s v="Zaire"/>
        <s v="Lunda Norte"/>
        <s v="Luanda"/>
        <s v="Cabinda"/>
        <s v="Cubango"/>
        <s v="Cuanza Norte"/>
        <s v="Bengo"/>
        <s v="Cuanza Sul"/>
        <s v="Cunene"/>
        <s v="Cuando"/>
      </sharedItems>
    </cacheField>
    <cacheField name="Status" numFmtId="167">
      <sharedItems count="2">
        <s v="Venda Realizada"/>
        <s v="Venda Perdida"/>
      </sharedItems>
    </cacheField>
    <cacheField name="Motivo" numFmtId="167">
      <sharedItems count="4">
        <s v="Aprovado"/>
        <s v="Nº Incorreto Cartão"/>
        <s v="Abandono Carrinho"/>
        <s v="Saldo Insuficiente"/>
      </sharedItems>
    </cacheField>
    <cacheField name="Comiss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24-12-20T00:00:00"/>
    <x v="0"/>
    <s v="Bruno Barbosa"/>
    <s v="bruno.barbosa1@gmail.com"/>
    <s v="(16) 9 8428-9249"/>
    <x v="0"/>
    <n v="1200"/>
    <n v="6"/>
    <x v="0"/>
    <x v="0"/>
    <x v="0"/>
    <m/>
  </r>
  <r>
    <n v="2"/>
    <d v="2024-10-21T00:00:00"/>
    <x v="1"/>
    <s v="Paulo Pinto"/>
    <s v="paulo.pinto2@gmail.com"/>
    <s v="(55) 9 9961-7341"/>
    <x v="1"/>
    <n v="1500"/>
    <n v="2"/>
    <x v="1"/>
    <x v="0"/>
    <x v="0"/>
    <m/>
  </r>
  <r>
    <n v="3"/>
    <d v="2024-04-08T00:00:00"/>
    <x v="2"/>
    <s v="Fátima Fernandes"/>
    <s v="fátima.fernandes3@gmail.com"/>
    <s v="(49) 9 9756-7039"/>
    <x v="0"/>
    <n v="1200"/>
    <n v="13"/>
    <x v="2"/>
    <x v="1"/>
    <x v="1"/>
    <m/>
  </r>
  <r>
    <n v="4"/>
    <d v="2024-07-17T00:00:00"/>
    <x v="3"/>
    <s v="Samuel Monteiro"/>
    <s v="samuel.monteiro4@gmail.com"/>
    <s v="(59) 9 8661-9214"/>
    <x v="1"/>
    <n v="800"/>
    <n v="16"/>
    <x v="3"/>
    <x v="1"/>
    <x v="2"/>
    <m/>
  </r>
  <r>
    <n v="5"/>
    <d v="2024-09-04T00:00:00"/>
    <x v="4"/>
    <s v="Joaquim Lopes"/>
    <s v="joaquim.lopes5@gmail.com"/>
    <s v="(59) 9 7601-7334"/>
    <x v="0"/>
    <n v="1200"/>
    <n v="11"/>
    <x v="4"/>
    <x v="1"/>
    <x v="2"/>
    <m/>
  </r>
  <r>
    <n v="6"/>
    <d v="2024-07-09T00:00:00"/>
    <x v="3"/>
    <s v="Manuel Almeida"/>
    <s v="manuel.almeida6@gmail.com"/>
    <s v="(52) 9 8931-9507"/>
    <x v="0"/>
    <n v="1200"/>
    <n v="13"/>
    <x v="5"/>
    <x v="1"/>
    <x v="1"/>
    <m/>
  </r>
  <r>
    <n v="7"/>
    <d v="2024-08-14T00:00:00"/>
    <x v="5"/>
    <s v="Samuel David"/>
    <s v="samuel.david7@gmail.com"/>
    <s v="(37) 9 8647-7509"/>
    <x v="1"/>
    <n v="1500"/>
    <n v="17"/>
    <x v="6"/>
    <x v="1"/>
    <x v="1"/>
    <m/>
  </r>
  <r>
    <n v="8"/>
    <d v="2024-04-21T00:00:00"/>
    <x v="2"/>
    <s v="António Gomes"/>
    <s v="antónio.gomes8@gmail.com"/>
    <s v="(48) 9 9757-7386"/>
    <x v="0"/>
    <n v="1200"/>
    <n v="5"/>
    <x v="7"/>
    <x v="1"/>
    <x v="1"/>
    <m/>
  </r>
  <r>
    <n v="9"/>
    <d v="2024-01-31T00:00:00"/>
    <x v="6"/>
    <s v="António Fernandes"/>
    <s v="antónio.fernandes9@gmail.com"/>
    <s v="(11) 9 8709-8767"/>
    <x v="1"/>
    <n v="800"/>
    <n v="8"/>
    <x v="8"/>
    <x v="0"/>
    <x v="0"/>
    <m/>
  </r>
  <r>
    <n v="10"/>
    <d v="2024-09-12T00:00:00"/>
    <x v="4"/>
    <s v="Benedito Barbosa"/>
    <s v="benedito.barbosa10@gmail.com"/>
    <s v="(58) 9 7037-8428"/>
    <x v="1"/>
    <n v="800"/>
    <n v="13"/>
    <x v="2"/>
    <x v="1"/>
    <x v="1"/>
    <m/>
  </r>
  <r>
    <n v="11"/>
    <d v="2024-08-02T00:00:00"/>
    <x v="5"/>
    <s v="Carlos Lukeba"/>
    <s v="carlos.lukeba11@gmail.com"/>
    <s v="(15) 9 7414-9114"/>
    <x v="1"/>
    <n v="1500"/>
    <n v="13"/>
    <x v="9"/>
    <x v="0"/>
    <x v="0"/>
    <m/>
  </r>
  <r>
    <n v="12"/>
    <d v="2024-04-17T00:00:00"/>
    <x v="2"/>
    <s v="David Santos"/>
    <s v="david.santos12@gmail.com"/>
    <s v="(55) 9 8691-7285"/>
    <x v="1"/>
    <n v="800"/>
    <n v="14"/>
    <x v="5"/>
    <x v="1"/>
    <x v="2"/>
    <m/>
  </r>
  <r>
    <n v="13"/>
    <d v="2024-10-14T00:00:00"/>
    <x v="1"/>
    <s v="Pedro Lopes"/>
    <s v="pedro.lopes13@gmail.com"/>
    <s v="(27) 9 7532-9958"/>
    <x v="1"/>
    <n v="800"/>
    <n v="4"/>
    <x v="10"/>
    <x v="0"/>
    <x v="0"/>
    <m/>
  </r>
  <r>
    <n v="14"/>
    <d v="2024-09-06T00:00:00"/>
    <x v="4"/>
    <s v="Marta Miguel"/>
    <s v="marta.miguel14@gmail.com"/>
    <s v="(21) 9 9156-7792"/>
    <x v="1"/>
    <n v="800"/>
    <n v="4"/>
    <x v="11"/>
    <x v="1"/>
    <x v="3"/>
    <m/>
  </r>
  <r>
    <n v="15"/>
    <d v="2024-12-27T00:00:00"/>
    <x v="0"/>
    <s v="Helena Miguel"/>
    <s v="helena.miguel15@gmail.com"/>
    <s v="(18) 9 7447-7659"/>
    <x v="0"/>
    <n v="1200"/>
    <n v="9"/>
    <x v="11"/>
    <x v="1"/>
    <x v="3"/>
    <m/>
  </r>
  <r>
    <n v="16"/>
    <d v="2024-08-24T00:00:00"/>
    <x v="5"/>
    <s v="Luís Fernandes"/>
    <s v="luís.fernandes16@gmail.com"/>
    <s v="(14) 9 9673-9927"/>
    <x v="1"/>
    <n v="800"/>
    <n v="10"/>
    <x v="1"/>
    <x v="1"/>
    <x v="1"/>
    <m/>
  </r>
  <r>
    <n v="17"/>
    <d v="2024-09-08T00:00:00"/>
    <x v="4"/>
    <s v="Bruno Lopes"/>
    <s v="bruno.lopes17@gmail.com"/>
    <s v="(32) 9 7357-9993"/>
    <x v="0"/>
    <n v="1200"/>
    <n v="3"/>
    <x v="5"/>
    <x v="1"/>
    <x v="1"/>
    <m/>
  </r>
  <r>
    <n v="18"/>
    <d v="2024-10-12T00:00:00"/>
    <x v="1"/>
    <s v="Benedito David"/>
    <s v="benedito.david18@gmail.com"/>
    <s v="(27) 9 8669-8453"/>
    <x v="1"/>
    <n v="800"/>
    <n v="8"/>
    <x v="1"/>
    <x v="1"/>
    <x v="1"/>
    <m/>
  </r>
  <r>
    <n v="19"/>
    <d v="2024-07-04T00:00:00"/>
    <x v="3"/>
    <s v="Sofia Costa"/>
    <s v="sofia.costa19@gmail.com"/>
    <s v="(27) 9 7246-9814"/>
    <x v="1"/>
    <n v="800"/>
    <n v="20"/>
    <x v="6"/>
    <x v="1"/>
    <x v="3"/>
    <m/>
  </r>
  <r>
    <n v="20"/>
    <d v="2024-05-01T00:00:00"/>
    <x v="7"/>
    <s v="Isabel Andrade"/>
    <s v="isabel.andrade20@gmail.com"/>
    <s v="(25) 9 9745-9166"/>
    <x v="1"/>
    <n v="800"/>
    <n v="18"/>
    <x v="12"/>
    <x v="0"/>
    <x v="0"/>
    <m/>
  </r>
  <r>
    <n v="21"/>
    <d v="2024-04-09T00:00:00"/>
    <x v="2"/>
    <s v="António Soares"/>
    <s v="antónio.soares21@gmail.com"/>
    <s v="(58) 9 7729-8515"/>
    <x v="0"/>
    <n v="1200"/>
    <n v="3"/>
    <x v="0"/>
    <x v="1"/>
    <x v="3"/>
    <m/>
  </r>
  <r>
    <n v="22"/>
    <d v="2024-12-10T00:00:00"/>
    <x v="0"/>
    <s v="Daniel Pinto"/>
    <s v="daniel.pinto22@gmail.com"/>
    <s v="(20) 9 9997-7192"/>
    <x v="0"/>
    <n v="1200"/>
    <n v="6"/>
    <x v="13"/>
    <x v="0"/>
    <x v="0"/>
    <m/>
  </r>
  <r>
    <n v="23"/>
    <d v="2024-01-17T00:00:00"/>
    <x v="6"/>
    <s v="Maria Fernandes"/>
    <s v="maria.fernandes23@gmail.com"/>
    <s v="(55) 9 9232-7201"/>
    <x v="0"/>
    <n v="1200"/>
    <n v="6"/>
    <x v="2"/>
    <x v="0"/>
    <x v="0"/>
    <m/>
  </r>
  <r>
    <n v="24"/>
    <d v="2024-12-07T00:00:00"/>
    <x v="0"/>
    <s v="Samuel David"/>
    <s v="samuel.david24@gmail.com"/>
    <s v="(25) 9 9154-8713"/>
    <x v="1"/>
    <n v="800"/>
    <n v="7"/>
    <x v="8"/>
    <x v="1"/>
    <x v="2"/>
    <m/>
  </r>
  <r>
    <n v="25"/>
    <d v="2024-09-29T00:00:00"/>
    <x v="4"/>
    <s v="Rui Tavares"/>
    <s v="rui.tavares25@gmail.com"/>
    <s v="(18) 9 7599-9997"/>
    <x v="0"/>
    <n v="1200"/>
    <n v="16"/>
    <x v="14"/>
    <x v="1"/>
    <x v="2"/>
    <m/>
  </r>
  <r>
    <n v="26"/>
    <d v="2024-12-08T00:00:00"/>
    <x v="0"/>
    <s v="Rui Domingues"/>
    <s v="rui.domingues26@gmail.com"/>
    <s v="(19) 9 9143-8652"/>
    <x v="1"/>
    <n v="800"/>
    <n v="9"/>
    <x v="15"/>
    <x v="1"/>
    <x v="1"/>
    <m/>
  </r>
  <r>
    <n v="27"/>
    <d v="2024-05-19T00:00:00"/>
    <x v="7"/>
    <s v="Isabel Pinto"/>
    <s v="isabel.pinto27@gmail.com"/>
    <s v="(25) 9 9336-9610"/>
    <x v="1"/>
    <n v="1500"/>
    <n v="20"/>
    <x v="1"/>
    <x v="1"/>
    <x v="3"/>
    <m/>
  </r>
  <r>
    <n v="28"/>
    <d v="2024-08-05T00:00:00"/>
    <x v="5"/>
    <s v="Fátima Rodrigues"/>
    <s v="fátima.rodrigues28@gmail.com"/>
    <s v="(46) 9 9095-7428"/>
    <x v="1"/>
    <n v="1500"/>
    <n v="12"/>
    <x v="7"/>
    <x v="1"/>
    <x v="1"/>
    <m/>
  </r>
  <r>
    <n v="29"/>
    <d v="2024-02-27T00:00:00"/>
    <x v="8"/>
    <s v="António David"/>
    <s v="antónio.david29@gmail.com"/>
    <s v="(39) 9 7591-9210"/>
    <x v="1"/>
    <n v="800"/>
    <n v="9"/>
    <x v="4"/>
    <x v="1"/>
    <x v="2"/>
    <m/>
  </r>
  <r>
    <n v="30"/>
    <d v="2024-11-03T00:00:00"/>
    <x v="9"/>
    <s v="Pedro Lukeba"/>
    <s v="pedro.lukeba30@gmail.com"/>
    <s v="(27) 9 8734-7930"/>
    <x v="0"/>
    <n v="1200"/>
    <n v="11"/>
    <x v="3"/>
    <x v="0"/>
    <x v="0"/>
    <m/>
  </r>
  <r>
    <n v="31"/>
    <d v="2024-05-23T00:00:00"/>
    <x v="7"/>
    <s v="Maria Monteiro"/>
    <s v="maria.monteiro31@gmail.com"/>
    <s v="(41) 9 9232-8548"/>
    <x v="1"/>
    <n v="800"/>
    <n v="18"/>
    <x v="0"/>
    <x v="0"/>
    <x v="0"/>
    <m/>
  </r>
  <r>
    <n v="32"/>
    <d v="2024-01-04T00:00:00"/>
    <x v="6"/>
    <s v="Ana Gomes"/>
    <s v="ana.gomes32@gmail.com"/>
    <s v="(15) 9 7413-9482"/>
    <x v="1"/>
    <n v="1500"/>
    <n v="18"/>
    <x v="12"/>
    <x v="1"/>
    <x v="1"/>
    <m/>
  </r>
  <r>
    <n v="33"/>
    <d v="2024-11-29T00:00:00"/>
    <x v="9"/>
    <s v="Samuel Martins"/>
    <s v="samuel.martins33@gmail.com"/>
    <s v="(31) 9 8034-7902"/>
    <x v="1"/>
    <n v="800"/>
    <n v="10"/>
    <x v="1"/>
    <x v="1"/>
    <x v="3"/>
    <m/>
  </r>
  <r>
    <n v="34"/>
    <d v="2024-12-08T00:00:00"/>
    <x v="0"/>
    <s v="José David"/>
    <s v="josé.david34@gmail.com"/>
    <s v="(24) 9 9770-7019"/>
    <x v="1"/>
    <n v="800"/>
    <n v="5"/>
    <x v="16"/>
    <x v="1"/>
    <x v="2"/>
    <m/>
  </r>
  <r>
    <n v="35"/>
    <d v="2024-12-28T00:00:00"/>
    <x v="0"/>
    <s v="Paulo Martins"/>
    <s v="paulo.martins35@gmail.com"/>
    <s v="(37) 9 7339-8208"/>
    <x v="1"/>
    <n v="1500"/>
    <n v="4"/>
    <x v="3"/>
    <x v="1"/>
    <x v="1"/>
    <m/>
  </r>
  <r>
    <n v="36"/>
    <d v="2024-05-17T00:00:00"/>
    <x v="7"/>
    <s v="Fátima Pinto"/>
    <s v="fátima.pinto36@gmail.com"/>
    <s v="(20) 9 8365-9087"/>
    <x v="1"/>
    <n v="1500"/>
    <n v="4"/>
    <x v="2"/>
    <x v="1"/>
    <x v="1"/>
    <m/>
  </r>
  <r>
    <n v="37"/>
    <d v="2024-03-25T00:00:00"/>
    <x v="10"/>
    <s v="Francisco Soares"/>
    <s v="francisco.soares37@gmail.com"/>
    <s v="(18) 9 9671-7452"/>
    <x v="1"/>
    <n v="1500"/>
    <n v="7"/>
    <x v="11"/>
    <x v="1"/>
    <x v="1"/>
    <m/>
  </r>
  <r>
    <n v="38"/>
    <d v="2024-06-29T00:00:00"/>
    <x v="11"/>
    <s v="Adriano Rodrigues"/>
    <s v="adriano.rodrigues38@gmail.com"/>
    <s v="(44) 9 8986-8539"/>
    <x v="0"/>
    <n v="1200"/>
    <n v="2"/>
    <x v="15"/>
    <x v="1"/>
    <x v="2"/>
    <m/>
  </r>
  <r>
    <n v="39"/>
    <d v="2024-04-13T00:00:00"/>
    <x v="2"/>
    <s v="Manuel Andrade"/>
    <s v="manuel.andrade39@gmail.com"/>
    <s v="(38) 9 9776-8608"/>
    <x v="1"/>
    <n v="800"/>
    <n v="12"/>
    <x v="17"/>
    <x v="1"/>
    <x v="1"/>
    <m/>
  </r>
  <r>
    <n v="40"/>
    <d v="2024-04-30T00:00:00"/>
    <x v="2"/>
    <s v="Sofia Pereira"/>
    <s v="sofia.pereira40@gmail.com"/>
    <s v="(49) 9 7126-8838"/>
    <x v="1"/>
    <n v="1500"/>
    <n v="6"/>
    <x v="0"/>
    <x v="1"/>
    <x v="3"/>
    <m/>
  </r>
  <r>
    <n v="41"/>
    <d v="2024-09-09T00:00:00"/>
    <x v="4"/>
    <s v="António Santos"/>
    <s v="antónio.santos41@gmail.com"/>
    <s v="(34) 9 9714-7938"/>
    <x v="1"/>
    <n v="800"/>
    <n v="4"/>
    <x v="12"/>
    <x v="1"/>
    <x v="3"/>
    <m/>
  </r>
  <r>
    <n v="42"/>
    <d v="2024-08-12T00:00:00"/>
    <x v="5"/>
    <s v="Mateus Pereira"/>
    <s v="mateus.pereira42@gmail.com"/>
    <s v="(49) 9 9926-7186"/>
    <x v="0"/>
    <n v="1200"/>
    <n v="8"/>
    <x v="8"/>
    <x v="1"/>
    <x v="2"/>
    <m/>
  </r>
  <r>
    <n v="43"/>
    <d v="2024-03-25T00:00:00"/>
    <x v="10"/>
    <s v="Ana Tavares"/>
    <s v="ana.tavares43@gmail.com"/>
    <s v="(59) 9 8614-7557"/>
    <x v="1"/>
    <n v="1500"/>
    <n v="4"/>
    <x v="3"/>
    <x v="1"/>
    <x v="3"/>
    <m/>
  </r>
  <r>
    <n v="44"/>
    <d v="2024-04-18T00:00:00"/>
    <x v="2"/>
    <s v="Benedito Santos"/>
    <s v="benedito.santos44@gmail.com"/>
    <s v="(28) 9 7218-7547"/>
    <x v="1"/>
    <n v="800"/>
    <n v="2"/>
    <x v="18"/>
    <x v="0"/>
    <x v="0"/>
    <m/>
  </r>
  <r>
    <n v="45"/>
    <d v="2024-12-30T00:00:00"/>
    <x v="0"/>
    <s v="Cláudia Fernandes"/>
    <s v="cláudia.fernandes45@gmail.com"/>
    <s v="(45) 9 9225-7029"/>
    <x v="0"/>
    <n v="1200"/>
    <n v="3"/>
    <x v="7"/>
    <x v="1"/>
    <x v="2"/>
    <m/>
  </r>
  <r>
    <n v="46"/>
    <d v="2024-12-31T00:00:00"/>
    <x v="0"/>
    <s v="Paulo Pereira"/>
    <s v="paulo.pereira46@gmail.com"/>
    <s v="(60) 9 8311-9265"/>
    <x v="1"/>
    <n v="1500"/>
    <n v="15"/>
    <x v="17"/>
    <x v="1"/>
    <x v="1"/>
    <m/>
  </r>
  <r>
    <n v="47"/>
    <d v="2024-07-20T00:00:00"/>
    <x v="3"/>
    <s v="José Lopes"/>
    <s v="josé.lopes47@gmail.com"/>
    <s v="(12) 9 8611-7560"/>
    <x v="1"/>
    <n v="1500"/>
    <n v="15"/>
    <x v="5"/>
    <x v="0"/>
    <x v="0"/>
    <m/>
  </r>
  <r>
    <n v="48"/>
    <d v="2024-01-18T00:00:00"/>
    <x v="6"/>
    <s v="Joaquim Tavares"/>
    <s v="joaquim.tavares48@gmail.com"/>
    <s v="(42) 9 7656-9141"/>
    <x v="1"/>
    <n v="800"/>
    <n v="17"/>
    <x v="11"/>
    <x v="1"/>
    <x v="3"/>
    <m/>
  </r>
  <r>
    <n v="49"/>
    <d v="2024-01-19T00:00:00"/>
    <x v="6"/>
    <s v="Benedito Lukeba"/>
    <s v="benedito.lukeba49@gmail.com"/>
    <s v="(51) 9 9957-9324"/>
    <x v="0"/>
    <n v="1200"/>
    <n v="3"/>
    <x v="2"/>
    <x v="0"/>
    <x v="0"/>
    <m/>
  </r>
  <r>
    <n v="50"/>
    <d v="2024-06-11T00:00:00"/>
    <x v="11"/>
    <s v="Teresa Soares"/>
    <s v="teresa.soares50@gmail.com"/>
    <s v="(54) 9 7055-8112"/>
    <x v="1"/>
    <n v="1500"/>
    <n v="10"/>
    <x v="14"/>
    <x v="1"/>
    <x v="2"/>
    <m/>
  </r>
  <r>
    <n v="51"/>
    <d v="2024-04-02T00:00:00"/>
    <x v="2"/>
    <s v="Carlos Martins"/>
    <s v="carlos.martins51@gmail.com"/>
    <s v="(46) 9 9920-9929"/>
    <x v="1"/>
    <n v="1500"/>
    <n v="6"/>
    <x v="15"/>
    <x v="0"/>
    <x v="0"/>
    <m/>
  </r>
  <r>
    <n v="52"/>
    <d v="2024-05-26T00:00:00"/>
    <x v="7"/>
    <s v="Maria Martins"/>
    <s v="maria.martins52@gmail.com"/>
    <s v="(29) 9 8353-7382"/>
    <x v="0"/>
    <n v="1200"/>
    <n v="15"/>
    <x v="4"/>
    <x v="1"/>
    <x v="3"/>
    <m/>
  </r>
  <r>
    <n v="53"/>
    <d v="2024-10-03T00:00:00"/>
    <x v="1"/>
    <s v="Isabel Andrade"/>
    <s v="isabel.andrade53@gmail.com"/>
    <s v="(34) 9 8178-9520"/>
    <x v="0"/>
    <n v="1200"/>
    <n v="12"/>
    <x v="0"/>
    <x v="1"/>
    <x v="2"/>
    <m/>
  </r>
  <r>
    <n v="54"/>
    <d v="2024-11-01T00:00:00"/>
    <x v="9"/>
    <s v="Pedro Pereira"/>
    <s v="pedro.pereira54@gmail.com"/>
    <s v="(56) 9 7534-9937"/>
    <x v="0"/>
    <n v="1200"/>
    <n v="13"/>
    <x v="12"/>
    <x v="0"/>
    <x v="0"/>
    <m/>
  </r>
  <r>
    <n v="55"/>
    <d v="2024-05-09T00:00:00"/>
    <x v="7"/>
    <s v="Helena Silva"/>
    <s v="helena.silva55@gmail.com"/>
    <s v="(12) 9 8657-9533"/>
    <x v="1"/>
    <n v="1500"/>
    <n v="5"/>
    <x v="19"/>
    <x v="1"/>
    <x v="1"/>
    <m/>
  </r>
  <r>
    <n v="56"/>
    <d v="2024-11-12T00:00:00"/>
    <x v="9"/>
    <s v="Benedito Gomes"/>
    <s v="benedito.gomes56@gmail.com"/>
    <s v="(22) 9 9306-9303"/>
    <x v="1"/>
    <n v="1500"/>
    <n v="16"/>
    <x v="4"/>
    <x v="1"/>
    <x v="2"/>
    <m/>
  </r>
  <r>
    <n v="57"/>
    <d v="2024-04-13T00:00:00"/>
    <x v="2"/>
    <s v="Manuel Costa"/>
    <s v="manuel.costa57@gmail.com"/>
    <s v="(40) 9 7925-8208"/>
    <x v="0"/>
    <n v="1200"/>
    <n v="19"/>
    <x v="3"/>
    <x v="1"/>
    <x v="2"/>
    <m/>
  </r>
  <r>
    <n v="58"/>
    <d v="2024-09-10T00:00:00"/>
    <x v="4"/>
    <s v="Domingos Fernandes"/>
    <s v="domingos.fernandes58@gmail.com"/>
    <s v="(23) 9 9254-8980"/>
    <x v="1"/>
    <n v="1500"/>
    <n v="20"/>
    <x v="12"/>
    <x v="1"/>
    <x v="1"/>
    <m/>
  </r>
  <r>
    <n v="59"/>
    <d v="2024-07-10T00:00:00"/>
    <x v="3"/>
    <s v="Domingos Fernandes"/>
    <s v="domingos.fernandes59@gmail.com"/>
    <s v="(12) 9 8985-9281"/>
    <x v="1"/>
    <n v="1500"/>
    <n v="4"/>
    <x v="4"/>
    <x v="0"/>
    <x v="0"/>
    <m/>
  </r>
  <r>
    <n v="60"/>
    <d v="2024-11-11T00:00:00"/>
    <x v="9"/>
    <s v="Nelson Silva"/>
    <s v="nelson.silva60@gmail.com"/>
    <s v="(52) 9 9613-9441"/>
    <x v="0"/>
    <n v="1200"/>
    <n v="3"/>
    <x v="17"/>
    <x v="1"/>
    <x v="3"/>
    <m/>
  </r>
  <r>
    <n v="61"/>
    <d v="2024-03-03T00:00:00"/>
    <x v="10"/>
    <s v="Teresa Almeida"/>
    <s v="teresa.almeida61@gmail.com"/>
    <s v="(12) 9 8995-9033"/>
    <x v="0"/>
    <n v="1200"/>
    <n v="19"/>
    <x v="1"/>
    <x v="0"/>
    <x v="0"/>
    <m/>
  </r>
  <r>
    <n v="62"/>
    <d v="2024-07-20T00:00:00"/>
    <x v="3"/>
    <s v="Mateus Lopes"/>
    <s v="mateus.lopes62@gmail.com"/>
    <s v="(52) 9 7218-9501"/>
    <x v="1"/>
    <n v="1500"/>
    <n v="14"/>
    <x v="2"/>
    <x v="1"/>
    <x v="2"/>
    <m/>
  </r>
  <r>
    <n v="63"/>
    <d v="2024-02-28T00:00:00"/>
    <x v="8"/>
    <s v="Adriano Pinto"/>
    <s v="adriano.pinto63@gmail.com"/>
    <s v="(37) 9 8629-9804"/>
    <x v="0"/>
    <n v="1200"/>
    <n v="7"/>
    <x v="2"/>
    <x v="1"/>
    <x v="3"/>
    <m/>
  </r>
  <r>
    <n v="64"/>
    <d v="2024-09-30T00:00:00"/>
    <x v="4"/>
    <s v="Rui Tavares"/>
    <s v="rui.tavares64@gmail.com"/>
    <s v="(46) 9 8606-9167"/>
    <x v="1"/>
    <n v="1500"/>
    <n v="15"/>
    <x v="2"/>
    <x v="1"/>
    <x v="1"/>
    <m/>
  </r>
  <r>
    <n v="65"/>
    <d v="2024-11-29T00:00:00"/>
    <x v="9"/>
    <s v="Paulo Fernandes"/>
    <s v="paulo.fernandes65@gmail.com"/>
    <s v="(41) 9 9481-9584"/>
    <x v="0"/>
    <n v="1200"/>
    <n v="9"/>
    <x v="16"/>
    <x v="0"/>
    <x v="0"/>
    <m/>
  </r>
  <r>
    <n v="66"/>
    <d v="2024-02-12T00:00:00"/>
    <x v="8"/>
    <s v="Adriano Santos"/>
    <s v="adriano.santos66@gmail.com"/>
    <s v="(48) 9 9306-7753"/>
    <x v="1"/>
    <n v="1500"/>
    <n v="8"/>
    <x v="6"/>
    <x v="0"/>
    <x v="0"/>
    <m/>
  </r>
  <r>
    <n v="67"/>
    <d v="2024-09-19T00:00:00"/>
    <x v="4"/>
    <s v="Daniel Soares"/>
    <s v="daniel.soares67@gmail.com"/>
    <s v="(16) 9 7414-9560"/>
    <x v="1"/>
    <n v="1500"/>
    <n v="13"/>
    <x v="1"/>
    <x v="1"/>
    <x v="2"/>
    <m/>
  </r>
  <r>
    <n v="68"/>
    <d v="2024-05-31T00:00:00"/>
    <x v="7"/>
    <s v="António Costa"/>
    <s v="antónio.costa68@gmail.com"/>
    <s v="(30) 9 8209-8318"/>
    <x v="1"/>
    <n v="800"/>
    <n v="1"/>
    <x v="19"/>
    <x v="1"/>
    <x v="1"/>
    <m/>
  </r>
  <r>
    <n v="69"/>
    <d v="2024-04-13T00:00:00"/>
    <x v="2"/>
    <s v="Luís Monteiro"/>
    <s v="luís.monteiro69@gmail.com"/>
    <s v="(42) 9 9310-9623"/>
    <x v="1"/>
    <n v="800"/>
    <n v="9"/>
    <x v="19"/>
    <x v="1"/>
    <x v="2"/>
    <m/>
  </r>
  <r>
    <n v="70"/>
    <d v="2024-02-18T00:00:00"/>
    <x v="8"/>
    <s v="Isabel David"/>
    <s v="isabel.david70@gmail.com"/>
    <s v="(51) 9 8633-7513"/>
    <x v="1"/>
    <n v="800"/>
    <n v="17"/>
    <x v="0"/>
    <x v="1"/>
    <x v="1"/>
    <m/>
  </r>
  <r>
    <n v="71"/>
    <d v="2024-08-20T00:00:00"/>
    <x v="5"/>
    <s v="Adriano Soares"/>
    <s v="adriano.soares71@gmail.com"/>
    <s v="(35) 9 8930-8685"/>
    <x v="1"/>
    <n v="800"/>
    <n v="2"/>
    <x v="18"/>
    <x v="1"/>
    <x v="3"/>
    <m/>
  </r>
  <r>
    <n v="72"/>
    <d v="2024-08-09T00:00:00"/>
    <x v="5"/>
    <s v="Cláudia Costa"/>
    <s v="cláudia.costa72@gmail.com"/>
    <s v="(31) 9 9048-8068"/>
    <x v="1"/>
    <n v="1500"/>
    <n v="18"/>
    <x v="6"/>
    <x v="1"/>
    <x v="3"/>
    <m/>
  </r>
  <r>
    <n v="73"/>
    <d v="2024-02-28T00:00:00"/>
    <x v="8"/>
    <s v="Daniel Domingues"/>
    <s v="daniel.domingues73@gmail.com"/>
    <s v="(35) 9 7346-8663"/>
    <x v="0"/>
    <n v="1200"/>
    <n v="3"/>
    <x v="16"/>
    <x v="1"/>
    <x v="2"/>
    <m/>
  </r>
  <r>
    <n v="74"/>
    <d v="2024-11-29T00:00:00"/>
    <x v="9"/>
    <s v="João Gomes"/>
    <s v="joão.gomes74@gmail.com"/>
    <s v="(13) 9 9635-8800"/>
    <x v="1"/>
    <n v="1500"/>
    <n v="12"/>
    <x v="6"/>
    <x v="1"/>
    <x v="2"/>
    <m/>
  </r>
  <r>
    <n v="75"/>
    <d v="2024-08-11T00:00:00"/>
    <x v="5"/>
    <s v="Fátima Silva"/>
    <s v="fátima.silva75@gmail.com"/>
    <s v="(38) 9 9429-9841"/>
    <x v="1"/>
    <n v="800"/>
    <n v="9"/>
    <x v="2"/>
    <x v="1"/>
    <x v="2"/>
    <m/>
  </r>
  <r>
    <n v="76"/>
    <d v="2024-06-15T00:00:00"/>
    <x v="11"/>
    <s v="Manuel David"/>
    <s v="manuel.david76@gmail.com"/>
    <s v="(50) 9 7792-7831"/>
    <x v="1"/>
    <n v="1500"/>
    <n v="12"/>
    <x v="1"/>
    <x v="1"/>
    <x v="2"/>
    <m/>
  </r>
  <r>
    <n v="77"/>
    <d v="2024-11-24T00:00:00"/>
    <x v="9"/>
    <s v="António Pereira"/>
    <s v="antónio.pereira77@gmail.com"/>
    <s v="(31) 9 9186-9250"/>
    <x v="0"/>
    <n v="1200"/>
    <n v="6"/>
    <x v="14"/>
    <x v="1"/>
    <x v="2"/>
    <m/>
  </r>
  <r>
    <n v="78"/>
    <d v="2024-12-31T00:00:00"/>
    <x v="0"/>
    <s v="Isabel Monteiro"/>
    <s v="isabel.monteiro78@gmail.com"/>
    <s v="(50) 9 9827-8472"/>
    <x v="1"/>
    <n v="800"/>
    <n v="16"/>
    <x v="10"/>
    <x v="1"/>
    <x v="3"/>
    <m/>
  </r>
  <r>
    <n v="79"/>
    <d v="2024-01-29T00:00:00"/>
    <x v="6"/>
    <s v="Paulo Lopes"/>
    <s v="paulo.lopes79@gmail.com"/>
    <s v="(27) 9 7612-8300"/>
    <x v="0"/>
    <n v="1200"/>
    <n v="19"/>
    <x v="14"/>
    <x v="0"/>
    <x v="0"/>
    <m/>
  </r>
  <r>
    <n v="80"/>
    <d v="2024-12-20T00:00:00"/>
    <x v="0"/>
    <s v="Manuel Santos"/>
    <s v="manuel.santos80@gmail.com"/>
    <s v="(52) 9 8825-7306"/>
    <x v="0"/>
    <n v="1200"/>
    <n v="5"/>
    <x v="0"/>
    <x v="1"/>
    <x v="3"/>
    <m/>
  </r>
  <r>
    <n v="81"/>
    <d v="2024-04-08T00:00:00"/>
    <x v="2"/>
    <s v="Adriano Martins"/>
    <s v="adriano.martins81@gmail.com"/>
    <s v="(30) 9 8132-8234"/>
    <x v="1"/>
    <n v="800"/>
    <n v="10"/>
    <x v="7"/>
    <x v="1"/>
    <x v="3"/>
    <m/>
  </r>
  <r>
    <n v="82"/>
    <d v="2024-03-06T00:00:00"/>
    <x v="10"/>
    <s v="João Silva"/>
    <s v="joão.silva82@gmail.com"/>
    <s v="(57) 9 7684-9541"/>
    <x v="1"/>
    <n v="800"/>
    <n v="7"/>
    <x v="18"/>
    <x v="1"/>
    <x v="1"/>
    <m/>
  </r>
  <r>
    <n v="83"/>
    <d v="2024-05-04T00:00:00"/>
    <x v="7"/>
    <s v="David Tavares"/>
    <s v="david.tavares83@gmail.com"/>
    <s v="(30) 9 9136-8796"/>
    <x v="0"/>
    <n v="1200"/>
    <n v="5"/>
    <x v="10"/>
    <x v="1"/>
    <x v="1"/>
    <m/>
  </r>
  <r>
    <n v="84"/>
    <d v="2024-12-01T00:00:00"/>
    <x v="0"/>
    <s v="Cláudia Gomes"/>
    <s v="cláudia.gomes84@gmail.com"/>
    <s v="(17) 9 9466-9909"/>
    <x v="1"/>
    <n v="1500"/>
    <n v="8"/>
    <x v="12"/>
    <x v="0"/>
    <x v="0"/>
    <m/>
  </r>
  <r>
    <n v="85"/>
    <d v="2024-04-14T00:00:00"/>
    <x v="2"/>
    <s v="António Almeida"/>
    <s v="antónio.almeida85@gmail.com"/>
    <s v="(48) 9 8911-7022"/>
    <x v="1"/>
    <n v="1500"/>
    <n v="9"/>
    <x v="14"/>
    <x v="1"/>
    <x v="2"/>
    <m/>
  </r>
  <r>
    <n v="86"/>
    <d v="2024-07-27T00:00:00"/>
    <x v="3"/>
    <s v="Bruno Pinto"/>
    <s v="bruno.pinto86@gmail.com"/>
    <s v="(21) 9 8181-9265"/>
    <x v="0"/>
    <n v="1200"/>
    <n v="18"/>
    <x v="3"/>
    <x v="1"/>
    <x v="2"/>
    <m/>
  </r>
  <r>
    <n v="87"/>
    <d v="2024-10-20T00:00:00"/>
    <x v="1"/>
    <s v="António Martins"/>
    <s v="antónio.martins87@gmail.com"/>
    <s v="(60) 9 8530-7284"/>
    <x v="1"/>
    <n v="800"/>
    <n v="19"/>
    <x v="18"/>
    <x v="1"/>
    <x v="2"/>
    <m/>
  </r>
  <r>
    <n v="88"/>
    <d v="2024-01-15T00:00:00"/>
    <x v="6"/>
    <s v="Manuel Miguel"/>
    <s v="manuel.miguel88@gmail.com"/>
    <s v="(13) 9 8967-8710"/>
    <x v="0"/>
    <n v="1200"/>
    <n v="5"/>
    <x v="1"/>
    <x v="1"/>
    <x v="3"/>
    <m/>
  </r>
  <r>
    <n v="89"/>
    <d v="2024-05-24T00:00:00"/>
    <x v="7"/>
    <s v="Manuel Martins"/>
    <s v="manuel.martins89@gmail.com"/>
    <s v="(36) 9 8116-7272"/>
    <x v="1"/>
    <n v="1500"/>
    <n v="13"/>
    <x v="13"/>
    <x v="1"/>
    <x v="3"/>
    <m/>
  </r>
  <r>
    <n v="90"/>
    <d v="2024-07-04T00:00:00"/>
    <x v="3"/>
    <s v="Nelson Tavares"/>
    <s v="nelson.tavares90@gmail.com"/>
    <s v="(28) 9 7773-8251"/>
    <x v="0"/>
    <n v="1200"/>
    <n v="11"/>
    <x v="19"/>
    <x v="1"/>
    <x v="3"/>
    <m/>
  </r>
  <r>
    <n v="91"/>
    <d v="2024-04-10T00:00:00"/>
    <x v="2"/>
    <s v="Adriano Pereira"/>
    <s v="adriano.pereira91@gmail.com"/>
    <s v="(51) 9 7893-8622"/>
    <x v="0"/>
    <n v="1200"/>
    <n v="10"/>
    <x v="3"/>
    <x v="1"/>
    <x v="2"/>
    <m/>
  </r>
  <r>
    <n v="92"/>
    <d v="2024-12-15T00:00:00"/>
    <x v="0"/>
    <s v="Bruno Costa"/>
    <s v="bruno.costa92@gmail.com"/>
    <s v="(41) 9 7172-8880"/>
    <x v="0"/>
    <n v="1200"/>
    <n v="19"/>
    <x v="7"/>
    <x v="1"/>
    <x v="2"/>
    <m/>
  </r>
  <r>
    <n v="93"/>
    <d v="2024-03-17T00:00:00"/>
    <x v="10"/>
    <s v="Rosa Barbosa"/>
    <s v="rosa.barbosa93@gmail.com"/>
    <s v="(26) 9 9441-8636"/>
    <x v="0"/>
    <n v="1200"/>
    <n v="17"/>
    <x v="18"/>
    <x v="0"/>
    <x v="0"/>
    <m/>
  </r>
  <r>
    <n v="94"/>
    <d v="2024-09-27T00:00:00"/>
    <x v="4"/>
    <s v="Sofia Lopes"/>
    <s v="sofia.lopes94@gmail.com"/>
    <s v="(13) 9 7552-7187"/>
    <x v="1"/>
    <n v="800"/>
    <n v="4"/>
    <x v="18"/>
    <x v="0"/>
    <x v="0"/>
    <m/>
  </r>
  <r>
    <n v="95"/>
    <d v="2024-09-11T00:00:00"/>
    <x v="4"/>
    <s v="Fátima Pinto"/>
    <s v="fátima.pinto95@gmail.com"/>
    <s v="(46) 9 9579-7200"/>
    <x v="1"/>
    <n v="1500"/>
    <n v="5"/>
    <x v="15"/>
    <x v="1"/>
    <x v="3"/>
    <m/>
  </r>
  <r>
    <n v="96"/>
    <d v="2024-05-14T00:00:00"/>
    <x v="7"/>
    <s v="José Silva"/>
    <s v="josé.silva96@gmail.com"/>
    <s v="(12) 9 7567-9507"/>
    <x v="1"/>
    <n v="800"/>
    <n v="8"/>
    <x v="20"/>
    <x v="0"/>
    <x v="0"/>
    <m/>
  </r>
  <r>
    <n v="97"/>
    <d v="2024-03-10T00:00:00"/>
    <x v="10"/>
    <s v="Rosa Tavares"/>
    <s v="rosa.tavares97@gmail.com"/>
    <s v="(12) 9 9930-7507"/>
    <x v="1"/>
    <n v="800"/>
    <n v="11"/>
    <x v="14"/>
    <x v="0"/>
    <x v="0"/>
    <m/>
  </r>
  <r>
    <n v="98"/>
    <d v="2024-02-24T00:00:00"/>
    <x v="8"/>
    <s v="Pedro Martins"/>
    <s v="pedro.martins98@gmail.com"/>
    <s v="(55) 9 9604-8459"/>
    <x v="0"/>
    <n v="1200"/>
    <n v="14"/>
    <x v="9"/>
    <x v="1"/>
    <x v="2"/>
    <m/>
  </r>
  <r>
    <n v="99"/>
    <d v="2024-12-10T00:00:00"/>
    <x v="0"/>
    <s v="Carlos Soares"/>
    <s v="carlos.soares99@gmail.com"/>
    <s v="(19) 9 8215-7790"/>
    <x v="1"/>
    <n v="800"/>
    <n v="10"/>
    <x v="4"/>
    <x v="0"/>
    <x v="0"/>
    <m/>
  </r>
  <r>
    <n v="100"/>
    <d v="2024-01-20T00:00:00"/>
    <x v="6"/>
    <s v="Adriano Lopes"/>
    <s v="adriano.lopes100@gmail.com"/>
    <s v="(14) 9 8175-9100"/>
    <x v="1"/>
    <n v="800"/>
    <n v="1"/>
    <x v="17"/>
    <x v="0"/>
    <x v="0"/>
    <m/>
  </r>
  <r>
    <n v="101"/>
    <d v="2024-03-03T00:00:00"/>
    <x v="10"/>
    <s v="Daniel Miguel"/>
    <s v="daniel.miguel101@gmail.com"/>
    <s v="(24) 9 7628-8773"/>
    <x v="1"/>
    <n v="1500"/>
    <n v="16"/>
    <x v="4"/>
    <x v="1"/>
    <x v="1"/>
    <m/>
  </r>
  <r>
    <n v="102"/>
    <d v="2024-02-17T00:00:00"/>
    <x v="8"/>
    <s v="Rui Rodrigues"/>
    <s v="rui.rodrigues102@gmail.com"/>
    <s v="(56) 9 8856-8252"/>
    <x v="1"/>
    <n v="1500"/>
    <n v="10"/>
    <x v="1"/>
    <x v="1"/>
    <x v="1"/>
    <m/>
  </r>
  <r>
    <n v="103"/>
    <d v="2024-06-09T00:00:00"/>
    <x v="11"/>
    <s v="Paulo Martins"/>
    <s v="paulo.martins103@gmail.com"/>
    <s v="(16) 9 8490-7609"/>
    <x v="1"/>
    <n v="800"/>
    <n v="14"/>
    <x v="11"/>
    <x v="1"/>
    <x v="3"/>
    <m/>
  </r>
  <r>
    <n v="104"/>
    <d v="2024-09-05T00:00:00"/>
    <x v="4"/>
    <s v="Sofia Lopes"/>
    <s v="sofia.lopes104@gmail.com"/>
    <s v="(46) 9 7023-8833"/>
    <x v="1"/>
    <n v="800"/>
    <n v="19"/>
    <x v="8"/>
    <x v="1"/>
    <x v="3"/>
    <m/>
  </r>
  <r>
    <n v="105"/>
    <d v="2024-11-25T00:00:00"/>
    <x v="9"/>
    <s v="Bruno Lopes"/>
    <s v="bruno.lopes105@gmail.com"/>
    <s v="(24) 9 9973-9066"/>
    <x v="1"/>
    <n v="800"/>
    <n v="16"/>
    <x v="5"/>
    <x v="0"/>
    <x v="0"/>
    <m/>
  </r>
  <r>
    <n v="106"/>
    <d v="2024-02-27T00:00:00"/>
    <x v="8"/>
    <s v="João Lopes"/>
    <s v="joão.lopes106@gmail.com"/>
    <s v="(30) 9 8554-8192"/>
    <x v="1"/>
    <n v="800"/>
    <n v="16"/>
    <x v="6"/>
    <x v="0"/>
    <x v="0"/>
    <m/>
  </r>
  <r>
    <n v="107"/>
    <d v="2024-08-24T00:00:00"/>
    <x v="5"/>
    <s v="Francisco Miguel"/>
    <s v="francisco.miguel107@gmail.com"/>
    <s v="(41) 9 7741-7765"/>
    <x v="1"/>
    <n v="800"/>
    <n v="5"/>
    <x v="20"/>
    <x v="0"/>
    <x v="0"/>
    <m/>
  </r>
  <r>
    <n v="108"/>
    <d v="2024-04-23T00:00:00"/>
    <x v="2"/>
    <s v="Manuel Costa"/>
    <s v="manuel.costa108@gmail.com"/>
    <s v="(50) 9 7040-9363"/>
    <x v="1"/>
    <n v="800"/>
    <n v="19"/>
    <x v="12"/>
    <x v="1"/>
    <x v="3"/>
    <m/>
  </r>
  <r>
    <n v="109"/>
    <d v="2024-06-13T00:00:00"/>
    <x v="11"/>
    <s v="Helena Andrade"/>
    <s v="helena.andrade109@gmail.com"/>
    <s v="(42) 9 9731-9136"/>
    <x v="0"/>
    <n v="1200"/>
    <n v="16"/>
    <x v="2"/>
    <x v="1"/>
    <x v="2"/>
    <m/>
  </r>
  <r>
    <n v="110"/>
    <d v="2024-03-06T00:00:00"/>
    <x v="10"/>
    <s v="Maria Silva"/>
    <s v="maria.silva110@gmail.com"/>
    <s v="(35) 9 8530-9126"/>
    <x v="1"/>
    <n v="1500"/>
    <n v="13"/>
    <x v="12"/>
    <x v="1"/>
    <x v="3"/>
    <m/>
  </r>
  <r>
    <n v="111"/>
    <d v="2024-06-05T00:00:00"/>
    <x v="11"/>
    <s v="Rosa Miguel"/>
    <s v="rosa.miguel111@gmail.com"/>
    <s v="(19) 9 8085-7860"/>
    <x v="1"/>
    <n v="1500"/>
    <n v="12"/>
    <x v="15"/>
    <x v="1"/>
    <x v="3"/>
    <m/>
  </r>
  <r>
    <n v="112"/>
    <d v="2024-03-11T00:00:00"/>
    <x v="10"/>
    <s v="Joaquim Andrade"/>
    <s v="joaquim.andrade112@gmail.com"/>
    <s v="(28) 9 8190-8534"/>
    <x v="1"/>
    <n v="800"/>
    <n v="20"/>
    <x v="15"/>
    <x v="1"/>
    <x v="3"/>
    <m/>
  </r>
  <r>
    <n v="113"/>
    <d v="2024-07-20T00:00:00"/>
    <x v="3"/>
    <s v="Fátima Lopes"/>
    <s v="fátima.lopes113@gmail.com"/>
    <s v="(44) 9 9028-7025"/>
    <x v="1"/>
    <n v="1500"/>
    <n v="3"/>
    <x v="2"/>
    <x v="1"/>
    <x v="3"/>
    <m/>
  </r>
  <r>
    <n v="114"/>
    <d v="2024-02-18T00:00:00"/>
    <x v="8"/>
    <s v="David Costa"/>
    <s v="david.costa114@gmail.com"/>
    <s v="(41) 9 9320-8938"/>
    <x v="1"/>
    <n v="800"/>
    <n v="10"/>
    <x v="19"/>
    <x v="1"/>
    <x v="1"/>
    <m/>
  </r>
  <r>
    <n v="115"/>
    <d v="2024-01-23T00:00:00"/>
    <x v="6"/>
    <s v="Teresa Rodrigues"/>
    <s v="teresa.rodrigues115@gmail.com"/>
    <s v="(24) 9 9667-8821"/>
    <x v="1"/>
    <n v="800"/>
    <n v="9"/>
    <x v="11"/>
    <x v="1"/>
    <x v="3"/>
    <m/>
  </r>
  <r>
    <n v="116"/>
    <d v="2024-04-12T00:00:00"/>
    <x v="2"/>
    <s v="Rui Rodrigues"/>
    <s v="rui.rodrigues116@gmail.com"/>
    <s v="(20) 9 9013-9599"/>
    <x v="1"/>
    <n v="1500"/>
    <n v="18"/>
    <x v="12"/>
    <x v="0"/>
    <x v="0"/>
    <m/>
  </r>
  <r>
    <n v="117"/>
    <d v="2024-12-20T00:00:00"/>
    <x v="0"/>
    <s v="Domingos Silva"/>
    <s v="domingos.silva117@gmail.com"/>
    <s v="(12) 9 7369-9596"/>
    <x v="1"/>
    <n v="800"/>
    <n v="8"/>
    <x v="8"/>
    <x v="1"/>
    <x v="2"/>
    <m/>
  </r>
  <r>
    <n v="118"/>
    <d v="2024-05-14T00:00:00"/>
    <x v="7"/>
    <s v="Benedito Lopes"/>
    <s v="benedito.lopes118@gmail.com"/>
    <s v="(15) 9 9173-7016"/>
    <x v="1"/>
    <n v="1500"/>
    <n v="4"/>
    <x v="4"/>
    <x v="1"/>
    <x v="2"/>
    <m/>
  </r>
  <r>
    <n v="119"/>
    <d v="2024-10-02T00:00:00"/>
    <x v="1"/>
    <s v="Cláudia Gomes"/>
    <s v="cláudia.gomes119@gmail.com"/>
    <s v="(11) 9 7914-8573"/>
    <x v="0"/>
    <n v="1200"/>
    <n v="7"/>
    <x v="17"/>
    <x v="1"/>
    <x v="1"/>
    <m/>
  </r>
  <r>
    <n v="120"/>
    <d v="2024-05-27T00:00:00"/>
    <x v="7"/>
    <s v="Sofia Pinto"/>
    <s v="sofia.pinto120@gmail.com"/>
    <s v="(24) 9 8002-8955"/>
    <x v="1"/>
    <n v="1500"/>
    <n v="12"/>
    <x v="7"/>
    <x v="1"/>
    <x v="2"/>
    <m/>
  </r>
  <r>
    <n v="121"/>
    <d v="2024-12-21T00:00:00"/>
    <x v="0"/>
    <s v="Samuel Martins"/>
    <s v="samuel.martins121@gmail.com"/>
    <s v="(51) 9 9031-7145"/>
    <x v="1"/>
    <n v="1500"/>
    <n v="17"/>
    <x v="9"/>
    <x v="1"/>
    <x v="1"/>
    <m/>
  </r>
  <r>
    <n v="122"/>
    <d v="2024-09-07T00:00:00"/>
    <x v="4"/>
    <s v="João Monteiro"/>
    <s v="joão.monteiro122@gmail.com"/>
    <s v="(19) 9 8168-8888"/>
    <x v="1"/>
    <n v="800"/>
    <n v="19"/>
    <x v="11"/>
    <x v="1"/>
    <x v="3"/>
    <m/>
  </r>
  <r>
    <n v="123"/>
    <d v="2024-11-21T00:00:00"/>
    <x v="9"/>
    <s v="Teresa Monteiro"/>
    <s v="teresa.monteiro123@gmail.com"/>
    <s v="(14) 9 8503-9056"/>
    <x v="1"/>
    <n v="1500"/>
    <n v="13"/>
    <x v="17"/>
    <x v="0"/>
    <x v="0"/>
    <m/>
  </r>
  <r>
    <n v="124"/>
    <d v="2024-10-25T00:00:00"/>
    <x v="1"/>
    <s v="Luís Pinto"/>
    <s v="luís.pinto124@gmail.com"/>
    <s v="(56) 9 7710-8770"/>
    <x v="1"/>
    <n v="1500"/>
    <n v="14"/>
    <x v="11"/>
    <x v="1"/>
    <x v="3"/>
    <m/>
  </r>
  <r>
    <n v="125"/>
    <d v="2024-03-30T00:00:00"/>
    <x v="10"/>
    <s v="Helena Gomes"/>
    <s v="helena.gomes125@gmail.com"/>
    <s v="(16) 9 7768-8984"/>
    <x v="1"/>
    <n v="800"/>
    <n v="18"/>
    <x v="12"/>
    <x v="0"/>
    <x v="0"/>
    <m/>
  </r>
  <r>
    <n v="126"/>
    <d v="2024-11-15T00:00:00"/>
    <x v="9"/>
    <s v="Helena Pinto"/>
    <s v="helena.pinto126@gmail.com"/>
    <s v="(42) 9 7206-8378"/>
    <x v="1"/>
    <n v="800"/>
    <n v="12"/>
    <x v="2"/>
    <x v="1"/>
    <x v="1"/>
    <m/>
  </r>
  <r>
    <n v="127"/>
    <d v="2024-10-15T00:00:00"/>
    <x v="1"/>
    <s v="Rui Fernandes"/>
    <s v="rui.fernandes127@gmail.com"/>
    <s v="(21) 9 7014-7564"/>
    <x v="1"/>
    <n v="1500"/>
    <n v="19"/>
    <x v="5"/>
    <x v="1"/>
    <x v="3"/>
    <m/>
  </r>
  <r>
    <n v="128"/>
    <d v="2024-01-24T00:00:00"/>
    <x v="6"/>
    <s v="Marta Miguel"/>
    <s v="marta.miguel128@gmail.com"/>
    <s v="(53) 9 9408-9095"/>
    <x v="1"/>
    <n v="800"/>
    <n v="16"/>
    <x v="11"/>
    <x v="1"/>
    <x v="2"/>
    <m/>
  </r>
  <r>
    <n v="129"/>
    <d v="2024-11-30T00:00:00"/>
    <x v="9"/>
    <s v="Luís Andrade"/>
    <s v="luís.andrade129@gmail.com"/>
    <s v="(11) 9 8538-9187"/>
    <x v="0"/>
    <n v="1200"/>
    <n v="5"/>
    <x v="12"/>
    <x v="1"/>
    <x v="3"/>
    <m/>
  </r>
  <r>
    <n v="130"/>
    <d v="2024-05-21T00:00:00"/>
    <x v="7"/>
    <s v="Carlos Santos"/>
    <s v="carlos.santos130@gmail.com"/>
    <s v="(48) 9 7430-9975"/>
    <x v="1"/>
    <n v="1500"/>
    <n v="13"/>
    <x v="6"/>
    <x v="0"/>
    <x v="0"/>
    <m/>
  </r>
  <r>
    <n v="131"/>
    <d v="2024-12-15T00:00:00"/>
    <x v="0"/>
    <s v="Rui Domingues"/>
    <s v="rui.domingues131@gmail.com"/>
    <s v="(38) 9 9468-9268"/>
    <x v="1"/>
    <n v="800"/>
    <n v="13"/>
    <x v="8"/>
    <x v="0"/>
    <x v="0"/>
    <m/>
  </r>
  <r>
    <n v="132"/>
    <d v="2024-08-20T00:00:00"/>
    <x v="5"/>
    <s v="Sofia Monteiro"/>
    <s v="sofia.monteiro132@gmail.com"/>
    <s v="(36) 9 7663-9643"/>
    <x v="0"/>
    <n v="1200"/>
    <n v="8"/>
    <x v="2"/>
    <x v="1"/>
    <x v="3"/>
    <m/>
  </r>
  <r>
    <n v="133"/>
    <d v="2024-05-02T00:00:00"/>
    <x v="7"/>
    <s v="Rosa Lopes"/>
    <s v="rosa.lopes133@gmail.com"/>
    <s v="(19) 9 9422-8265"/>
    <x v="1"/>
    <n v="800"/>
    <n v="1"/>
    <x v="19"/>
    <x v="1"/>
    <x v="3"/>
    <m/>
  </r>
  <r>
    <n v="134"/>
    <d v="2024-07-02T00:00:00"/>
    <x v="3"/>
    <s v="David Martins"/>
    <s v="david.martins134@gmail.com"/>
    <s v="(26) 9 7865-9803"/>
    <x v="1"/>
    <n v="1500"/>
    <n v="17"/>
    <x v="10"/>
    <x v="1"/>
    <x v="2"/>
    <m/>
  </r>
  <r>
    <n v="135"/>
    <d v="2024-08-07T00:00:00"/>
    <x v="5"/>
    <s v="Francisco Pereira"/>
    <s v="francisco.pereira135@gmail.com"/>
    <s v="(41) 9 7957-7590"/>
    <x v="0"/>
    <n v="1200"/>
    <n v="17"/>
    <x v="0"/>
    <x v="1"/>
    <x v="3"/>
    <m/>
  </r>
  <r>
    <n v="136"/>
    <d v="2024-05-27T00:00:00"/>
    <x v="7"/>
    <s v="Francisco Almeida"/>
    <s v="francisco.almeida136@gmail.com"/>
    <s v="(21) 9 7023-8947"/>
    <x v="1"/>
    <n v="800"/>
    <n v="16"/>
    <x v="3"/>
    <x v="1"/>
    <x v="2"/>
    <m/>
  </r>
  <r>
    <n v="137"/>
    <d v="2024-12-05T00:00:00"/>
    <x v="0"/>
    <s v="Manuel Lopes"/>
    <s v="manuel.lopes137@gmail.com"/>
    <s v="(43) 9 9486-8756"/>
    <x v="1"/>
    <n v="1500"/>
    <n v="11"/>
    <x v="11"/>
    <x v="1"/>
    <x v="2"/>
    <m/>
  </r>
  <r>
    <n v="138"/>
    <d v="2024-03-03T00:00:00"/>
    <x v="10"/>
    <s v="Carlos Monteiro"/>
    <s v="carlos.monteiro138@gmail.com"/>
    <s v="(56) 9 9033-9848"/>
    <x v="1"/>
    <n v="1500"/>
    <n v="9"/>
    <x v="8"/>
    <x v="1"/>
    <x v="2"/>
    <m/>
  </r>
  <r>
    <n v="139"/>
    <d v="2024-11-17T00:00:00"/>
    <x v="9"/>
    <s v="Francisco Barbosa"/>
    <s v="francisco.barbosa139@gmail.com"/>
    <s v="(48) 9 8170-7670"/>
    <x v="1"/>
    <n v="800"/>
    <n v="10"/>
    <x v="4"/>
    <x v="0"/>
    <x v="0"/>
    <m/>
  </r>
  <r>
    <n v="140"/>
    <d v="2024-02-24T00:00:00"/>
    <x v="8"/>
    <s v="Luís Fernandes"/>
    <s v="luís.fernandes140@gmail.com"/>
    <s v="(12) 9 8788-9143"/>
    <x v="1"/>
    <n v="800"/>
    <n v="5"/>
    <x v="10"/>
    <x v="1"/>
    <x v="2"/>
    <m/>
  </r>
  <r>
    <n v="141"/>
    <d v="2024-06-12T00:00:00"/>
    <x v="11"/>
    <s v="Carlos Pereira"/>
    <s v="carlos.pereira141@gmail.com"/>
    <s v="(13) 9 7184-7755"/>
    <x v="1"/>
    <n v="800"/>
    <n v="15"/>
    <x v="6"/>
    <x v="1"/>
    <x v="3"/>
    <m/>
  </r>
  <r>
    <n v="142"/>
    <d v="2024-05-29T00:00:00"/>
    <x v="7"/>
    <s v="Sofia Miguel"/>
    <s v="sofia.miguel142@gmail.com"/>
    <s v="(30) 9 9009-8083"/>
    <x v="0"/>
    <n v="1200"/>
    <n v="16"/>
    <x v="16"/>
    <x v="1"/>
    <x v="3"/>
    <m/>
  </r>
  <r>
    <n v="143"/>
    <d v="2024-03-13T00:00:00"/>
    <x v="10"/>
    <s v="Paulo Lopes"/>
    <s v="paulo.lopes143@gmail.com"/>
    <s v="(55) 9 8243-9412"/>
    <x v="1"/>
    <n v="800"/>
    <n v="5"/>
    <x v="7"/>
    <x v="0"/>
    <x v="0"/>
    <m/>
  </r>
  <r>
    <n v="144"/>
    <d v="2024-11-06T00:00:00"/>
    <x v="9"/>
    <s v="Samuel Rodrigues"/>
    <s v="samuel.rodrigues144@gmail.com"/>
    <s v="(56) 9 9456-9959"/>
    <x v="1"/>
    <n v="1500"/>
    <n v="12"/>
    <x v="14"/>
    <x v="1"/>
    <x v="3"/>
    <m/>
  </r>
  <r>
    <n v="145"/>
    <d v="2024-09-21T00:00:00"/>
    <x v="4"/>
    <s v="Rosa Tavares"/>
    <s v="rosa.tavares145@gmail.com"/>
    <s v="(52) 9 8633-8023"/>
    <x v="1"/>
    <n v="1500"/>
    <n v="2"/>
    <x v="8"/>
    <x v="0"/>
    <x v="0"/>
    <m/>
  </r>
  <r>
    <n v="146"/>
    <d v="2024-10-23T00:00:00"/>
    <x v="1"/>
    <s v="Adriano Almeida"/>
    <s v="adriano.almeida146@gmail.com"/>
    <s v="(11) 9 8589-8773"/>
    <x v="1"/>
    <n v="1500"/>
    <n v="15"/>
    <x v="6"/>
    <x v="1"/>
    <x v="1"/>
    <m/>
  </r>
  <r>
    <n v="147"/>
    <d v="2024-01-03T00:00:00"/>
    <x v="6"/>
    <s v="Luís Pinto"/>
    <s v="luís.pinto147@gmail.com"/>
    <s v="(13) 9 9236-8749"/>
    <x v="1"/>
    <n v="1500"/>
    <n v="4"/>
    <x v="13"/>
    <x v="1"/>
    <x v="2"/>
    <m/>
  </r>
  <r>
    <n v="148"/>
    <d v="2024-08-14T00:00:00"/>
    <x v="5"/>
    <s v="Teresa Barbosa"/>
    <s v="teresa.barbosa148@gmail.com"/>
    <s v="(27) 9 8943-7267"/>
    <x v="1"/>
    <n v="800"/>
    <n v="7"/>
    <x v="10"/>
    <x v="1"/>
    <x v="2"/>
    <m/>
  </r>
  <r>
    <n v="149"/>
    <d v="2024-09-28T00:00:00"/>
    <x v="4"/>
    <s v="Mateus Monteiro"/>
    <s v="mateus.monteiro149@gmail.com"/>
    <s v="(10) 9 7262-7007"/>
    <x v="0"/>
    <n v="1200"/>
    <n v="1"/>
    <x v="19"/>
    <x v="0"/>
    <x v="0"/>
    <m/>
  </r>
  <r>
    <n v="150"/>
    <d v="2024-06-07T00:00:00"/>
    <x v="11"/>
    <s v="Nelson David"/>
    <s v="nelson.david150@gmail.com"/>
    <s v="(39) 9 8806-9592"/>
    <x v="0"/>
    <n v="1200"/>
    <n v="20"/>
    <x v="1"/>
    <x v="1"/>
    <x v="3"/>
    <m/>
  </r>
  <r>
    <n v="151"/>
    <d v="2024-05-29T00:00:00"/>
    <x v="7"/>
    <s v="Isabel Lopes"/>
    <s v="isabel.lopes151@gmail.com"/>
    <s v="(57) 9 9417-8730"/>
    <x v="1"/>
    <n v="1500"/>
    <n v="17"/>
    <x v="14"/>
    <x v="0"/>
    <x v="0"/>
    <m/>
  </r>
  <r>
    <n v="152"/>
    <d v="2024-05-25T00:00:00"/>
    <x v="7"/>
    <s v="Joaquim Pereira"/>
    <s v="joaquim.pereira152@gmail.com"/>
    <s v="(14) 9 8120-9441"/>
    <x v="1"/>
    <n v="800"/>
    <n v="18"/>
    <x v="11"/>
    <x v="0"/>
    <x v="0"/>
    <m/>
  </r>
  <r>
    <n v="153"/>
    <d v="2024-03-03T00:00:00"/>
    <x v="10"/>
    <s v="Manuel Soares"/>
    <s v="manuel.soares153@gmail.com"/>
    <s v="(36) 9 8455-9796"/>
    <x v="0"/>
    <n v="1200"/>
    <n v="1"/>
    <x v="14"/>
    <x v="1"/>
    <x v="3"/>
    <m/>
  </r>
  <r>
    <n v="154"/>
    <d v="2024-08-19T00:00:00"/>
    <x v="5"/>
    <s v="Joaquim Martins"/>
    <s v="joaquim.martins154@gmail.com"/>
    <s v="(20) 9 9896-7771"/>
    <x v="1"/>
    <n v="1500"/>
    <n v="16"/>
    <x v="2"/>
    <x v="1"/>
    <x v="3"/>
    <m/>
  </r>
  <r>
    <n v="155"/>
    <d v="2024-11-29T00:00:00"/>
    <x v="9"/>
    <s v="Maria Santos"/>
    <s v="maria.santos155@gmail.com"/>
    <s v="(52) 9 8481-8568"/>
    <x v="1"/>
    <n v="1500"/>
    <n v="5"/>
    <x v="16"/>
    <x v="1"/>
    <x v="3"/>
    <m/>
  </r>
  <r>
    <n v="156"/>
    <d v="2024-02-11T00:00:00"/>
    <x v="8"/>
    <s v="Adriano Lukeba"/>
    <s v="adriano.lukeba156@gmail.com"/>
    <s v="(30) 9 8442-8348"/>
    <x v="1"/>
    <n v="1500"/>
    <n v="2"/>
    <x v="18"/>
    <x v="1"/>
    <x v="2"/>
    <m/>
  </r>
  <r>
    <n v="157"/>
    <d v="2024-06-27T00:00:00"/>
    <x v="11"/>
    <s v="Luís Tavares"/>
    <s v="luís.tavares157@gmail.com"/>
    <s v="(11) 9 8971-8190"/>
    <x v="0"/>
    <n v="1200"/>
    <n v="19"/>
    <x v="1"/>
    <x v="1"/>
    <x v="1"/>
    <m/>
  </r>
  <r>
    <n v="158"/>
    <d v="2024-01-30T00:00:00"/>
    <x v="6"/>
    <s v="Manuel Lopes"/>
    <s v="manuel.lopes158@gmail.com"/>
    <s v="(31) 9 7214-8600"/>
    <x v="1"/>
    <n v="1500"/>
    <n v="20"/>
    <x v="17"/>
    <x v="1"/>
    <x v="2"/>
    <m/>
  </r>
  <r>
    <n v="159"/>
    <d v="2024-10-24T00:00:00"/>
    <x v="1"/>
    <s v="Benedito Almeida"/>
    <s v="benedito.almeida159@gmail.com"/>
    <s v="(26) 9 7144-9695"/>
    <x v="1"/>
    <n v="1500"/>
    <n v="10"/>
    <x v="1"/>
    <x v="1"/>
    <x v="3"/>
    <m/>
  </r>
  <r>
    <n v="160"/>
    <d v="2024-11-30T00:00:00"/>
    <x v="9"/>
    <s v="Francisco Fernandes"/>
    <s v="francisco.fernandes160@gmail.com"/>
    <s v="(41) 9 8619-7802"/>
    <x v="1"/>
    <n v="1500"/>
    <n v="9"/>
    <x v="0"/>
    <x v="1"/>
    <x v="3"/>
    <m/>
  </r>
  <r>
    <n v="161"/>
    <d v="2024-07-08T00:00:00"/>
    <x v="3"/>
    <s v="Rosa Soares"/>
    <s v="rosa.soares161@gmail.com"/>
    <s v="(52) 9 8293-7468"/>
    <x v="1"/>
    <n v="800"/>
    <n v="8"/>
    <x v="18"/>
    <x v="0"/>
    <x v="0"/>
    <m/>
  </r>
  <r>
    <n v="162"/>
    <d v="2024-11-27T00:00:00"/>
    <x v="9"/>
    <s v="Benedito Santos"/>
    <s v="benedito.santos162@gmail.com"/>
    <s v="(41) 9 7715-8468"/>
    <x v="1"/>
    <n v="1500"/>
    <n v="19"/>
    <x v="17"/>
    <x v="0"/>
    <x v="0"/>
    <m/>
  </r>
  <r>
    <n v="163"/>
    <d v="2024-05-21T00:00:00"/>
    <x v="7"/>
    <s v="Sofia Pereira"/>
    <s v="sofia.pereira163@gmail.com"/>
    <s v="(32) 9 9118-9588"/>
    <x v="1"/>
    <n v="800"/>
    <n v="16"/>
    <x v="15"/>
    <x v="0"/>
    <x v="0"/>
    <m/>
  </r>
  <r>
    <n v="164"/>
    <d v="2024-11-17T00:00:00"/>
    <x v="9"/>
    <s v="David Monteiro"/>
    <s v="david.monteiro164@gmail.com"/>
    <s v="(27) 9 9846-9118"/>
    <x v="1"/>
    <n v="1500"/>
    <n v="14"/>
    <x v="5"/>
    <x v="1"/>
    <x v="2"/>
    <m/>
  </r>
  <r>
    <n v="165"/>
    <d v="2024-08-13T00:00:00"/>
    <x v="5"/>
    <s v="José Tavares"/>
    <s v="josé.tavares165@gmail.com"/>
    <s v="(30) 9 8005-7856"/>
    <x v="1"/>
    <n v="1500"/>
    <n v="11"/>
    <x v="13"/>
    <x v="1"/>
    <x v="1"/>
    <m/>
  </r>
  <r>
    <n v="166"/>
    <d v="2024-05-14T00:00:00"/>
    <x v="7"/>
    <s v="David Lopes"/>
    <s v="david.lopes166@gmail.com"/>
    <s v="(19) 9 7012-9376"/>
    <x v="1"/>
    <n v="1500"/>
    <n v="10"/>
    <x v="2"/>
    <x v="1"/>
    <x v="3"/>
    <m/>
  </r>
  <r>
    <n v="167"/>
    <d v="2024-05-01T00:00:00"/>
    <x v="7"/>
    <s v="Paulo Miguel"/>
    <s v="paulo.miguel167@gmail.com"/>
    <s v="(50) 9 9907-9322"/>
    <x v="0"/>
    <n v="1200"/>
    <n v="2"/>
    <x v="0"/>
    <x v="1"/>
    <x v="2"/>
    <m/>
  </r>
  <r>
    <n v="168"/>
    <d v="2024-05-04T00:00:00"/>
    <x v="7"/>
    <s v="Pedro Lopes"/>
    <s v="pedro.lopes168@gmail.com"/>
    <s v="(16) 9 7177-7864"/>
    <x v="0"/>
    <n v="1200"/>
    <n v="3"/>
    <x v="3"/>
    <x v="1"/>
    <x v="1"/>
    <m/>
  </r>
  <r>
    <n v="169"/>
    <d v="2024-04-15T00:00:00"/>
    <x v="2"/>
    <s v="Teresa Domingues"/>
    <s v="teresa.domingues169@gmail.com"/>
    <s v="(47) 9 8276-9328"/>
    <x v="1"/>
    <n v="800"/>
    <n v="12"/>
    <x v="7"/>
    <x v="0"/>
    <x v="0"/>
    <m/>
  </r>
  <r>
    <n v="170"/>
    <d v="2024-05-07T00:00:00"/>
    <x v="7"/>
    <s v="Daniel Lukeba"/>
    <s v="daniel.lukeba170@gmail.com"/>
    <s v="(21) 9 7634-8395"/>
    <x v="1"/>
    <n v="800"/>
    <n v="18"/>
    <x v="17"/>
    <x v="1"/>
    <x v="1"/>
    <m/>
  </r>
  <r>
    <n v="171"/>
    <d v="2024-10-15T00:00:00"/>
    <x v="1"/>
    <s v="Isabel Martins"/>
    <s v="isabel.martins171@gmail.com"/>
    <s v="(59) 9 9797-9632"/>
    <x v="1"/>
    <n v="1500"/>
    <n v="5"/>
    <x v="5"/>
    <x v="1"/>
    <x v="2"/>
    <m/>
  </r>
  <r>
    <n v="172"/>
    <d v="2024-07-25T00:00:00"/>
    <x v="3"/>
    <s v="Luís Pereira"/>
    <s v="luís.pereira172@gmail.com"/>
    <s v="(47) 9 8598-8240"/>
    <x v="1"/>
    <n v="800"/>
    <n v="4"/>
    <x v="16"/>
    <x v="0"/>
    <x v="0"/>
    <m/>
  </r>
  <r>
    <n v="173"/>
    <d v="2024-03-01T00:00:00"/>
    <x v="10"/>
    <s v="José Pinto"/>
    <s v="josé.pinto173@gmail.com"/>
    <s v="(21) 9 9032-8908"/>
    <x v="1"/>
    <n v="1500"/>
    <n v="6"/>
    <x v="0"/>
    <x v="0"/>
    <x v="0"/>
    <m/>
  </r>
  <r>
    <n v="174"/>
    <d v="2024-09-29T00:00:00"/>
    <x v="4"/>
    <s v="Maria Monteiro"/>
    <s v="maria.monteiro174@gmail.com"/>
    <s v="(58) 9 8974-7768"/>
    <x v="0"/>
    <n v="1200"/>
    <n v="15"/>
    <x v="0"/>
    <x v="1"/>
    <x v="3"/>
    <m/>
  </r>
  <r>
    <n v="175"/>
    <d v="2024-03-22T00:00:00"/>
    <x v="10"/>
    <s v="António Gomes"/>
    <s v="antónio.gomes175@gmail.com"/>
    <s v="(57) 9 7479-7654"/>
    <x v="0"/>
    <n v="1200"/>
    <n v="5"/>
    <x v="16"/>
    <x v="1"/>
    <x v="1"/>
    <m/>
  </r>
  <r>
    <n v="176"/>
    <d v="2024-05-25T00:00:00"/>
    <x v="7"/>
    <s v="João Pereira"/>
    <s v="joão.pereira176@gmail.com"/>
    <s v="(49) 9 8185-8844"/>
    <x v="1"/>
    <n v="800"/>
    <n v="2"/>
    <x v="8"/>
    <x v="1"/>
    <x v="2"/>
    <m/>
  </r>
  <r>
    <n v="177"/>
    <d v="2024-07-01T00:00:00"/>
    <x v="3"/>
    <s v="Isabel Costa"/>
    <s v="isabel.costa177@gmail.com"/>
    <s v="(20) 9 8529-8568"/>
    <x v="1"/>
    <n v="800"/>
    <n v="3"/>
    <x v="17"/>
    <x v="1"/>
    <x v="3"/>
    <m/>
  </r>
  <r>
    <n v="178"/>
    <d v="2024-12-11T00:00:00"/>
    <x v="0"/>
    <s v="Ana David"/>
    <s v="ana.david178@gmail.com"/>
    <s v="(53) 9 8284-8928"/>
    <x v="1"/>
    <n v="800"/>
    <n v="7"/>
    <x v="4"/>
    <x v="0"/>
    <x v="0"/>
    <m/>
  </r>
  <r>
    <n v="179"/>
    <d v="2024-05-25T00:00:00"/>
    <x v="7"/>
    <s v="Teresa Lopes"/>
    <s v="teresa.lopes179@gmail.com"/>
    <s v="(31) 9 8766-7409"/>
    <x v="1"/>
    <n v="1500"/>
    <n v="9"/>
    <x v="12"/>
    <x v="1"/>
    <x v="1"/>
    <m/>
  </r>
  <r>
    <n v="180"/>
    <d v="2024-10-19T00:00:00"/>
    <x v="1"/>
    <s v="Nelson Fernandes"/>
    <s v="nelson.fernandes180@gmail.com"/>
    <s v="(23) 9 7995-8054"/>
    <x v="1"/>
    <n v="1500"/>
    <n v="13"/>
    <x v="5"/>
    <x v="1"/>
    <x v="1"/>
    <m/>
  </r>
  <r>
    <n v="181"/>
    <d v="2024-11-22T00:00:00"/>
    <x v="9"/>
    <s v="Sofia Miguel"/>
    <s v="sofia.miguel181@gmail.com"/>
    <s v="(38) 9 9212-7354"/>
    <x v="1"/>
    <n v="800"/>
    <n v="11"/>
    <x v="11"/>
    <x v="1"/>
    <x v="2"/>
    <m/>
  </r>
  <r>
    <n v="182"/>
    <d v="2024-03-27T00:00:00"/>
    <x v="10"/>
    <s v="Pedro Almeida"/>
    <s v="pedro.almeida182@gmail.com"/>
    <s v="(36) 9 8447-8461"/>
    <x v="1"/>
    <n v="1500"/>
    <n v="15"/>
    <x v="2"/>
    <x v="1"/>
    <x v="1"/>
    <m/>
  </r>
  <r>
    <n v="183"/>
    <d v="2024-12-10T00:00:00"/>
    <x v="0"/>
    <s v="Rosa Barbosa"/>
    <s v="rosa.barbosa183@gmail.com"/>
    <s v="(41) 9 8206-9723"/>
    <x v="1"/>
    <n v="1500"/>
    <n v="15"/>
    <x v="4"/>
    <x v="1"/>
    <x v="3"/>
    <m/>
  </r>
  <r>
    <n v="184"/>
    <d v="2024-07-30T00:00:00"/>
    <x v="3"/>
    <s v="Pedro Andrade"/>
    <s v="pedro.andrade184@gmail.com"/>
    <s v="(45) 9 7862-9120"/>
    <x v="1"/>
    <n v="800"/>
    <n v="10"/>
    <x v="19"/>
    <x v="1"/>
    <x v="2"/>
    <m/>
  </r>
  <r>
    <n v="185"/>
    <d v="2024-01-31T00:00:00"/>
    <x v="6"/>
    <s v="Nelson Silva"/>
    <s v="nelson.silva185@gmail.com"/>
    <s v="(10) 9 9383-9517"/>
    <x v="1"/>
    <n v="800"/>
    <n v="8"/>
    <x v="14"/>
    <x v="1"/>
    <x v="2"/>
    <m/>
  </r>
  <r>
    <n v="186"/>
    <d v="2024-01-12T00:00:00"/>
    <x v="6"/>
    <s v="Sofia Costa"/>
    <s v="sofia.costa186@gmail.com"/>
    <s v="(18) 9 7947-8454"/>
    <x v="1"/>
    <n v="800"/>
    <n v="20"/>
    <x v="2"/>
    <x v="1"/>
    <x v="3"/>
    <m/>
  </r>
  <r>
    <n v="187"/>
    <d v="2024-01-26T00:00:00"/>
    <x v="6"/>
    <s v="Carlos Domingues"/>
    <s v="carlos.domingues187@gmail.com"/>
    <s v="(57) 9 8726-7185"/>
    <x v="1"/>
    <n v="1500"/>
    <n v="6"/>
    <x v="1"/>
    <x v="1"/>
    <x v="1"/>
    <m/>
  </r>
  <r>
    <n v="188"/>
    <d v="2024-01-07T00:00:00"/>
    <x v="6"/>
    <s v="Joaquim Martins"/>
    <s v="joaquim.martins188@gmail.com"/>
    <s v="(13) 9 8214-8535"/>
    <x v="0"/>
    <n v="1200"/>
    <n v="1"/>
    <x v="3"/>
    <x v="1"/>
    <x v="2"/>
    <m/>
  </r>
  <r>
    <n v="189"/>
    <d v="2024-05-18T00:00:00"/>
    <x v="7"/>
    <s v="Adriano Miguel"/>
    <s v="adriano.miguel189@gmail.com"/>
    <s v="(35) 9 7225-7639"/>
    <x v="0"/>
    <n v="1200"/>
    <n v="6"/>
    <x v="0"/>
    <x v="0"/>
    <x v="0"/>
    <m/>
  </r>
  <r>
    <n v="190"/>
    <d v="2024-07-11T00:00:00"/>
    <x v="3"/>
    <s v="Teresa Barbosa"/>
    <s v="teresa.barbosa190@gmail.com"/>
    <s v="(29) 9 8061-7261"/>
    <x v="0"/>
    <n v="1200"/>
    <n v="6"/>
    <x v="10"/>
    <x v="1"/>
    <x v="3"/>
    <m/>
  </r>
  <r>
    <n v="191"/>
    <d v="2024-09-22T00:00:00"/>
    <x v="4"/>
    <s v="Daniel Santos"/>
    <s v="daniel.santos191@gmail.com"/>
    <s v="(37) 9 9269-9560"/>
    <x v="1"/>
    <n v="800"/>
    <n v="7"/>
    <x v="12"/>
    <x v="1"/>
    <x v="1"/>
    <m/>
  </r>
  <r>
    <n v="192"/>
    <d v="2024-09-02T00:00:00"/>
    <x v="4"/>
    <s v="Cláudia Almeida"/>
    <s v="cláudia.almeida192@gmail.com"/>
    <s v="(50) 9 9706-7493"/>
    <x v="0"/>
    <n v="1200"/>
    <n v="8"/>
    <x v="12"/>
    <x v="1"/>
    <x v="3"/>
    <m/>
  </r>
  <r>
    <n v="193"/>
    <d v="2024-08-21T00:00:00"/>
    <x v="5"/>
    <s v="Samuel Lopes"/>
    <s v="samuel.lopes193@gmail.com"/>
    <s v="(38) 9 7049-8387"/>
    <x v="1"/>
    <n v="1500"/>
    <n v="11"/>
    <x v="17"/>
    <x v="1"/>
    <x v="1"/>
    <m/>
  </r>
  <r>
    <n v="194"/>
    <d v="2024-12-11T00:00:00"/>
    <x v="0"/>
    <s v="João Pinto"/>
    <s v="joão.pinto194@gmail.com"/>
    <s v="(40) 9 7996-8815"/>
    <x v="1"/>
    <n v="800"/>
    <n v="20"/>
    <x v="6"/>
    <x v="1"/>
    <x v="3"/>
    <m/>
  </r>
  <r>
    <n v="195"/>
    <d v="2024-09-23T00:00:00"/>
    <x v="4"/>
    <s v="Maria Silva"/>
    <s v="maria.silva195@gmail.com"/>
    <s v="(32) 9 7917-9274"/>
    <x v="1"/>
    <n v="800"/>
    <n v="12"/>
    <x v="4"/>
    <x v="1"/>
    <x v="3"/>
    <m/>
  </r>
  <r>
    <n v="196"/>
    <d v="2024-01-25T00:00:00"/>
    <x v="6"/>
    <s v="Isabel Andrade"/>
    <s v="isabel.andrade196@gmail.com"/>
    <s v="(31) 9 8272-9658"/>
    <x v="0"/>
    <n v="1200"/>
    <n v="14"/>
    <x v="5"/>
    <x v="0"/>
    <x v="0"/>
    <m/>
  </r>
  <r>
    <n v="197"/>
    <d v="2024-02-09T00:00:00"/>
    <x v="8"/>
    <s v="Samuel Domingues"/>
    <s v="samuel.domingues197@gmail.com"/>
    <s v="(13) 9 9673-9923"/>
    <x v="0"/>
    <n v="1200"/>
    <n v="4"/>
    <x v="20"/>
    <x v="1"/>
    <x v="3"/>
    <m/>
  </r>
  <r>
    <n v="198"/>
    <d v="2024-10-26T00:00:00"/>
    <x v="1"/>
    <s v="Adriano Almeida"/>
    <s v="adriano.almeida198@gmail.com"/>
    <s v="(11) 9 9909-7849"/>
    <x v="1"/>
    <n v="800"/>
    <n v="6"/>
    <x v="8"/>
    <x v="1"/>
    <x v="3"/>
    <m/>
  </r>
  <r>
    <n v="199"/>
    <d v="2024-06-13T00:00:00"/>
    <x v="11"/>
    <s v="Mateus Rodrigues"/>
    <s v="mateus.rodrigues199@gmail.com"/>
    <s v="(14) 9 8881-8496"/>
    <x v="0"/>
    <n v="1200"/>
    <n v="15"/>
    <x v="20"/>
    <x v="1"/>
    <x v="2"/>
    <m/>
  </r>
  <r>
    <n v="200"/>
    <d v="2024-12-04T00:00:00"/>
    <x v="0"/>
    <s v="Marta Andrade"/>
    <s v="marta.andrade200@gmail.com"/>
    <s v="(27) 9 8238-9845"/>
    <x v="0"/>
    <n v="1200"/>
    <n v="4"/>
    <x v="2"/>
    <x v="1"/>
    <x v="3"/>
    <m/>
  </r>
  <r>
    <n v="201"/>
    <d v="2024-10-08T00:00:00"/>
    <x v="1"/>
    <s v="Joaquim Monteiro"/>
    <s v="joaquim.monteiro201@gmail.com"/>
    <s v="(36) 9 9856-8888"/>
    <x v="0"/>
    <n v="1200"/>
    <n v="18"/>
    <x v="10"/>
    <x v="1"/>
    <x v="3"/>
    <m/>
  </r>
  <r>
    <n v="202"/>
    <d v="2024-11-19T00:00:00"/>
    <x v="9"/>
    <s v="José Silva"/>
    <s v="josé.silva202@gmail.com"/>
    <s v="(11) 9 9747-9234"/>
    <x v="0"/>
    <n v="1200"/>
    <n v="18"/>
    <x v="5"/>
    <x v="1"/>
    <x v="1"/>
    <m/>
  </r>
  <r>
    <n v="203"/>
    <d v="2024-10-14T00:00:00"/>
    <x v="1"/>
    <s v="Pedro Lukeba"/>
    <s v="pedro.lukeba203@gmail.com"/>
    <s v="(37) 9 7280-9432"/>
    <x v="1"/>
    <n v="1500"/>
    <n v="11"/>
    <x v="1"/>
    <x v="0"/>
    <x v="0"/>
    <m/>
  </r>
  <r>
    <n v="204"/>
    <d v="2024-09-18T00:00:00"/>
    <x v="4"/>
    <s v="Domingos Miguel"/>
    <s v="domingos.miguel204@gmail.com"/>
    <s v="(43) 9 8959-7185"/>
    <x v="1"/>
    <n v="800"/>
    <n v="9"/>
    <x v="3"/>
    <x v="0"/>
    <x v="0"/>
    <m/>
  </r>
  <r>
    <n v="205"/>
    <d v="2024-08-29T00:00:00"/>
    <x v="5"/>
    <s v="Cláudia Pinto"/>
    <s v="cláudia.pinto205@gmail.com"/>
    <s v="(52) 9 9971-8518"/>
    <x v="0"/>
    <n v="1200"/>
    <n v="14"/>
    <x v="3"/>
    <x v="1"/>
    <x v="2"/>
    <m/>
  </r>
  <r>
    <n v="206"/>
    <d v="2024-01-23T00:00:00"/>
    <x v="6"/>
    <s v="Bruno Monteiro"/>
    <s v="bruno.monteiro206@gmail.com"/>
    <s v="(49) 9 7659-8711"/>
    <x v="0"/>
    <n v="1200"/>
    <n v="2"/>
    <x v="1"/>
    <x v="1"/>
    <x v="2"/>
    <m/>
  </r>
  <r>
    <n v="207"/>
    <d v="2024-05-18T00:00:00"/>
    <x v="7"/>
    <s v="Daniel Miguel"/>
    <s v="daniel.miguel207@gmail.com"/>
    <s v="(16) 9 9208-8474"/>
    <x v="0"/>
    <n v="1200"/>
    <n v="9"/>
    <x v="10"/>
    <x v="1"/>
    <x v="2"/>
    <m/>
  </r>
  <r>
    <n v="208"/>
    <d v="2024-09-29T00:00:00"/>
    <x v="4"/>
    <s v="Fátima Monteiro"/>
    <s v="fátima.monteiro208@gmail.com"/>
    <s v="(31) 9 8945-8454"/>
    <x v="1"/>
    <n v="800"/>
    <n v="15"/>
    <x v="2"/>
    <x v="1"/>
    <x v="2"/>
    <m/>
  </r>
  <r>
    <n v="209"/>
    <d v="2024-09-29T00:00:00"/>
    <x v="4"/>
    <s v="Teresa Lopes"/>
    <s v="teresa.lopes209@gmail.com"/>
    <s v="(26) 9 7557-8577"/>
    <x v="1"/>
    <n v="1500"/>
    <n v="16"/>
    <x v="2"/>
    <x v="1"/>
    <x v="1"/>
    <m/>
  </r>
  <r>
    <n v="210"/>
    <d v="2024-05-05T00:00:00"/>
    <x v="7"/>
    <s v="Sofia Soares"/>
    <s v="sofia.soares210@gmail.com"/>
    <s v="(56) 9 8247-8424"/>
    <x v="0"/>
    <n v="1200"/>
    <n v="7"/>
    <x v="19"/>
    <x v="1"/>
    <x v="1"/>
    <m/>
  </r>
  <r>
    <n v="211"/>
    <d v="2024-09-09T00:00:00"/>
    <x v="4"/>
    <s v="Benedito Domingues"/>
    <s v="benedito.domingues211@gmail.com"/>
    <s v="(32) 9 8223-7205"/>
    <x v="0"/>
    <n v="1200"/>
    <n v="1"/>
    <x v="15"/>
    <x v="1"/>
    <x v="2"/>
    <m/>
  </r>
  <r>
    <n v="212"/>
    <d v="2024-07-28T00:00:00"/>
    <x v="3"/>
    <s v="Francisco Monteiro"/>
    <s v="francisco.monteiro212@gmail.com"/>
    <s v="(46) 9 7188-8145"/>
    <x v="1"/>
    <n v="800"/>
    <n v="10"/>
    <x v="18"/>
    <x v="1"/>
    <x v="2"/>
    <m/>
  </r>
  <r>
    <n v="213"/>
    <d v="2024-10-21T00:00:00"/>
    <x v="1"/>
    <s v="Teresa Miguel"/>
    <s v="teresa.miguel213@gmail.com"/>
    <s v="(27) 9 8001-8561"/>
    <x v="1"/>
    <n v="1500"/>
    <n v="3"/>
    <x v="19"/>
    <x v="0"/>
    <x v="0"/>
    <m/>
  </r>
  <r>
    <n v="214"/>
    <d v="2024-12-31T00:00:00"/>
    <x v="0"/>
    <s v="Adriano Tavares"/>
    <s v="adriano.tavares214@gmail.com"/>
    <s v="(47) 9 8855-7099"/>
    <x v="1"/>
    <n v="1500"/>
    <n v="10"/>
    <x v="12"/>
    <x v="1"/>
    <x v="1"/>
    <m/>
  </r>
  <r>
    <n v="215"/>
    <d v="2024-12-22T00:00:00"/>
    <x v="0"/>
    <s v="Rui David"/>
    <s v="rui.david215@gmail.com"/>
    <s v="(27) 9 9295-9187"/>
    <x v="1"/>
    <n v="1500"/>
    <n v="19"/>
    <x v="5"/>
    <x v="1"/>
    <x v="2"/>
    <m/>
  </r>
  <r>
    <n v="216"/>
    <d v="2024-06-27T00:00:00"/>
    <x v="11"/>
    <s v="Rui Santos"/>
    <s v="rui.santos216@gmail.com"/>
    <s v="(14) 9 7585-8699"/>
    <x v="0"/>
    <n v="1200"/>
    <n v="4"/>
    <x v="9"/>
    <x v="1"/>
    <x v="3"/>
    <m/>
  </r>
  <r>
    <n v="217"/>
    <d v="2024-06-17T00:00:00"/>
    <x v="11"/>
    <s v="Manuel Santos"/>
    <s v="manuel.santos217@gmail.com"/>
    <s v="(51) 9 9540-9820"/>
    <x v="1"/>
    <n v="800"/>
    <n v="7"/>
    <x v="17"/>
    <x v="1"/>
    <x v="1"/>
    <m/>
  </r>
  <r>
    <n v="218"/>
    <d v="2024-08-11T00:00:00"/>
    <x v="5"/>
    <s v="Rosa Soares"/>
    <s v="rosa.soares218@gmail.com"/>
    <s v="(28) 9 7799-9679"/>
    <x v="1"/>
    <n v="800"/>
    <n v="19"/>
    <x v="1"/>
    <x v="0"/>
    <x v="0"/>
    <m/>
  </r>
  <r>
    <n v="219"/>
    <d v="2024-02-05T00:00:00"/>
    <x v="8"/>
    <s v="Domingos Almeida"/>
    <s v="domingos.almeida219@gmail.com"/>
    <s v="(55) 9 8284-7203"/>
    <x v="0"/>
    <n v="1200"/>
    <n v="16"/>
    <x v="1"/>
    <x v="0"/>
    <x v="0"/>
    <m/>
  </r>
  <r>
    <n v="220"/>
    <d v="2024-12-17T00:00:00"/>
    <x v="0"/>
    <s v="José Pinto"/>
    <s v="josé.pinto220@gmail.com"/>
    <s v="(18) 9 7168-8286"/>
    <x v="1"/>
    <n v="1500"/>
    <n v="10"/>
    <x v="14"/>
    <x v="1"/>
    <x v="2"/>
    <m/>
  </r>
  <r>
    <n v="221"/>
    <d v="2024-12-22T00:00:00"/>
    <x v="0"/>
    <s v="Joaquim Fernandes"/>
    <s v="joaquim.fernandes221@gmail.com"/>
    <s v="(52) 9 9992-8195"/>
    <x v="0"/>
    <n v="1200"/>
    <n v="20"/>
    <x v="18"/>
    <x v="1"/>
    <x v="2"/>
    <m/>
  </r>
  <r>
    <n v="222"/>
    <d v="2024-04-23T00:00:00"/>
    <x v="2"/>
    <s v="Rosa Pereira"/>
    <s v="rosa.pereira222@gmail.com"/>
    <s v="(37) 9 7989-8400"/>
    <x v="1"/>
    <n v="800"/>
    <n v="7"/>
    <x v="13"/>
    <x v="0"/>
    <x v="0"/>
    <m/>
  </r>
  <r>
    <n v="223"/>
    <d v="2024-07-30T00:00:00"/>
    <x v="3"/>
    <s v="Joaquim Rodrigues"/>
    <s v="joaquim.rodrigues223@gmail.com"/>
    <s v="(14) 9 8522-7233"/>
    <x v="1"/>
    <n v="1500"/>
    <n v="11"/>
    <x v="11"/>
    <x v="1"/>
    <x v="3"/>
    <m/>
  </r>
  <r>
    <n v="224"/>
    <d v="2024-01-17T00:00:00"/>
    <x v="6"/>
    <s v="Fátima Lopes"/>
    <s v="fátima.lopes224@gmail.com"/>
    <s v="(16) 9 8476-8264"/>
    <x v="1"/>
    <n v="1500"/>
    <n v="6"/>
    <x v="20"/>
    <x v="0"/>
    <x v="0"/>
    <m/>
  </r>
  <r>
    <n v="225"/>
    <d v="2024-12-06T00:00:00"/>
    <x v="0"/>
    <s v="Bruno Barbosa"/>
    <s v="bruno.barbosa225@gmail.com"/>
    <s v="(41) 9 7308-8196"/>
    <x v="1"/>
    <n v="1500"/>
    <n v="7"/>
    <x v="20"/>
    <x v="0"/>
    <x v="0"/>
    <m/>
  </r>
  <r>
    <n v="226"/>
    <d v="2024-02-13T00:00:00"/>
    <x v="8"/>
    <s v="Mateus Andrade"/>
    <s v="mateus.andrade226@gmail.com"/>
    <s v="(48) 9 7099-7769"/>
    <x v="1"/>
    <n v="800"/>
    <n v="10"/>
    <x v="2"/>
    <x v="1"/>
    <x v="3"/>
    <m/>
  </r>
  <r>
    <n v="227"/>
    <d v="2024-01-24T00:00:00"/>
    <x v="6"/>
    <s v="Isabel David"/>
    <s v="isabel.david227@gmail.com"/>
    <s v="(20) 9 9647-7126"/>
    <x v="1"/>
    <n v="800"/>
    <n v="20"/>
    <x v="3"/>
    <x v="1"/>
    <x v="3"/>
    <m/>
  </r>
  <r>
    <n v="228"/>
    <d v="2024-10-10T00:00:00"/>
    <x v="1"/>
    <s v="Isabel Pereira"/>
    <s v="isabel.pereira228@gmail.com"/>
    <s v="(55) 9 9131-7857"/>
    <x v="0"/>
    <n v="1200"/>
    <n v="15"/>
    <x v="20"/>
    <x v="0"/>
    <x v="0"/>
    <m/>
  </r>
  <r>
    <n v="229"/>
    <d v="2024-07-10T00:00:00"/>
    <x v="3"/>
    <s v="Francisco Tavares"/>
    <s v="francisco.tavares229@gmail.com"/>
    <s v="(17) 9 9002-9063"/>
    <x v="0"/>
    <n v="1200"/>
    <n v="8"/>
    <x v="8"/>
    <x v="1"/>
    <x v="3"/>
    <m/>
  </r>
  <r>
    <n v="230"/>
    <d v="2024-07-30T00:00:00"/>
    <x v="3"/>
    <s v="Isabel Gomes"/>
    <s v="isabel.gomes230@gmail.com"/>
    <s v="(44) 9 7068-8112"/>
    <x v="0"/>
    <n v="1200"/>
    <n v="18"/>
    <x v="6"/>
    <x v="1"/>
    <x v="2"/>
    <m/>
  </r>
  <r>
    <n v="231"/>
    <d v="2024-07-23T00:00:00"/>
    <x v="3"/>
    <s v="Marta Domingues"/>
    <s v="marta.domingues231@gmail.com"/>
    <s v="(27) 9 8428-8935"/>
    <x v="0"/>
    <n v="1200"/>
    <n v="14"/>
    <x v="3"/>
    <x v="1"/>
    <x v="1"/>
    <m/>
  </r>
  <r>
    <n v="232"/>
    <d v="2024-04-03T00:00:00"/>
    <x v="2"/>
    <s v="Daniel Silva"/>
    <s v="daniel.silva232@gmail.com"/>
    <s v="(60) 9 9096-8315"/>
    <x v="1"/>
    <n v="800"/>
    <n v="19"/>
    <x v="7"/>
    <x v="1"/>
    <x v="2"/>
    <m/>
  </r>
  <r>
    <n v="233"/>
    <d v="2024-08-14T00:00:00"/>
    <x v="5"/>
    <s v="Marta Fernandes"/>
    <s v="marta.fernandes233@gmail.com"/>
    <s v="(36) 9 8225-9420"/>
    <x v="0"/>
    <n v="1200"/>
    <n v="8"/>
    <x v="4"/>
    <x v="0"/>
    <x v="0"/>
    <m/>
  </r>
  <r>
    <n v="234"/>
    <d v="2024-08-08T00:00:00"/>
    <x v="5"/>
    <s v="Fátima Monteiro"/>
    <s v="fátima.monteiro234@gmail.com"/>
    <s v="(30) 9 7361-7137"/>
    <x v="1"/>
    <n v="1500"/>
    <n v="11"/>
    <x v="14"/>
    <x v="1"/>
    <x v="1"/>
    <m/>
  </r>
  <r>
    <n v="235"/>
    <d v="2024-12-28T00:00:00"/>
    <x v="0"/>
    <s v="Mateus Silva"/>
    <s v="mateus.silva235@gmail.com"/>
    <s v="(54) 9 9258-8034"/>
    <x v="1"/>
    <n v="1500"/>
    <n v="16"/>
    <x v="7"/>
    <x v="1"/>
    <x v="1"/>
    <m/>
  </r>
  <r>
    <n v="236"/>
    <d v="2024-06-17T00:00:00"/>
    <x v="11"/>
    <s v="David Pinto"/>
    <s v="david.pinto236@gmail.com"/>
    <s v="(18) 9 8709-8682"/>
    <x v="1"/>
    <n v="800"/>
    <n v="9"/>
    <x v="11"/>
    <x v="1"/>
    <x v="3"/>
    <m/>
  </r>
  <r>
    <n v="237"/>
    <d v="2024-01-29T00:00:00"/>
    <x v="6"/>
    <s v="David Gomes"/>
    <s v="david.gomes237@gmail.com"/>
    <s v="(39) 9 8206-9718"/>
    <x v="1"/>
    <n v="800"/>
    <n v="8"/>
    <x v="18"/>
    <x v="0"/>
    <x v="0"/>
    <m/>
  </r>
  <r>
    <n v="238"/>
    <d v="2024-04-14T00:00:00"/>
    <x v="2"/>
    <s v="Ana Silva"/>
    <s v="ana.silva238@gmail.com"/>
    <s v="(47) 9 9690-8374"/>
    <x v="0"/>
    <n v="1200"/>
    <n v="8"/>
    <x v="4"/>
    <x v="0"/>
    <x v="0"/>
    <m/>
  </r>
  <r>
    <n v="239"/>
    <d v="2024-10-19T00:00:00"/>
    <x v="1"/>
    <s v="Marta David"/>
    <s v="marta.david239@gmail.com"/>
    <s v="(26) 9 7981-7839"/>
    <x v="0"/>
    <n v="1200"/>
    <n v="16"/>
    <x v="5"/>
    <x v="1"/>
    <x v="1"/>
    <m/>
  </r>
  <r>
    <n v="240"/>
    <d v="2024-08-05T00:00:00"/>
    <x v="5"/>
    <s v="Luís Rodrigues"/>
    <s v="luís.rodrigues240@gmail.com"/>
    <s v="(42) 9 8324-8911"/>
    <x v="0"/>
    <n v="1200"/>
    <n v="15"/>
    <x v="10"/>
    <x v="1"/>
    <x v="2"/>
    <m/>
  </r>
  <r>
    <n v="241"/>
    <d v="2024-02-17T00:00:00"/>
    <x v="8"/>
    <s v="Carlos Monteiro"/>
    <s v="carlos.monteiro241@gmail.com"/>
    <s v="(18) 9 8146-9406"/>
    <x v="1"/>
    <n v="1500"/>
    <n v="18"/>
    <x v="1"/>
    <x v="1"/>
    <x v="3"/>
    <m/>
  </r>
  <r>
    <n v="242"/>
    <d v="2024-12-01T00:00:00"/>
    <x v="0"/>
    <s v="Maria Pereira"/>
    <s v="maria.pereira242@gmail.com"/>
    <s v="(43) 9 9581-8182"/>
    <x v="1"/>
    <n v="1500"/>
    <n v="19"/>
    <x v="10"/>
    <x v="1"/>
    <x v="1"/>
    <m/>
  </r>
  <r>
    <n v="243"/>
    <d v="2024-10-29T00:00:00"/>
    <x v="1"/>
    <s v="Ana Santos"/>
    <s v="ana.santos243@gmail.com"/>
    <s v="(47) 9 9205-8958"/>
    <x v="0"/>
    <n v="1200"/>
    <n v="4"/>
    <x v="5"/>
    <x v="0"/>
    <x v="0"/>
    <m/>
  </r>
  <r>
    <n v="244"/>
    <d v="2024-09-17T00:00:00"/>
    <x v="4"/>
    <s v="Benedito Costa"/>
    <s v="benedito.costa244@gmail.com"/>
    <s v="(29) 9 7563-7439"/>
    <x v="1"/>
    <n v="1500"/>
    <n v="19"/>
    <x v="6"/>
    <x v="1"/>
    <x v="1"/>
    <m/>
  </r>
  <r>
    <n v="245"/>
    <d v="2024-08-20T00:00:00"/>
    <x v="5"/>
    <s v="Paulo Monteiro"/>
    <s v="paulo.monteiro245@gmail.com"/>
    <s v="(16) 9 8250-9824"/>
    <x v="1"/>
    <n v="1500"/>
    <n v="4"/>
    <x v="12"/>
    <x v="1"/>
    <x v="3"/>
    <m/>
  </r>
  <r>
    <n v="246"/>
    <d v="2024-06-25T00:00:00"/>
    <x v="11"/>
    <s v="Maria Domingues"/>
    <s v="maria.domingues246@gmail.com"/>
    <s v="(24) 9 8686-7230"/>
    <x v="0"/>
    <n v="1200"/>
    <n v="3"/>
    <x v="6"/>
    <x v="1"/>
    <x v="1"/>
    <m/>
  </r>
  <r>
    <n v="247"/>
    <d v="2024-06-20T00:00:00"/>
    <x v="11"/>
    <s v="Teresa Costa"/>
    <s v="teresa.costa247@gmail.com"/>
    <s v="(51) 9 9140-9859"/>
    <x v="1"/>
    <n v="1500"/>
    <n v="19"/>
    <x v="19"/>
    <x v="0"/>
    <x v="0"/>
    <m/>
  </r>
  <r>
    <n v="248"/>
    <d v="2024-01-09T00:00:00"/>
    <x v="6"/>
    <s v="Carlos Tavares"/>
    <s v="carlos.tavares248@gmail.com"/>
    <s v="(31) 9 9528-9147"/>
    <x v="0"/>
    <n v="1200"/>
    <n v="4"/>
    <x v="6"/>
    <x v="1"/>
    <x v="1"/>
    <m/>
  </r>
  <r>
    <n v="249"/>
    <d v="2024-04-15T00:00:00"/>
    <x v="2"/>
    <s v="Domingos Silva"/>
    <s v="domingos.silva249@gmail.com"/>
    <s v="(28) 9 9321-7420"/>
    <x v="0"/>
    <n v="1200"/>
    <n v="13"/>
    <x v="16"/>
    <x v="1"/>
    <x v="2"/>
    <m/>
  </r>
  <r>
    <n v="250"/>
    <d v="2024-09-20T00:00:00"/>
    <x v="4"/>
    <s v="Ana Domingues"/>
    <s v="ana.domingues250@gmail.com"/>
    <s v="(50) 9 9519-7606"/>
    <x v="0"/>
    <n v="1200"/>
    <n v="1"/>
    <x v="1"/>
    <x v="1"/>
    <x v="2"/>
    <m/>
  </r>
  <r>
    <n v="251"/>
    <d v="2024-01-10T00:00:00"/>
    <x v="6"/>
    <s v="Helena Lukeba"/>
    <s v="helena.lukeba251@gmail.com"/>
    <s v="(24) 9 9623-7182"/>
    <x v="1"/>
    <n v="800"/>
    <n v="15"/>
    <x v="13"/>
    <x v="1"/>
    <x v="1"/>
    <m/>
  </r>
  <r>
    <n v="252"/>
    <d v="2024-02-24T00:00:00"/>
    <x v="8"/>
    <s v="Sofia David"/>
    <s v="sofia.david252@gmail.com"/>
    <s v="(53) 9 9895-7464"/>
    <x v="1"/>
    <n v="1500"/>
    <n v="3"/>
    <x v="4"/>
    <x v="1"/>
    <x v="3"/>
    <m/>
  </r>
  <r>
    <n v="253"/>
    <d v="2024-11-26T00:00:00"/>
    <x v="9"/>
    <s v="Manuel Silva"/>
    <s v="manuel.silva253@gmail.com"/>
    <s v="(29) 9 8105-7615"/>
    <x v="0"/>
    <n v="1200"/>
    <n v="18"/>
    <x v="16"/>
    <x v="0"/>
    <x v="0"/>
    <m/>
  </r>
  <r>
    <n v="254"/>
    <d v="2024-02-24T00:00:00"/>
    <x v="8"/>
    <s v="Bruno Silva"/>
    <s v="bruno.silva254@gmail.com"/>
    <s v="(39) 9 9960-9138"/>
    <x v="0"/>
    <n v="1200"/>
    <n v="8"/>
    <x v="13"/>
    <x v="1"/>
    <x v="1"/>
    <m/>
  </r>
  <r>
    <n v="255"/>
    <d v="2024-03-23T00:00:00"/>
    <x v="10"/>
    <s v="Adriano Santos"/>
    <s v="adriano.santos255@gmail.com"/>
    <s v="(23) 9 7593-7028"/>
    <x v="0"/>
    <n v="1200"/>
    <n v="2"/>
    <x v="0"/>
    <x v="0"/>
    <x v="0"/>
    <m/>
  </r>
  <r>
    <n v="256"/>
    <d v="2024-07-30T00:00:00"/>
    <x v="3"/>
    <s v="Maria Lopes"/>
    <s v="maria.lopes256@gmail.com"/>
    <s v="(50) 9 9503-9876"/>
    <x v="1"/>
    <n v="800"/>
    <n v="3"/>
    <x v="20"/>
    <x v="1"/>
    <x v="2"/>
    <m/>
  </r>
  <r>
    <n v="257"/>
    <d v="2024-07-21T00:00:00"/>
    <x v="3"/>
    <s v="Samuel Gomes"/>
    <s v="samuel.gomes257@gmail.com"/>
    <s v="(44) 9 9484-7127"/>
    <x v="1"/>
    <n v="800"/>
    <n v="9"/>
    <x v="12"/>
    <x v="1"/>
    <x v="3"/>
    <m/>
  </r>
  <r>
    <n v="258"/>
    <d v="2024-04-30T00:00:00"/>
    <x v="2"/>
    <s v="Nelson Barbosa"/>
    <s v="nelson.barbosa258@gmail.com"/>
    <s v="(28) 9 9150-8452"/>
    <x v="1"/>
    <n v="800"/>
    <n v="14"/>
    <x v="12"/>
    <x v="0"/>
    <x v="0"/>
    <m/>
  </r>
  <r>
    <n v="259"/>
    <d v="2024-07-19T00:00:00"/>
    <x v="3"/>
    <s v="Daniel Soares"/>
    <s v="daniel.soares259@gmail.com"/>
    <s v="(39) 9 7271-8492"/>
    <x v="0"/>
    <n v="1200"/>
    <n v="16"/>
    <x v="16"/>
    <x v="0"/>
    <x v="0"/>
    <m/>
  </r>
  <r>
    <n v="260"/>
    <d v="2024-04-02T00:00:00"/>
    <x v="2"/>
    <s v="Ana Santos"/>
    <s v="ana.santos260@gmail.com"/>
    <s v="(12) 9 8038-7692"/>
    <x v="1"/>
    <n v="1500"/>
    <n v="5"/>
    <x v="7"/>
    <x v="0"/>
    <x v="0"/>
    <m/>
  </r>
  <r>
    <n v="261"/>
    <d v="2024-06-24T00:00:00"/>
    <x v="11"/>
    <s v="Joaquim Andrade"/>
    <s v="joaquim.andrade261@gmail.com"/>
    <s v="(20) 9 9441-9309"/>
    <x v="1"/>
    <n v="800"/>
    <n v="13"/>
    <x v="18"/>
    <x v="1"/>
    <x v="1"/>
    <m/>
  </r>
  <r>
    <n v="262"/>
    <d v="2024-10-07T00:00:00"/>
    <x v="1"/>
    <s v="Manuel David"/>
    <s v="manuel.david262@gmail.com"/>
    <s v="(36) 9 7895-7031"/>
    <x v="1"/>
    <n v="800"/>
    <n v="8"/>
    <x v="4"/>
    <x v="1"/>
    <x v="2"/>
    <m/>
  </r>
  <r>
    <n v="263"/>
    <d v="2024-10-31T00:00:00"/>
    <x v="1"/>
    <s v="Adriano Andrade"/>
    <s v="adriano.andrade263@gmail.com"/>
    <s v="(10) 9 8828-9678"/>
    <x v="1"/>
    <n v="1500"/>
    <n v="12"/>
    <x v="11"/>
    <x v="0"/>
    <x v="0"/>
    <m/>
  </r>
  <r>
    <n v="264"/>
    <d v="2024-04-09T00:00:00"/>
    <x v="2"/>
    <s v="David Tavares"/>
    <s v="david.tavares264@gmail.com"/>
    <s v="(25) 9 8634-8901"/>
    <x v="1"/>
    <n v="1500"/>
    <n v="9"/>
    <x v="2"/>
    <x v="1"/>
    <x v="2"/>
    <m/>
  </r>
  <r>
    <n v="265"/>
    <d v="2024-06-18T00:00:00"/>
    <x v="11"/>
    <s v="Samuel Almeida"/>
    <s v="samuel.almeida265@gmail.com"/>
    <s v="(38) 9 7486-9773"/>
    <x v="1"/>
    <n v="800"/>
    <n v="7"/>
    <x v="9"/>
    <x v="1"/>
    <x v="1"/>
    <m/>
  </r>
  <r>
    <n v="266"/>
    <d v="2024-09-30T00:00:00"/>
    <x v="4"/>
    <s v="Isabel Miguel"/>
    <s v="isabel.miguel266@gmail.com"/>
    <s v="(38) 9 7352-9252"/>
    <x v="1"/>
    <n v="1500"/>
    <n v="4"/>
    <x v="9"/>
    <x v="0"/>
    <x v="0"/>
    <m/>
  </r>
  <r>
    <n v="267"/>
    <d v="2024-11-11T00:00:00"/>
    <x v="9"/>
    <s v="Domingos Santos"/>
    <s v="domingos.santos267@gmail.com"/>
    <s v="(45) 9 7920-9707"/>
    <x v="1"/>
    <n v="1500"/>
    <n v="10"/>
    <x v="20"/>
    <x v="1"/>
    <x v="1"/>
    <m/>
  </r>
  <r>
    <n v="268"/>
    <d v="2024-07-13T00:00:00"/>
    <x v="3"/>
    <s v="Marta Soares"/>
    <s v="marta.soares268@gmail.com"/>
    <s v="(47) 9 9106-9895"/>
    <x v="1"/>
    <n v="1500"/>
    <n v="11"/>
    <x v="8"/>
    <x v="0"/>
    <x v="0"/>
    <m/>
  </r>
  <r>
    <n v="269"/>
    <d v="2024-04-21T00:00:00"/>
    <x v="2"/>
    <s v="Adriano Gomes"/>
    <s v="adriano.gomes269@gmail.com"/>
    <s v="(32) 9 9119-7740"/>
    <x v="1"/>
    <n v="800"/>
    <n v="20"/>
    <x v="11"/>
    <x v="1"/>
    <x v="2"/>
    <m/>
  </r>
  <r>
    <n v="270"/>
    <d v="2024-06-20T00:00:00"/>
    <x v="11"/>
    <s v="Domingos Almeida"/>
    <s v="domingos.almeida270@gmail.com"/>
    <s v="(12) 9 7595-9350"/>
    <x v="1"/>
    <n v="1500"/>
    <n v="20"/>
    <x v="5"/>
    <x v="1"/>
    <x v="1"/>
    <m/>
  </r>
  <r>
    <n v="271"/>
    <d v="2024-04-28T00:00:00"/>
    <x v="2"/>
    <s v="Ana Pereira"/>
    <s v="ana.pereira271@gmail.com"/>
    <s v="(31) 9 8268-7684"/>
    <x v="1"/>
    <n v="800"/>
    <n v="4"/>
    <x v="1"/>
    <x v="1"/>
    <x v="2"/>
    <m/>
  </r>
  <r>
    <n v="272"/>
    <d v="2024-09-29T00:00:00"/>
    <x v="4"/>
    <s v="Marta Santos"/>
    <s v="marta.santos272@gmail.com"/>
    <s v="(40) 9 9664-7835"/>
    <x v="1"/>
    <n v="1500"/>
    <n v="2"/>
    <x v="9"/>
    <x v="1"/>
    <x v="3"/>
    <m/>
  </r>
  <r>
    <n v="273"/>
    <d v="2024-06-18T00:00:00"/>
    <x v="11"/>
    <s v="Teresa Martins"/>
    <s v="teresa.martins273@gmail.com"/>
    <s v="(42) 9 9467-7092"/>
    <x v="0"/>
    <n v="1200"/>
    <n v="15"/>
    <x v="19"/>
    <x v="0"/>
    <x v="0"/>
    <m/>
  </r>
  <r>
    <n v="274"/>
    <d v="2024-03-27T00:00:00"/>
    <x v="10"/>
    <s v="Domingos Andrade"/>
    <s v="domingos.andrade274@gmail.com"/>
    <s v="(19) 9 9412-8245"/>
    <x v="1"/>
    <n v="1500"/>
    <n v="13"/>
    <x v="13"/>
    <x v="1"/>
    <x v="1"/>
    <m/>
  </r>
  <r>
    <n v="275"/>
    <d v="2024-04-20T00:00:00"/>
    <x v="2"/>
    <s v="Joaquim Miguel"/>
    <s v="joaquim.miguel275@gmail.com"/>
    <s v="(47) 9 7265-7038"/>
    <x v="1"/>
    <n v="1500"/>
    <n v="8"/>
    <x v="15"/>
    <x v="1"/>
    <x v="1"/>
    <m/>
  </r>
  <r>
    <n v="276"/>
    <d v="2024-01-28T00:00:00"/>
    <x v="6"/>
    <s v="Luís Almeida"/>
    <s v="luís.almeida276@gmail.com"/>
    <s v="(18) 9 8504-8184"/>
    <x v="0"/>
    <n v="1200"/>
    <n v="9"/>
    <x v="13"/>
    <x v="1"/>
    <x v="2"/>
    <m/>
  </r>
  <r>
    <n v="277"/>
    <d v="2024-04-25T00:00:00"/>
    <x v="2"/>
    <s v="Cláudia Santos"/>
    <s v="cláudia.santos277@gmail.com"/>
    <s v="(10) 9 7741-9628"/>
    <x v="0"/>
    <n v="1200"/>
    <n v="9"/>
    <x v="15"/>
    <x v="0"/>
    <x v="0"/>
    <m/>
  </r>
  <r>
    <n v="278"/>
    <d v="2024-06-27T00:00:00"/>
    <x v="11"/>
    <s v="Nelson Lukeba"/>
    <s v="nelson.lukeba278@gmail.com"/>
    <s v="(30) 9 9517-8892"/>
    <x v="1"/>
    <n v="1500"/>
    <n v="6"/>
    <x v="16"/>
    <x v="0"/>
    <x v="0"/>
    <m/>
  </r>
  <r>
    <n v="279"/>
    <d v="2024-09-14T00:00:00"/>
    <x v="4"/>
    <s v="José Martins"/>
    <s v="josé.martins279@gmail.com"/>
    <s v="(41) 9 9354-7492"/>
    <x v="1"/>
    <n v="1500"/>
    <n v="17"/>
    <x v="2"/>
    <x v="0"/>
    <x v="0"/>
    <m/>
  </r>
  <r>
    <n v="280"/>
    <d v="2024-02-28T00:00:00"/>
    <x v="8"/>
    <s v="Samuel Pereira"/>
    <s v="samuel.pereira280@gmail.com"/>
    <s v="(56) 9 7399-9102"/>
    <x v="1"/>
    <n v="1500"/>
    <n v="8"/>
    <x v="8"/>
    <x v="0"/>
    <x v="0"/>
    <m/>
  </r>
  <r>
    <n v="281"/>
    <d v="2024-04-05T00:00:00"/>
    <x v="2"/>
    <s v="Domingos Barbosa"/>
    <s v="domingos.barbosa281@gmail.com"/>
    <s v="(32) 9 8127-8202"/>
    <x v="1"/>
    <n v="1500"/>
    <n v="5"/>
    <x v="4"/>
    <x v="1"/>
    <x v="1"/>
    <m/>
  </r>
  <r>
    <n v="282"/>
    <d v="2024-06-11T00:00:00"/>
    <x v="11"/>
    <s v="Luís Martins"/>
    <s v="luís.martins282@gmail.com"/>
    <s v="(46) 9 9086-8452"/>
    <x v="1"/>
    <n v="800"/>
    <n v="20"/>
    <x v="17"/>
    <x v="1"/>
    <x v="1"/>
    <m/>
  </r>
  <r>
    <n v="283"/>
    <d v="2024-12-28T00:00:00"/>
    <x v="0"/>
    <s v="João Barbosa"/>
    <s v="joão.barbosa283@gmail.com"/>
    <s v="(15) 9 8388-8019"/>
    <x v="0"/>
    <n v="1200"/>
    <n v="6"/>
    <x v="1"/>
    <x v="1"/>
    <x v="3"/>
    <m/>
  </r>
  <r>
    <n v="284"/>
    <d v="2024-05-26T00:00:00"/>
    <x v="7"/>
    <s v="António Pereira"/>
    <s v="antónio.pereira284@gmail.com"/>
    <s v="(12) 9 9015-7225"/>
    <x v="0"/>
    <n v="1200"/>
    <n v="18"/>
    <x v="18"/>
    <x v="1"/>
    <x v="3"/>
    <m/>
  </r>
  <r>
    <n v="285"/>
    <d v="2024-04-25T00:00:00"/>
    <x v="2"/>
    <s v="Rosa Lopes"/>
    <s v="rosa.lopes285@gmail.com"/>
    <s v="(18) 9 9265-8082"/>
    <x v="1"/>
    <n v="1500"/>
    <n v="15"/>
    <x v="8"/>
    <x v="1"/>
    <x v="2"/>
    <m/>
  </r>
  <r>
    <n v="286"/>
    <d v="2024-11-25T00:00:00"/>
    <x v="9"/>
    <s v="José Lopes"/>
    <s v="josé.lopes286@gmail.com"/>
    <s v="(35) 9 8214-9017"/>
    <x v="1"/>
    <n v="1500"/>
    <n v="10"/>
    <x v="4"/>
    <x v="0"/>
    <x v="0"/>
    <m/>
  </r>
  <r>
    <n v="287"/>
    <d v="2024-07-13T00:00:00"/>
    <x v="3"/>
    <s v="Rui Monteiro"/>
    <s v="rui.monteiro287@gmail.com"/>
    <s v="(14) 9 8369-8230"/>
    <x v="1"/>
    <n v="1500"/>
    <n v="13"/>
    <x v="15"/>
    <x v="1"/>
    <x v="1"/>
    <m/>
  </r>
  <r>
    <n v="288"/>
    <d v="2024-03-10T00:00:00"/>
    <x v="10"/>
    <s v="João Tavares"/>
    <s v="joão.tavares288@gmail.com"/>
    <s v="(57) 9 8950-8358"/>
    <x v="1"/>
    <n v="1500"/>
    <n v="7"/>
    <x v="18"/>
    <x v="0"/>
    <x v="0"/>
    <m/>
  </r>
  <r>
    <n v="289"/>
    <d v="2024-08-10T00:00:00"/>
    <x v="5"/>
    <s v="Marta Rodrigues"/>
    <s v="marta.rodrigues289@gmail.com"/>
    <s v="(46) 9 7000-7771"/>
    <x v="0"/>
    <n v="1200"/>
    <n v="2"/>
    <x v="10"/>
    <x v="1"/>
    <x v="2"/>
    <m/>
  </r>
  <r>
    <n v="290"/>
    <d v="2024-07-19T00:00:00"/>
    <x v="3"/>
    <s v="Mateus Lopes"/>
    <s v="mateus.lopes290@gmail.com"/>
    <s v="(30) 9 9488-9994"/>
    <x v="0"/>
    <n v="1200"/>
    <n v="6"/>
    <x v="17"/>
    <x v="0"/>
    <x v="0"/>
    <m/>
  </r>
  <r>
    <n v="291"/>
    <d v="2024-07-17T00:00:00"/>
    <x v="3"/>
    <s v="Manuel Almeida"/>
    <s v="manuel.almeida291@gmail.com"/>
    <s v="(15) 9 8505-8120"/>
    <x v="1"/>
    <n v="800"/>
    <n v="10"/>
    <x v="9"/>
    <x v="0"/>
    <x v="0"/>
    <m/>
  </r>
  <r>
    <n v="292"/>
    <d v="2024-06-10T00:00:00"/>
    <x v="11"/>
    <s v="Carlos Silva"/>
    <s v="carlos.silva292@gmail.com"/>
    <s v="(25) 9 7852-8627"/>
    <x v="0"/>
    <n v="1200"/>
    <n v="2"/>
    <x v="14"/>
    <x v="1"/>
    <x v="2"/>
    <m/>
  </r>
  <r>
    <n v="293"/>
    <d v="2024-04-25T00:00:00"/>
    <x v="2"/>
    <s v="Rui Monteiro"/>
    <s v="rui.monteiro293@gmail.com"/>
    <s v="(53) 9 8614-8482"/>
    <x v="1"/>
    <n v="1500"/>
    <n v="8"/>
    <x v="20"/>
    <x v="1"/>
    <x v="1"/>
    <m/>
  </r>
  <r>
    <n v="294"/>
    <d v="2024-03-03T00:00:00"/>
    <x v="10"/>
    <s v="Luís Fernandes"/>
    <s v="luís.fernandes294@gmail.com"/>
    <s v="(33) 9 9099-9655"/>
    <x v="1"/>
    <n v="800"/>
    <n v="8"/>
    <x v="18"/>
    <x v="0"/>
    <x v="0"/>
    <m/>
  </r>
  <r>
    <n v="295"/>
    <d v="2024-08-02T00:00:00"/>
    <x v="5"/>
    <s v="Francisco Monteiro"/>
    <s v="francisco.monteiro295@gmail.com"/>
    <s v="(13) 9 9685-7829"/>
    <x v="0"/>
    <n v="1200"/>
    <n v="12"/>
    <x v="8"/>
    <x v="1"/>
    <x v="1"/>
    <m/>
  </r>
  <r>
    <n v="296"/>
    <d v="2024-11-17T00:00:00"/>
    <x v="9"/>
    <s v="Daniel Tavares"/>
    <s v="daniel.tavares296@gmail.com"/>
    <s v="(42) 9 9362-8311"/>
    <x v="0"/>
    <n v="1200"/>
    <n v="9"/>
    <x v="15"/>
    <x v="1"/>
    <x v="1"/>
    <m/>
  </r>
  <r>
    <n v="297"/>
    <d v="2024-10-09T00:00:00"/>
    <x v="1"/>
    <s v="Paulo Santos"/>
    <s v="paulo.santos297@gmail.com"/>
    <s v="(41) 9 8611-9789"/>
    <x v="1"/>
    <n v="1500"/>
    <n v="15"/>
    <x v="12"/>
    <x v="1"/>
    <x v="2"/>
    <m/>
  </r>
  <r>
    <n v="298"/>
    <d v="2024-06-14T00:00:00"/>
    <x v="11"/>
    <s v="Isabel Gomes"/>
    <s v="isabel.gomes298@gmail.com"/>
    <s v="(36) 9 9947-7043"/>
    <x v="0"/>
    <n v="1200"/>
    <n v="11"/>
    <x v="2"/>
    <x v="1"/>
    <x v="2"/>
    <m/>
  </r>
  <r>
    <n v="299"/>
    <d v="2024-10-07T00:00:00"/>
    <x v="1"/>
    <s v="Benedito Tavares"/>
    <s v="benedito.tavares299@gmail.com"/>
    <s v="(19) 9 7030-9273"/>
    <x v="0"/>
    <n v="1200"/>
    <n v="11"/>
    <x v="8"/>
    <x v="0"/>
    <x v="0"/>
    <m/>
  </r>
  <r>
    <n v="300"/>
    <d v="2024-03-22T00:00:00"/>
    <x v="10"/>
    <s v="João Fernandes"/>
    <s v="joão.fernandes300@gmail.com"/>
    <s v="(47) 9 9249-9579"/>
    <x v="1"/>
    <n v="800"/>
    <n v="2"/>
    <x v="12"/>
    <x v="0"/>
    <x v="0"/>
    <m/>
  </r>
  <r>
    <n v="301"/>
    <d v="2024-09-30T00:00:00"/>
    <x v="4"/>
    <s v="António Pinto"/>
    <s v="antónio.pinto301@gmail.com"/>
    <s v="(51) 9 8788-7040"/>
    <x v="1"/>
    <n v="1500"/>
    <n v="15"/>
    <x v="20"/>
    <x v="1"/>
    <x v="1"/>
    <m/>
  </r>
  <r>
    <n v="302"/>
    <d v="2024-02-03T00:00:00"/>
    <x v="8"/>
    <s v="Adriano Pinto"/>
    <s v="adriano.pinto302@gmail.com"/>
    <s v="(17) 9 7398-9371"/>
    <x v="0"/>
    <n v="1200"/>
    <n v="7"/>
    <x v="17"/>
    <x v="1"/>
    <x v="1"/>
    <m/>
  </r>
  <r>
    <n v="303"/>
    <d v="2024-01-12T00:00:00"/>
    <x v="6"/>
    <s v="Nelson Lopes"/>
    <s v="nelson.lopes303@gmail.com"/>
    <s v="(18) 9 7148-9794"/>
    <x v="1"/>
    <n v="1500"/>
    <n v="17"/>
    <x v="10"/>
    <x v="0"/>
    <x v="0"/>
    <m/>
  </r>
  <r>
    <n v="304"/>
    <d v="2024-08-10T00:00:00"/>
    <x v="5"/>
    <s v="Nelson Pinto"/>
    <s v="nelson.pinto304@gmail.com"/>
    <s v="(42) 9 7963-9619"/>
    <x v="1"/>
    <n v="1500"/>
    <n v="9"/>
    <x v="7"/>
    <x v="0"/>
    <x v="0"/>
    <m/>
  </r>
  <r>
    <n v="305"/>
    <d v="2024-01-25T00:00:00"/>
    <x v="6"/>
    <s v="Cláudia Santos"/>
    <s v="cláudia.santos305@gmail.com"/>
    <s v="(27) 9 7192-8728"/>
    <x v="1"/>
    <n v="800"/>
    <n v="14"/>
    <x v="0"/>
    <x v="1"/>
    <x v="1"/>
    <m/>
  </r>
  <r>
    <n v="306"/>
    <d v="2024-05-02T00:00:00"/>
    <x v="7"/>
    <s v="Maria Silva"/>
    <s v="maria.silva306@gmail.com"/>
    <s v="(33) 9 9790-7934"/>
    <x v="1"/>
    <n v="1500"/>
    <n v="20"/>
    <x v="20"/>
    <x v="1"/>
    <x v="1"/>
    <m/>
  </r>
  <r>
    <n v="307"/>
    <d v="2024-06-03T00:00:00"/>
    <x v="11"/>
    <s v="Luís Tavares"/>
    <s v="luís.tavares307@gmail.com"/>
    <s v="(49) 9 7137-8407"/>
    <x v="0"/>
    <n v="1200"/>
    <n v="5"/>
    <x v="4"/>
    <x v="0"/>
    <x v="0"/>
    <m/>
  </r>
  <r>
    <n v="308"/>
    <d v="2024-03-24T00:00:00"/>
    <x v="10"/>
    <s v="José Lopes"/>
    <s v="josé.lopes308@gmail.com"/>
    <s v="(27) 9 9769-7041"/>
    <x v="1"/>
    <n v="1500"/>
    <n v="3"/>
    <x v="9"/>
    <x v="1"/>
    <x v="1"/>
    <m/>
  </r>
  <r>
    <n v="309"/>
    <d v="2024-04-28T00:00:00"/>
    <x v="2"/>
    <s v="Joaquim Costa"/>
    <s v="joaquim.costa309@gmail.com"/>
    <s v="(55) 9 9434-9902"/>
    <x v="1"/>
    <n v="1500"/>
    <n v="10"/>
    <x v="14"/>
    <x v="1"/>
    <x v="2"/>
    <m/>
  </r>
  <r>
    <n v="310"/>
    <d v="2024-06-27T00:00:00"/>
    <x v="11"/>
    <s v="Teresa Rodrigues"/>
    <s v="teresa.rodrigues310@gmail.com"/>
    <s v="(22) 9 9895-9958"/>
    <x v="1"/>
    <n v="800"/>
    <n v="2"/>
    <x v="14"/>
    <x v="1"/>
    <x v="1"/>
    <m/>
  </r>
  <r>
    <n v="311"/>
    <d v="2024-06-02T00:00:00"/>
    <x v="11"/>
    <s v="José Lopes"/>
    <s v="josé.lopes311@gmail.com"/>
    <s v="(40) 9 9679-7740"/>
    <x v="1"/>
    <n v="800"/>
    <n v="17"/>
    <x v="18"/>
    <x v="0"/>
    <x v="0"/>
    <m/>
  </r>
  <r>
    <n v="312"/>
    <d v="2024-08-23T00:00:00"/>
    <x v="5"/>
    <s v="Isabel Fernandes"/>
    <s v="isabel.fernandes312@gmail.com"/>
    <s v="(32) 9 9588-8666"/>
    <x v="1"/>
    <n v="1500"/>
    <n v="6"/>
    <x v="2"/>
    <x v="1"/>
    <x v="2"/>
    <m/>
  </r>
  <r>
    <n v="313"/>
    <d v="2024-11-06T00:00:00"/>
    <x v="9"/>
    <s v="Helena Pereira"/>
    <s v="helena.pereira313@gmail.com"/>
    <s v="(16) 9 8946-7007"/>
    <x v="0"/>
    <n v="1200"/>
    <n v="4"/>
    <x v="5"/>
    <x v="1"/>
    <x v="2"/>
    <m/>
  </r>
  <r>
    <n v="314"/>
    <d v="2024-10-22T00:00:00"/>
    <x v="1"/>
    <s v="Mateus Tavares"/>
    <s v="mateus.tavares314@gmail.com"/>
    <s v="(35) 9 7280-8322"/>
    <x v="1"/>
    <n v="1500"/>
    <n v="3"/>
    <x v="13"/>
    <x v="1"/>
    <x v="2"/>
    <m/>
  </r>
  <r>
    <n v="315"/>
    <d v="2024-06-20T00:00:00"/>
    <x v="11"/>
    <s v="Adriano Lopes"/>
    <s v="adriano.lopes315@gmail.com"/>
    <s v="(15) 9 8598-9764"/>
    <x v="1"/>
    <n v="800"/>
    <n v="13"/>
    <x v="6"/>
    <x v="0"/>
    <x v="0"/>
    <m/>
  </r>
  <r>
    <n v="316"/>
    <d v="2024-02-17T00:00:00"/>
    <x v="8"/>
    <s v="Fátima Fernandes"/>
    <s v="fátima.fernandes316@gmail.com"/>
    <s v="(23) 9 9497-9715"/>
    <x v="0"/>
    <n v="1200"/>
    <n v="7"/>
    <x v="3"/>
    <x v="1"/>
    <x v="1"/>
    <m/>
  </r>
  <r>
    <n v="317"/>
    <d v="2024-07-03T00:00:00"/>
    <x v="3"/>
    <s v="Domingos Monteiro"/>
    <s v="domingos.monteiro317@gmail.com"/>
    <s v="(52) 9 7161-7557"/>
    <x v="1"/>
    <n v="1500"/>
    <n v="16"/>
    <x v="17"/>
    <x v="1"/>
    <x v="2"/>
    <m/>
  </r>
  <r>
    <n v="318"/>
    <d v="2024-10-17T00:00:00"/>
    <x v="1"/>
    <s v="Samuel Santos"/>
    <s v="samuel.santos318@gmail.com"/>
    <s v="(51) 9 9407-7031"/>
    <x v="1"/>
    <n v="1500"/>
    <n v="8"/>
    <x v="18"/>
    <x v="1"/>
    <x v="1"/>
    <m/>
  </r>
  <r>
    <n v="319"/>
    <d v="2024-12-24T00:00:00"/>
    <x v="0"/>
    <s v="Rui Soares"/>
    <s v="rui.soares319@gmail.com"/>
    <s v="(39) 9 8530-7795"/>
    <x v="1"/>
    <n v="1500"/>
    <n v="1"/>
    <x v="6"/>
    <x v="1"/>
    <x v="2"/>
    <m/>
  </r>
  <r>
    <n v="320"/>
    <d v="2024-08-29T00:00:00"/>
    <x v="5"/>
    <s v="Fátima Lukeba"/>
    <s v="fátima.lukeba320@gmail.com"/>
    <s v="(23) 9 8739-7261"/>
    <x v="1"/>
    <n v="1500"/>
    <n v="5"/>
    <x v="20"/>
    <x v="1"/>
    <x v="2"/>
    <m/>
  </r>
  <r>
    <n v="321"/>
    <d v="2024-03-22T00:00:00"/>
    <x v="10"/>
    <s v="Fátima Andrade"/>
    <s v="fátima.andrade321@gmail.com"/>
    <s v="(37) 9 9501-8733"/>
    <x v="0"/>
    <n v="1200"/>
    <n v="3"/>
    <x v="13"/>
    <x v="0"/>
    <x v="0"/>
    <m/>
  </r>
  <r>
    <n v="322"/>
    <d v="2024-05-07T00:00:00"/>
    <x v="7"/>
    <s v="Pedro Silva"/>
    <s v="pedro.silva322@gmail.com"/>
    <s v="(48) 9 7770-8341"/>
    <x v="1"/>
    <n v="800"/>
    <n v="11"/>
    <x v="2"/>
    <x v="0"/>
    <x v="0"/>
    <m/>
  </r>
  <r>
    <n v="323"/>
    <d v="2024-04-28T00:00:00"/>
    <x v="2"/>
    <s v="José Lukeba"/>
    <s v="josé.lukeba323@gmail.com"/>
    <s v="(12) 9 8421-7417"/>
    <x v="0"/>
    <n v="1200"/>
    <n v="19"/>
    <x v="13"/>
    <x v="1"/>
    <x v="1"/>
    <m/>
  </r>
  <r>
    <n v="324"/>
    <d v="2024-07-25T00:00:00"/>
    <x v="3"/>
    <s v="Maria Domingues"/>
    <s v="maria.domingues324@gmail.com"/>
    <s v="(29) 9 8689-7324"/>
    <x v="1"/>
    <n v="800"/>
    <n v="4"/>
    <x v="0"/>
    <x v="1"/>
    <x v="1"/>
    <m/>
  </r>
  <r>
    <n v="325"/>
    <d v="2024-12-02T00:00:00"/>
    <x v="0"/>
    <s v="António Andrade"/>
    <s v="antónio.andrade325@gmail.com"/>
    <s v="(43) 9 9312-7392"/>
    <x v="0"/>
    <n v="1200"/>
    <n v="14"/>
    <x v="3"/>
    <x v="0"/>
    <x v="0"/>
    <m/>
  </r>
  <r>
    <n v="326"/>
    <d v="2024-08-08T00:00:00"/>
    <x v="5"/>
    <s v="Manuel Lopes"/>
    <s v="manuel.lopes326@gmail.com"/>
    <s v="(12) 9 7500-8134"/>
    <x v="1"/>
    <n v="1500"/>
    <n v="11"/>
    <x v="4"/>
    <x v="1"/>
    <x v="1"/>
    <m/>
  </r>
  <r>
    <n v="327"/>
    <d v="2024-12-05T00:00:00"/>
    <x v="0"/>
    <s v="Luís Soares"/>
    <s v="luís.soares327@gmail.com"/>
    <s v="(29) 9 7178-7451"/>
    <x v="0"/>
    <n v="1200"/>
    <n v="20"/>
    <x v="9"/>
    <x v="1"/>
    <x v="3"/>
    <m/>
  </r>
  <r>
    <n v="328"/>
    <d v="2024-07-20T00:00:00"/>
    <x v="3"/>
    <s v="Marta David"/>
    <s v="marta.david328@gmail.com"/>
    <s v="(10) 9 7274-7524"/>
    <x v="1"/>
    <n v="1500"/>
    <n v="12"/>
    <x v="11"/>
    <x v="0"/>
    <x v="0"/>
    <m/>
  </r>
  <r>
    <n v="329"/>
    <d v="2024-07-12T00:00:00"/>
    <x v="3"/>
    <s v="Ana Pinto"/>
    <s v="ana.pinto329@gmail.com"/>
    <s v="(26) 9 9835-8916"/>
    <x v="1"/>
    <n v="800"/>
    <n v="10"/>
    <x v="10"/>
    <x v="0"/>
    <x v="0"/>
    <m/>
  </r>
  <r>
    <n v="330"/>
    <d v="2024-03-25T00:00:00"/>
    <x v="10"/>
    <s v="Fátima Barbosa"/>
    <s v="fátima.barbosa330@gmail.com"/>
    <s v="(28) 9 8996-9200"/>
    <x v="1"/>
    <n v="800"/>
    <n v="8"/>
    <x v="12"/>
    <x v="1"/>
    <x v="2"/>
    <m/>
  </r>
  <r>
    <n v="331"/>
    <d v="2024-09-17T00:00:00"/>
    <x v="4"/>
    <s v="Francisco Domingues"/>
    <s v="francisco.domingues331@gmail.com"/>
    <s v="(49) 9 7538-8301"/>
    <x v="1"/>
    <n v="1500"/>
    <n v="15"/>
    <x v="2"/>
    <x v="0"/>
    <x v="0"/>
    <m/>
  </r>
  <r>
    <n v="332"/>
    <d v="2024-06-30T00:00:00"/>
    <x v="11"/>
    <s v="Bruno Almeida"/>
    <s v="bruno.almeida332@gmail.com"/>
    <s v="(56) 9 9355-9181"/>
    <x v="1"/>
    <n v="1500"/>
    <n v="19"/>
    <x v="12"/>
    <x v="0"/>
    <x v="0"/>
    <m/>
  </r>
  <r>
    <n v="333"/>
    <d v="2024-10-02T00:00:00"/>
    <x v="1"/>
    <s v="Bruno Monteiro"/>
    <s v="bruno.monteiro333@gmail.com"/>
    <s v="(29) 9 7972-7717"/>
    <x v="1"/>
    <n v="1500"/>
    <n v="4"/>
    <x v="19"/>
    <x v="1"/>
    <x v="1"/>
    <m/>
  </r>
  <r>
    <n v="334"/>
    <d v="2024-12-23T00:00:00"/>
    <x v="0"/>
    <s v="Marta Lukeba"/>
    <s v="marta.lukeba334@gmail.com"/>
    <s v="(13) 9 7084-9786"/>
    <x v="1"/>
    <n v="800"/>
    <n v="7"/>
    <x v="7"/>
    <x v="1"/>
    <x v="3"/>
    <m/>
  </r>
  <r>
    <n v="335"/>
    <d v="2024-10-15T00:00:00"/>
    <x v="1"/>
    <s v="Ana Santos"/>
    <s v="ana.santos335@gmail.com"/>
    <s v="(53) 9 9679-7930"/>
    <x v="1"/>
    <n v="800"/>
    <n v="17"/>
    <x v="5"/>
    <x v="1"/>
    <x v="1"/>
    <m/>
  </r>
  <r>
    <n v="336"/>
    <d v="2024-04-01T00:00:00"/>
    <x v="2"/>
    <s v="Pedro Lopes"/>
    <s v="pedro.lopes336@gmail.com"/>
    <s v="(36) 9 9327-9585"/>
    <x v="1"/>
    <n v="800"/>
    <n v="9"/>
    <x v="18"/>
    <x v="1"/>
    <x v="1"/>
    <m/>
  </r>
  <r>
    <n v="337"/>
    <d v="2024-09-22T00:00:00"/>
    <x v="4"/>
    <s v="Joaquim Rodrigues"/>
    <s v="joaquim.rodrigues337@gmail.com"/>
    <s v="(13) 9 7866-8077"/>
    <x v="1"/>
    <n v="1500"/>
    <n v="7"/>
    <x v="7"/>
    <x v="1"/>
    <x v="1"/>
    <m/>
  </r>
  <r>
    <n v="338"/>
    <d v="2024-10-06T00:00:00"/>
    <x v="1"/>
    <s v="David Rodrigues"/>
    <s v="david.rodrigues338@gmail.com"/>
    <s v="(16) 9 8670-8696"/>
    <x v="0"/>
    <n v="1200"/>
    <n v="20"/>
    <x v="3"/>
    <x v="0"/>
    <x v="0"/>
    <m/>
  </r>
  <r>
    <n v="339"/>
    <d v="2024-09-01T00:00:00"/>
    <x v="4"/>
    <s v="Helena Lopes"/>
    <s v="helena.lopes339@gmail.com"/>
    <s v="(23) 9 8814-7106"/>
    <x v="0"/>
    <n v="1200"/>
    <n v="18"/>
    <x v="0"/>
    <x v="1"/>
    <x v="1"/>
    <m/>
  </r>
  <r>
    <n v="340"/>
    <d v="2024-03-31T00:00:00"/>
    <x v="10"/>
    <s v="João Tavares"/>
    <s v="joão.tavares340@gmail.com"/>
    <s v="(37) 9 7144-9928"/>
    <x v="1"/>
    <n v="1500"/>
    <n v="1"/>
    <x v="11"/>
    <x v="1"/>
    <x v="2"/>
    <m/>
  </r>
  <r>
    <n v="341"/>
    <d v="2024-12-20T00:00:00"/>
    <x v="0"/>
    <s v="José Monteiro"/>
    <s v="josé.monteiro341@gmail.com"/>
    <s v="(39) 9 9078-7258"/>
    <x v="1"/>
    <n v="800"/>
    <n v="20"/>
    <x v="20"/>
    <x v="1"/>
    <x v="1"/>
    <m/>
  </r>
  <r>
    <n v="342"/>
    <d v="2024-08-17T00:00:00"/>
    <x v="5"/>
    <s v="Cláudia Rodrigues"/>
    <s v="cláudia.rodrigues342@gmail.com"/>
    <s v="(59) 9 7312-8449"/>
    <x v="1"/>
    <n v="800"/>
    <n v="16"/>
    <x v="3"/>
    <x v="1"/>
    <x v="2"/>
    <m/>
  </r>
  <r>
    <n v="343"/>
    <d v="2024-09-27T00:00:00"/>
    <x v="4"/>
    <s v="Domingos Barbosa"/>
    <s v="domingos.barbosa343@gmail.com"/>
    <s v="(48) 9 7244-8883"/>
    <x v="0"/>
    <n v="1200"/>
    <n v="8"/>
    <x v="11"/>
    <x v="1"/>
    <x v="2"/>
    <m/>
  </r>
  <r>
    <n v="344"/>
    <d v="2024-10-10T00:00:00"/>
    <x v="1"/>
    <s v="Daniel Monteiro"/>
    <s v="daniel.monteiro344@gmail.com"/>
    <s v="(31) 9 7781-9259"/>
    <x v="1"/>
    <n v="1500"/>
    <n v="10"/>
    <x v="0"/>
    <x v="0"/>
    <x v="0"/>
    <m/>
  </r>
  <r>
    <n v="345"/>
    <d v="2024-06-12T00:00:00"/>
    <x v="11"/>
    <s v="Domingos Soares"/>
    <s v="domingos.soares345@gmail.com"/>
    <s v="(39) 9 7713-8790"/>
    <x v="0"/>
    <n v="1200"/>
    <n v="3"/>
    <x v="0"/>
    <x v="1"/>
    <x v="3"/>
    <m/>
  </r>
  <r>
    <n v="346"/>
    <d v="2024-03-09T00:00:00"/>
    <x v="10"/>
    <s v="Cláudia Lukeba"/>
    <s v="cláudia.lukeba346@gmail.com"/>
    <s v="(59) 9 8117-7236"/>
    <x v="1"/>
    <n v="800"/>
    <n v="3"/>
    <x v="10"/>
    <x v="1"/>
    <x v="1"/>
    <m/>
  </r>
  <r>
    <n v="347"/>
    <d v="2024-07-21T00:00:00"/>
    <x v="3"/>
    <s v="David Pereira"/>
    <s v="david.pereira347@gmail.com"/>
    <s v="(20) 9 8709-9171"/>
    <x v="0"/>
    <n v="1200"/>
    <n v="6"/>
    <x v="17"/>
    <x v="1"/>
    <x v="2"/>
    <m/>
  </r>
  <r>
    <n v="348"/>
    <d v="2024-12-30T00:00:00"/>
    <x v="0"/>
    <s v="Maria Domingues"/>
    <s v="maria.domingues348@gmail.com"/>
    <s v="(56) 9 9372-8902"/>
    <x v="0"/>
    <n v="1200"/>
    <n v="16"/>
    <x v="10"/>
    <x v="1"/>
    <x v="1"/>
    <m/>
  </r>
  <r>
    <n v="349"/>
    <d v="2024-06-24T00:00:00"/>
    <x v="11"/>
    <s v="Carlos Pereira"/>
    <s v="carlos.pereira349@gmail.com"/>
    <s v="(51) 9 7027-7928"/>
    <x v="1"/>
    <n v="800"/>
    <n v="18"/>
    <x v="4"/>
    <x v="1"/>
    <x v="1"/>
    <m/>
  </r>
  <r>
    <n v="350"/>
    <d v="2024-10-27T00:00:00"/>
    <x v="1"/>
    <s v="Carlos Pereira"/>
    <s v="carlos.pereira350@gmail.com"/>
    <s v="(34) 9 8839-8797"/>
    <x v="1"/>
    <n v="1500"/>
    <n v="11"/>
    <x v="13"/>
    <x v="1"/>
    <x v="2"/>
    <m/>
  </r>
  <r>
    <n v="351"/>
    <d v="2024-12-30T00:00:00"/>
    <x v="0"/>
    <s v="Helena Miguel"/>
    <s v="helena.miguel351@gmail.com"/>
    <s v="(11) 9 8156-7474"/>
    <x v="1"/>
    <n v="800"/>
    <n v="18"/>
    <x v="8"/>
    <x v="1"/>
    <x v="1"/>
    <m/>
  </r>
  <r>
    <n v="352"/>
    <d v="2024-07-11T00:00:00"/>
    <x v="3"/>
    <s v="David Rodrigues"/>
    <s v="david.rodrigues352@gmail.com"/>
    <s v="(46) 9 7106-7189"/>
    <x v="0"/>
    <n v="1200"/>
    <n v="4"/>
    <x v="9"/>
    <x v="1"/>
    <x v="2"/>
    <m/>
  </r>
  <r>
    <n v="353"/>
    <d v="2024-12-05T00:00:00"/>
    <x v="0"/>
    <s v="Helena Gomes"/>
    <s v="helena.gomes353@gmail.com"/>
    <s v="(56) 9 7993-8553"/>
    <x v="1"/>
    <n v="1500"/>
    <n v="6"/>
    <x v="19"/>
    <x v="1"/>
    <x v="1"/>
    <m/>
  </r>
  <r>
    <n v="354"/>
    <d v="2024-02-17T00:00:00"/>
    <x v="8"/>
    <s v="Benedito Fernandes"/>
    <s v="benedito.fernandes354@gmail.com"/>
    <s v="(17) 9 9168-8421"/>
    <x v="1"/>
    <n v="800"/>
    <n v="18"/>
    <x v="19"/>
    <x v="0"/>
    <x v="0"/>
    <m/>
  </r>
  <r>
    <n v="355"/>
    <d v="2024-09-04T00:00:00"/>
    <x v="4"/>
    <s v="Francisco Barbosa"/>
    <s v="francisco.barbosa355@gmail.com"/>
    <s v="(28) 9 7710-8390"/>
    <x v="2"/>
    <n v="1500"/>
    <n v="2"/>
    <x v="15"/>
    <x v="1"/>
    <x v="1"/>
    <m/>
  </r>
  <r>
    <n v="356"/>
    <d v="2024-08-11T00:00:00"/>
    <x v="5"/>
    <s v="Nelson Soares"/>
    <s v="nelson.soares356@gmail.com"/>
    <s v="(37) 9 7430-9697"/>
    <x v="0"/>
    <n v="1200"/>
    <n v="13"/>
    <x v="16"/>
    <x v="0"/>
    <x v="0"/>
    <m/>
  </r>
  <r>
    <n v="357"/>
    <d v="2024-09-05T00:00:00"/>
    <x v="4"/>
    <s v="José Barbosa"/>
    <s v="josé.barbosa357@gmail.com"/>
    <s v="(35) 9 8914-9552"/>
    <x v="1"/>
    <n v="800"/>
    <n v="8"/>
    <x v="9"/>
    <x v="1"/>
    <x v="3"/>
    <m/>
  </r>
  <r>
    <n v="358"/>
    <d v="2024-02-24T00:00:00"/>
    <x v="8"/>
    <s v="Helena Andrade"/>
    <s v="helena.andrade358@gmail.com"/>
    <s v="(18) 9 9068-9106"/>
    <x v="2"/>
    <n v="1500"/>
    <n v="12"/>
    <x v="16"/>
    <x v="1"/>
    <x v="2"/>
    <m/>
  </r>
  <r>
    <n v="359"/>
    <d v="2024-05-29T00:00:00"/>
    <x v="7"/>
    <s v="Fátima Andrade"/>
    <s v="fátima.andrade359@gmail.com"/>
    <s v="(11) 9 7082-7466"/>
    <x v="0"/>
    <n v="1200"/>
    <n v="11"/>
    <x v="13"/>
    <x v="1"/>
    <x v="1"/>
    <m/>
  </r>
  <r>
    <n v="360"/>
    <d v="2024-08-13T00:00:00"/>
    <x v="5"/>
    <s v="Daniel Barbosa"/>
    <s v="daniel.barbosa360@gmail.com"/>
    <s v="(29) 9 9164-7455"/>
    <x v="0"/>
    <n v="1200"/>
    <n v="19"/>
    <x v="1"/>
    <x v="1"/>
    <x v="2"/>
    <m/>
  </r>
  <r>
    <n v="361"/>
    <d v="2024-07-09T00:00:00"/>
    <x v="3"/>
    <s v="Sofia Andrade"/>
    <s v="sofia.andrade361@gmail.com"/>
    <s v="(23) 9 8772-9010"/>
    <x v="1"/>
    <n v="800"/>
    <n v="1"/>
    <x v="18"/>
    <x v="1"/>
    <x v="2"/>
    <m/>
  </r>
  <r>
    <n v="362"/>
    <d v="2024-04-12T00:00:00"/>
    <x v="2"/>
    <s v="Rosa Pinto"/>
    <s v="rosa.pinto362@gmail.com"/>
    <s v="(35) 9 9744-8982"/>
    <x v="0"/>
    <n v="1200"/>
    <n v="14"/>
    <x v="2"/>
    <x v="1"/>
    <x v="2"/>
    <m/>
  </r>
  <r>
    <n v="363"/>
    <d v="2024-12-11T00:00:00"/>
    <x v="0"/>
    <s v="Nelson Silva"/>
    <s v="nelson.silva363@gmail.com"/>
    <s v="(10) 9 9346-7201"/>
    <x v="0"/>
    <n v="1200"/>
    <n v="13"/>
    <x v="6"/>
    <x v="1"/>
    <x v="2"/>
    <m/>
  </r>
  <r>
    <n v="364"/>
    <d v="2024-12-26T00:00:00"/>
    <x v="0"/>
    <s v="António Monteiro"/>
    <s v="antónio.monteiro364@gmail.com"/>
    <s v="(56) 9 9261-9790"/>
    <x v="0"/>
    <n v="1200"/>
    <n v="11"/>
    <x v="1"/>
    <x v="0"/>
    <x v="0"/>
    <m/>
  </r>
  <r>
    <n v="365"/>
    <d v="2024-12-24T00:00:00"/>
    <x v="0"/>
    <s v="Luís Lopes"/>
    <s v="luís.lopes365@gmail.com"/>
    <s v="(36) 9 8722-9274"/>
    <x v="1"/>
    <n v="800"/>
    <n v="17"/>
    <x v="7"/>
    <x v="1"/>
    <x v="3"/>
    <m/>
  </r>
  <r>
    <n v="366"/>
    <d v="2024-10-18T00:00:00"/>
    <x v="1"/>
    <s v="Rui Silva"/>
    <s v="rui.silva366@gmail.com"/>
    <s v="(37) 9 9932-9974"/>
    <x v="1"/>
    <n v="800"/>
    <n v="14"/>
    <x v="8"/>
    <x v="1"/>
    <x v="3"/>
    <m/>
  </r>
  <r>
    <n v="367"/>
    <d v="2024-05-23T00:00:00"/>
    <x v="7"/>
    <s v="Daniel Lopes"/>
    <s v="daniel.lopes367@gmail.com"/>
    <s v="(59) 9 7228-7024"/>
    <x v="2"/>
    <n v="1500"/>
    <n v="3"/>
    <x v="18"/>
    <x v="1"/>
    <x v="2"/>
    <m/>
  </r>
  <r>
    <n v="368"/>
    <d v="2024-03-31T00:00:00"/>
    <x v="10"/>
    <s v="Daniel Domingues"/>
    <s v="daniel.domingues368@gmail.com"/>
    <s v="(46) 9 7127-9551"/>
    <x v="0"/>
    <n v="1200"/>
    <n v="15"/>
    <x v="6"/>
    <x v="1"/>
    <x v="1"/>
    <m/>
  </r>
  <r>
    <n v="369"/>
    <d v="2024-08-27T00:00:00"/>
    <x v="5"/>
    <s v="Maria Pinto"/>
    <s v="maria.pinto369@gmail.com"/>
    <s v="(21) 9 9814-9052"/>
    <x v="0"/>
    <n v="1200"/>
    <n v="5"/>
    <x v="14"/>
    <x v="0"/>
    <x v="0"/>
    <m/>
  </r>
  <r>
    <n v="370"/>
    <d v="2024-02-20T00:00:00"/>
    <x v="8"/>
    <s v="Pedro Pinto"/>
    <s v="pedro.pinto370@gmail.com"/>
    <s v="(44) 9 8211-7579"/>
    <x v="0"/>
    <n v="1200"/>
    <n v="9"/>
    <x v="0"/>
    <x v="1"/>
    <x v="1"/>
    <m/>
  </r>
  <r>
    <n v="371"/>
    <d v="2024-09-11T00:00:00"/>
    <x v="4"/>
    <s v="Isabel Lopes"/>
    <s v="isabel.lopes371@gmail.com"/>
    <s v="(45) 9 8671-9879"/>
    <x v="2"/>
    <n v="1500"/>
    <n v="5"/>
    <x v="7"/>
    <x v="0"/>
    <x v="0"/>
    <m/>
  </r>
  <r>
    <n v="372"/>
    <d v="2024-10-27T00:00:00"/>
    <x v="1"/>
    <s v="Rosa Santos"/>
    <s v="rosa.santos372@gmail.com"/>
    <s v="(36) 9 8512-9058"/>
    <x v="2"/>
    <n v="1500"/>
    <n v="3"/>
    <x v="11"/>
    <x v="0"/>
    <x v="0"/>
    <m/>
  </r>
  <r>
    <n v="373"/>
    <d v="2024-09-14T00:00:00"/>
    <x v="4"/>
    <s v="Isabel Monteiro"/>
    <s v="isabel.monteiro373@gmail.com"/>
    <s v="(41) 9 9210-8410"/>
    <x v="2"/>
    <n v="1500"/>
    <n v="8"/>
    <x v="12"/>
    <x v="0"/>
    <x v="0"/>
    <m/>
  </r>
  <r>
    <n v="374"/>
    <d v="2024-05-14T00:00:00"/>
    <x v="7"/>
    <s v="Francisco David"/>
    <s v="francisco.david374@gmail.com"/>
    <s v="(38) 9 9118-9207"/>
    <x v="0"/>
    <n v="1200"/>
    <n v="19"/>
    <x v="14"/>
    <x v="1"/>
    <x v="3"/>
    <m/>
  </r>
  <r>
    <n v="375"/>
    <d v="2024-12-13T00:00:00"/>
    <x v="0"/>
    <s v="Helena Domingues"/>
    <s v="helena.domingues375@gmail.com"/>
    <s v="(14) 9 7113-8294"/>
    <x v="0"/>
    <n v="1200"/>
    <n v="5"/>
    <x v="17"/>
    <x v="1"/>
    <x v="3"/>
    <m/>
  </r>
  <r>
    <n v="376"/>
    <d v="2024-05-25T00:00:00"/>
    <x v="7"/>
    <s v="Carlos Pereira"/>
    <s v="carlos.pereira376@gmail.com"/>
    <s v="(43) 9 7757-9399"/>
    <x v="0"/>
    <n v="1200"/>
    <n v="6"/>
    <x v="11"/>
    <x v="0"/>
    <x v="0"/>
    <m/>
  </r>
  <r>
    <n v="377"/>
    <d v="2024-10-08T00:00:00"/>
    <x v="1"/>
    <s v="Daniel Almeida"/>
    <s v="daniel.almeida377@gmail.com"/>
    <s v="(36) 9 9257-9922"/>
    <x v="0"/>
    <n v="1200"/>
    <n v="13"/>
    <x v="17"/>
    <x v="0"/>
    <x v="0"/>
    <m/>
  </r>
  <r>
    <n v="378"/>
    <d v="2024-01-11T00:00:00"/>
    <x v="6"/>
    <s v="Daniel Fernandes"/>
    <s v="daniel.fernandes378@gmail.com"/>
    <s v="(44) 9 7641-9291"/>
    <x v="1"/>
    <n v="800"/>
    <n v="19"/>
    <x v="11"/>
    <x v="1"/>
    <x v="2"/>
    <m/>
  </r>
  <r>
    <n v="379"/>
    <d v="2024-01-26T00:00:00"/>
    <x v="6"/>
    <s v="Nelson David"/>
    <s v="nelson.david379@gmail.com"/>
    <s v="(32) 9 8009-9893"/>
    <x v="0"/>
    <n v="1200"/>
    <n v="2"/>
    <x v="10"/>
    <x v="1"/>
    <x v="3"/>
    <m/>
  </r>
  <r>
    <n v="380"/>
    <d v="2024-03-10T00:00:00"/>
    <x v="10"/>
    <s v="Maria Lukeba"/>
    <s v="maria.lukeba380@gmail.com"/>
    <s v="(48) 9 7390-7750"/>
    <x v="0"/>
    <n v="1200"/>
    <n v="6"/>
    <x v="19"/>
    <x v="0"/>
    <x v="0"/>
    <m/>
  </r>
  <r>
    <n v="381"/>
    <d v="2024-09-06T00:00:00"/>
    <x v="4"/>
    <s v="Sofia Monteiro"/>
    <s v="sofia.monteiro381@gmail.com"/>
    <s v="(35) 9 9567-7813"/>
    <x v="2"/>
    <n v="1500"/>
    <n v="7"/>
    <x v="8"/>
    <x v="1"/>
    <x v="1"/>
    <m/>
  </r>
  <r>
    <n v="382"/>
    <d v="2024-12-28T00:00:00"/>
    <x v="0"/>
    <s v="Bruno Pereira"/>
    <s v="bruno.pereira382@gmail.com"/>
    <s v="(22) 9 9742-8608"/>
    <x v="1"/>
    <n v="800"/>
    <n v="12"/>
    <x v="5"/>
    <x v="1"/>
    <x v="2"/>
    <m/>
  </r>
  <r>
    <n v="383"/>
    <d v="2024-01-31T00:00:00"/>
    <x v="6"/>
    <s v="Rosa Domingues"/>
    <s v="rosa.domingues383@gmail.com"/>
    <s v="(45) 9 9918-7126"/>
    <x v="2"/>
    <n v="1500"/>
    <n v="13"/>
    <x v="12"/>
    <x v="1"/>
    <x v="2"/>
    <m/>
  </r>
  <r>
    <n v="384"/>
    <d v="2024-11-06T00:00:00"/>
    <x v="9"/>
    <s v="Bruno Barbosa"/>
    <s v="bruno.barbosa384@gmail.com"/>
    <s v="(16) 9 9547-8935"/>
    <x v="1"/>
    <n v="800"/>
    <n v="11"/>
    <x v="2"/>
    <x v="1"/>
    <x v="3"/>
    <m/>
  </r>
  <r>
    <n v="385"/>
    <d v="2024-03-21T00:00:00"/>
    <x v="10"/>
    <s v="Rosa Barbosa"/>
    <s v="rosa.barbosa385@gmail.com"/>
    <s v="(26) 9 7224-7617"/>
    <x v="2"/>
    <n v="1500"/>
    <n v="12"/>
    <x v="8"/>
    <x v="1"/>
    <x v="2"/>
    <m/>
  </r>
  <r>
    <n v="386"/>
    <d v="2024-02-03T00:00:00"/>
    <x v="8"/>
    <s v="António Silva"/>
    <s v="antónio.silva386@gmail.com"/>
    <s v="(35) 9 9315-7137"/>
    <x v="0"/>
    <n v="1200"/>
    <n v="7"/>
    <x v="11"/>
    <x v="1"/>
    <x v="2"/>
    <m/>
  </r>
  <r>
    <n v="387"/>
    <d v="2024-07-20T00:00:00"/>
    <x v="3"/>
    <s v="Benedito Lopes"/>
    <s v="benedito.lopes387@gmail.com"/>
    <s v="(13) 9 9650-8396"/>
    <x v="2"/>
    <n v="1500"/>
    <n v="4"/>
    <x v="20"/>
    <x v="1"/>
    <x v="2"/>
    <m/>
  </r>
  <r>
    <n v="388"/>
    <d v="2024-04-21T00:00:00"/>
    <x v="2"/>
    <s v="Ana Lopes"/>
    <s v="ana.lopes388@gmail.com"/>
    <s v="(27) 9 9832-8319"/>
    <x v="2"/>
    <n v="1500"/>
    <n v="1"/>
    <x v="9"/>
    <x v="1"/>
    <x v="2"/>
    <m/>
  </r>
  <r>
    <n v="389"/>
    <d v="2024-11-03T00:00:00"/>
    <x v="9"/>
    <s v="Pedro Monteiro"/>
    <s v="pedro.monteiro389@gmail.com"/>
    <s v="(15) 9 7881-9092"/>
    <x v="0"/>
    <n v="1200"/>
    <n v="7"/>
    <x v="17"/>
    <x v="1"/>
    <x v="3"/>
    <m/>
  </r>
  <r>
    <n v="390"/>
    <d v="2024-03-03T00:00:00"/>
    <x v="10"/>
    <s v="Domingos Pinto"/>
    <s v="domingos.pinto390@gmail.com"/>
    <s v="(36) 9 9838-8143"/>
    <x v="2"/>
    <n v="1500"/>
    <n v="11"/>
    <x v="10"/>
    <x v="0"/>
    <x v="0"/>
    <m/>
  </r>
  <r>
    <n v="391"/>
    <d v="2024-09-01T00:00:00"/>
    <x v="4"/>
    <s v="Domingos Rodrigues"/>
    <s v="domingos.rodrigues391@gmail.com"/>
    <s v="(46) 9 9058-9450"/>
    <x v="0"/>
    <n v="1200"/>
    <n v="3"/>
    <x v="16"/>
    <x v="1"/>
    <x v="3"/>
    <m/>
  </r>
  <r>
    <n v="392"/>
    <d v="2024-03-15T00:00:00"/>
    <x v="10"/>
    <s v="Ana Monteiro"/>
    <s v="ana.monteiro392@gmail.com"/>
    <s v="(53) 9 9059-9910"/>
    <x v="1"/>
    <n v="800"/>
    <n v="8"/>
    <x v="18"/>
    <x v="1"/>
    <x v="2"/>
    <m/>
  </r>
  <r>
    <n v="393"/>
    <d v="2024-08-06T00:00:00"/>
    <x v="5"/>
    <s v="Daniel David"/>
    <s v="daniel.david393@gmail.com"/>
    <s v="(54) 9 9170-7549"/>
    <x v="2"/>
    <n v="1500"/>
    <n v="6"/>
    <x v="14"/>
    <x v="1"/>
    <x v="2"/>
    <m/>
  </r>
  <r>
    <n v="394"/>
    <d v="2024-04-03T00:00:00"/>
    <x v="2"/>
    <s v="Isabel Costa"/>
    <s v="isabel.costa394@gmail.com"/>
    <s v="(49) 9 7351-7895"/>
    <x v="2"/>
    <n v="1500"/>
    <n v="15"/>
    <x v="15"/>
    <x v="1"/>
    <x v="2"/>
    <m/>
  </r>
  <r>
    <n v="395"/>
    <d v="2024-06-14T00:00:00"/>
    <x v="11"/>
    <s v="António Andrade"/>
    <s v="antónio.andrade395@gmail.com"/>
    <s v="(11) 9 9090-7559"/>
    <x v="1"/>
    <n v="800"/>
    <n v="7"/>
    <x v="12"/>
    <x v="1"/>
    <x v="2"/>
    <m/>
  </r>
  <r>
    <n v="396"/>
    <d v="2024-06-19T00:00:00"/>
    <x v="11"/>
    <s v="Carlos Costa"/>
    <s v="carlos.costa396@gmail.com"/>
    <s v="(35) 9 8760-9324"/>
    <x v="0"/>
    <n v="1200"/>
    <n v="19"/>
    <x v="10"/>
    <x v="0"/>
    <x v="0"/>
    <m/>
  </r>
  <r>
    <n v="397"/>
    <d v="2024-02-11T00:00:00"/>
    <x v="8"/>
    <s v="Francisco David"/>
    <s v="francisco.david397@gmail.com"/>
    <s v="(26) 9 9656-8176"/>
    <x v="2"/>
    <n v="1500"/>
    <n v="16"/>
    <x v="17"/>
    <x v="1"/>
    <x v="1"/>
    <m/>
  </r>
  <r>
    <n v="398"/>
    <d v="2024-05-11T00:00:00"/>
    <x v="7"/>
    <s v="Helena Miguel"/>
    <s v="helena.miguel398@gmail.com"/>
    <s v="(47) 9 9511-7123"/>
    <x v="1"/>
    <n v="800"/>
    <n v="6"/>
    <x v="2"/>
    <x v="1"/>
    <x v="1"/>
    <m/>
  </r>
  <r>
    <n v="399"/>
    <d v="2024-10-05T00:00:00"/>
    <x v="1"/>
    <s v="João Monteiro"/>
    <s v="joão.monteiro399@gmail.com"/>
    <s v="(29) 9 9128-9985"/>
    <x v="2"/>
    <n v="1500"/>
    <n v="5"/>
    <x v="14"/>
    <x v="0"/>
    <x v="0"/>
    <m/>
  </r>
  <r>
    <n v="400"/>
    <d v="2024-02-18T00:00:00"/>
    <x v="8"/>
    <s v="Marta Tavares"/>
    <s v="marta.tavares400@gmail.com"/>
    <s v="(56) 9 8085-8297"/>
    <x v="2"/>
    <n v="1500"/>
    <n v="17"/>
    <x v="15"/>
    <x v="0"/>
    <x v="0"/>
    <m/>
  </r>
  <r>
    <n v="401"/>
    <d v="2024-02-20T00:00:00"/>
    <x v="8"/>
    <s v="Paulo Monteiro"/>
    <s v="paulo.monteiro401@gmail.com"/>
    <s v="(37) 9 9685-7634"/>
    <x v="0"/>
    <n v="1200"/>
    <n v="1"/>
    <x v="5"/>
    <x v="1"/>
    <x v="3"/>
    <m/>
  </r>
  <r>
    <n v="402"/>
    <d v="2024-09-30T00:00:00"/>
    <x v="4"/>
    <s v="David Martins"/>
    <s v="david.martins402@gmail.com"/>
    <s v="(25) 9 9733-7530"/>
    <x v="2"/>
    <n v="1500"/>
    <n v="10"/>
    <x v="12"/>
    <x v="1"/>
    <x v="1"/>
    <m/>
  </r>
  <r>
    <n v="403"/>
    <d v="2024-02-19T00:00:00"/>
    <x v="8"/>
    <s v="Ana Pereira"/>
    <s v="ana.pereira403@gmail.com"/>
    <s v="(24) 9 9216-8198"/>
    <x v="0"/>
    <n v="1200"/>
    <n v="19"/>
    <x v="14"/>
    <x v="0"/>
    <x v="0"/>
    <m/>
  </r>
  <r>
    <n v="404"/>
    <d v="2024-08-20T00:00:00"/>
    <x v="5"/>
    <s v="Mateus Miguel"/>
    <s v="mateus.miguel404@gmail.com"/>
    <s v="(43) 9 9264-7448"/>
    <x v="1"/>
    <n v="800"/>
    <n v="4"/>
    <x v="13"/>
    <x v="1"/>
    <x v="1"/>
    <m/>
  </r>
  <r>
    <n v="405"/>
    <d v="2024-11-10T00:00:00"/>
    <x v="9"/>
    <s v="Fátima David"/>
    <s v="fátima.david405@gmail.com"/>
    <s v="(46) 9 7743-7105"/>
    <x v="2"/>
    <n v="1500"/>
    <n v="6"/>
    <x v="0"/>
    <x v="1"/>
    <x v="2"/>
    <m/>
  </r>
  <r>
    <n v="406"/>
    <d v="2024-04-08T00:00:00"/>
    <x v="2"/>
    <s v="Marta Lopes"/>
    <s v="marta.lopes406@gmail.com"/>
    <s v="(44) 9 8680-8642"/>
    <x v="0"/>
    <n v="1200"/>
    <n v="11"/>
    <x v="10"/>
    <x v="0"/>
    <x v="0"/>
    <m/>
  </r>
  <r>
    <n v="407"/>
    <d v="2024-12-11T00:00:00"/>
    <x v="0"/>
    <s v="Paulo Andrade"/>
    <s v="paulo.andrade407@gmail.com"/>
    <s v="(16) 9 9771-8102"/>
    <x v="2"/>
    <n v="1500"/>
    <n v="7"/>
    <x v="15"/>
    <x v="0"/>
    <x v="0"/>
    <m/>
  </r>
  <r>
    <n v="408"/>
    <d v="2024-07-21T00:00:00"/>
    <x v="3"/>
    <s v="Isabel Lopes"/>
    <s v="isabel.lopes408@gmail.com"/>
    <s v="(20) 9 9640-9132"/>
    <x v="1"/>
    <n v="800"/>
    <n v="13"/>
    <x v="12"/>
    <x v="0"/>
    <x v="0"/>
    <m/>
  </r>
  <r>
    <n v="409"/>
    <d v="2024-10-05T00:00:00"/>
    <x v="1"/>
    <s v="Bruno Santos"/>
    <s v="bruno.santos409@gmail.com"/>
    <s v="(42) 9 8711-9046"/>
    <x v="0"/>
    <n v="1200"/>
    <n v="7"/>
    <x v="0"/>
    <x v="1"/>
    <x v="3"/>
    <m/>
  </r>
  <r>
    <n v="410"/>
    <d v="2024-09-02T00:00:00"/>
    <x v="4"/>
    <s v="Teresa Miguel"/>
    <s v="teresa.miguel410@gmail.com"/>
    <s v="(31) 9 7092-9336"/>
    <x v="1"/>
    <n v="800"/>
    <n v="1"/>
    <x v="11"/>
    <x v="1"/>
    <x v="1"/>
    <m/>
  </r>
  <r>
    <n v="411"/>
    <d v="2024-09-13T00:00:00"/>
    <x v="4"/>
    <s v="Adriano Andrade"/>
    <s v="adriano.andrade411@gmail.com"/>
    <s v="(56) 9 7602-8470"/>
    <x v="0"/>
    <n v="1200"/>
    <n v="5"/>
    <x v="11"/>
    <x v="1"/>
    <x v="1"/>
    <m/>
  </r>
  <r>
    <n v="412"/>
    <d v="2024-03-19T00:00:00"/>
    <x v="10"/>
    <s v="Mateus Miguel"/>
    <s v="mateus.miguel412@gmail.com"/>
    <s v="(38) 9 9392-9981"/>
    <x v="2"/>
    <n v="1500"/>
    <n v="11"/>
    <x v="20"/>
    <x v="0"/>
    <x v="0"/>
    <m/>
  </r>
  <r>
    <n v="413"/>
    <d v="2024-01-22T00:00:00"/>
    <x v="6"/>
    <s v="Maria Fernandes"/>
    <s v="maria.fernandes413@gmail.com"/>
    <s v="(21) 9 9221-9588"/>
    <x v="2"/>
    <n v="1500"/>
    <n v="17"/>
    <x v="12"/>
    <x v="1"/>
    <x v="1"/>
    <m/>
  </r>
  <r>
    <n v="414"/>
    <d v="2024-10-14T00:00:00"/>
    <x v="1"/>
    <s v="Cláudia Monteiro"/>
    <s v="cláudia.monteiro414@gmail.com"/>
    <s v="(40) 9 8170-8520"/>
    <x v="2"/>
    <n v="1500"/>
    <n v="3"/>
    <x v="14"/>
    <x v="1"/>
    <x v="2"/>
    <m/>
  </r>
  <r>
    <n v="415"/>
    <d v="2024-11-20T00:00:00"/>
    <x v="9"/>
    <s v="António Lukeba"/>
    <s v="antónio.lukeba415@gmail.com"/>
    <s v="(17) 9 7705-9330"/>
    <x v="1"/>
    <n v="800"/>
    <n v="9"/>
    <x v="1"/>
    <x v="1"/>
    <x v="1"/>
    <m/>
  </r>
  <r>
    <n v="416"/>
    <d v="2024-08-13T00:00:00"/>
    <x v="5"/>
    <s v="João Lopes"/>
    <s v="joão.lopes416@gmail.com"/>
    <s v="(47) 9 8444-9573"/>
    <x v="2"/>
    <n v="1500"/>
    <n v="11"/>
    <x v="2"/>
    <x v="0"/>
    <x v="0"/>
    <m/>
  </r>
  <r>
    <n v="417"/>
    <d v="2024-08-13T00:00:00"/>
    <x v="5"/>
    <s v="Rosa Silva"/>
    <s v="rosa.silva417@gmail.com"/>
    <s v="(31) 9 7661-9387"/>
    <x v="2"/>
    <n v="1500"/>
    <n v="15"/>
    <x v="13"/>
    <x v="1"/>
    <x v="1"/>
    <m/>
  </r>
  <r>
    <n v="418"/>
    <d v="2024-06-30T00:00:00"/>
    <x v="11"/>
    <s v="Teresa Monteiro"/>
    <s v="teresa.monteiro418@gmail.com"/>
    <s v="(55) 9 8904-9262"/>
    <x v="1"/>
    <n v="800"/>
    <n v="4"/>
    <x v="15"/>
    <x v="1"/>
    <x v="3"/>
    <m/>
  </r>
  <r>
    <n v="419"/>
    <d v="2024-08-24T00:00:00"/>
    <x v="5"/>
    <s v="Manuel Lukeba"/>
    <s v="manuel.lukeba419@gmail.com"/>
    <s v="(34) 9 7412-7926"/>
    <x v="1"/>
    <n v="1200"/>
    <n v="17"/>
    <x v="18"/>
    <x v="1"/>
    <x v="1"/>
    <m/>
  </r>
  <r>
    <n v="420"/>
    <d v="2024-06-03T00:00:00"/>
    <x v="11"/>
    <s v="Maria David"/>
    <s v="maria.david420@gmail.com"/>
    <s v="(35) 9 8869-8451"/>
    <x v="2"/>
    <n v="1500"/>
    <n v="19"/>
    <x v="2"/>
    <x v="1"/>
    <x v="2"/>
    <m/>
  </r>
  <r>
    <n v="421"/>
    <d v="2024-12-15T00:00:00"/>
    <x v="0"/>
    <s v="Cláudia Costa"/>
    <s v="cláudia.costa421@gmail.com"/>
    <s v="(22) 9 9031-7385"/>
    <x v="1"/>
    <n v="800"/>
    <n v="3"/>
    <x v="5"/>
    <x v="1"/>
    <x v="2"/>
    <m/>
  </r>
  <r>
    <n v="422"/>
    <d v="2024-08-10T00:00:00"/>
    <x v="5"/>
    <s v="Isabel David"/>
    <s v="isabel.david422@gmail.com"/>
    <s v="(15) 9 8428-7775"/>
    <x v="2"/>
    <n v="1500"/>
    <n v="3"/>
    <x v="0"/>
    <x v="1"/>
    <x v="2"/>
    <m/>
  </r>
  <r>
    <n v="423"/>
    <d v="2024-05-20T00:00:00"/>
    <x v="7"/>
    <s v="Manuel Pereira"/>
    <s v="manuel.pereira423@gmail.com"/>
    <s v="(39) 9 7638-9452"/>
    <x v="1"/>
    <n v="1200"/>
    <n v="19"/>
    <x v="16"/>
    <x v="0"/>
    <x v="0"/>
    <m/>
  </r>
  <r>
    <n v="424"/>
    <d v="2024-04-04T00:00:00"/>
    <x v="2"/>
    <s v="Mateus Soares"/>
    <s v="mateus.soares424@gmail.com"/>
    <s v="(45) 9 7124-7275"/>
    <x v="2"/>
    <n v="1500"/>
    <n v="20"/>
    <x v="15"/>
    <x v="1"/>
    <x v="1"/>
    <m/>
  </r>
  <r>
    <n v="425"/>
    <d v="2024-03-25T00:00:00"/>
    <x v="10"/>
    <s v="Mateus Lukeba"/>
    <s v="mateus.lukeba425@gmail.com"/>
    <s v="(13) 9 9484-9096"/>
    <x v="2"/>
    <n v="1500"/>
    <n v="3"/>
    <x v="6"/>
    <x v="0"/>
    <x v="0"/>
    <m/>
  </r>
  <r>
    <n v="426"/>
    <d v="2024-08-05T00:00:00"/>
    <x v="5"/>
    <s v="Sofia Lukeba"/>
    <s v="sofia.lukeba426@gmail.com"/>
    <s v="(18) 9 8882-9499"/>
    <x v="2"/>
    <n v="1500"/>
    <n v="16"/>
    <x v="9"/>
    <x v="1"/>
    <x v="3"/>
    <m/>
  </r>
  <r>
    <n v="427"/>
    <d v="2024-09-20T00:00:00"/>
    <x v="4"/>
    <s v="Ana Monteiro"/>
    <s v="ana.monteiro427@gmail.com"/>
    <s v="(57) 9 8560-9063"/>
    <x v="2"/>
    <n v="1500"/>
    <n v="16"/>
    <x v="12"/>
    <x v="1"/>
    <x v="1"/>
    <m/>
  </r>
  <r>
    <n v="428"/>
    <d v="2024-08-17T00:00:00"/>
    <x v="5"/>
    <s v="Paulo Gomes"/>
    <s v="paulo.gomes428@gmail.com"/>
    <s v="(26) 9 7050-7819"/>
    <x v="1"/>
    <n v="800"/>
    <n v="14"/>
    <x v="6"/>
    <x v="1"/>
    <x v="3"/>
    <m/>
  </r>
  <r>
    <n v="429"/>
    <d v="2024-09-10T00:00:00"/>
    <x v="4"/>
    <s v="Fátima Santos"/>
    <s v="fátima.santos429@gmail.com"/>
    <s v="(39) 9 8453-7069"/>
    <x v="1"/>
    <n v="1200"/>
    <n v="18"/>
    <x v="13"/>
    <x v="1"/>
    <x v="2"/>
    <m/>
  </r>
  <r>
    <n v="430"/>
    <d v="2024-01-31T00:00:00"/>
    <x v="6"/>
    <s v="Paulo Rodrigues"/>
    <s v="paulo.rodrigues430@gmail.com"/>
    <s v="(34) 9 9738-8061"/>
    <x v="2"/>
    <n v="1500"/>
    <n v="13"/>
    <x v="14"/>
    <x v="1"/>
    <x v="1"/>
    <m/>
  </r>
  <r>
    <n v="431"/>
    <d v="2024-02-23T00:00:00"/>
    <x v="8"/>
    <s v="Mateus Santos"/>
    <s v="mateus.santos431@gmail.com"/>
    <s v="(50) 9 8968-9173"/>
    <x v="1"/>
    <n v="800"/>
    <n v="20"/>
    <x v="8"/>
    <x v="1"/>
    <x v="2"/>
    <m/>
  </r>
  <r>
    <n v="432"/>
    <d v="2024-02-20T00:00:00"/>
    <x v="8"/>
    <s v="Maria Andrade"/>
    <s v="maria.andrade432@gmail.com"/>
    <s v="(16) 9 9799-9574"/>
    <x v="1"/>
    <n v="1200"/>
    <n v="1"/>
    <x v="17"/>
    <x v="1"/>
    <x v="1"/>
    <m/>
  </r>
  <r>
    <n v="433"/>
    <d v="2024-09-17T00:00:00"/>
    <x v="4"/>
    <s v="Adriano Fernandes"/>
    <s v="adriano.fernandes433@gmail.com"/>
    <s v="(37) 9 9616-9151"/>
    <x v="1"/>
    <n v="800"/>
    <n v="13"/>
    <x v="6"/>
    <x v="1"/>
    <x v="3"/>
    <m/>
  </r>
  <r>
    <n v="434"/>
    <d v="2024-09-27T00:00:00"/>
    <x v="4"/>
    <s v="Teresa Martins"/>
    <s v="teresa.martins434@gmail.com"/>
    <s v="(56) 9 9424-9569"/>
    <x v="1"/>
    <n v="800"/>
    <n v="8"/>
    <x v="14"/>
    <x v="0"/>
    <x v="0"/>
    <m/>
  </r>
  <r>
    <n v="435"/>
    <d v="2024-09-11T00:00:00"/>
    <x v="4"/>
    <s v="Rui Costa"/>
    <s v="rui.costa435@gmail.com"/>
    <s v="(14) 9 9669-7564"/>
    <x v="2"/>
    <n v="1500"/>
    <n v="17"/>
    <x v="13"/>
    <x v="0"/>
    <x v="0"/>
    <m/>
  </r>
  <r>
    <n v="436"/>
    <d v="2024-05-24T00:00:00"/>
    <x v="7"/>
    <s v="Bruno Santos"/>
    <s v="bruno.santos436@gmail.com"/>
    <s v="(60) 9 9477-9475"/>
    <x v="1"/>
    <n v="800"/>
    <n v="10"/>
    <x v="18"/>
    <x v="1"/>
    <x v="2"/>
    <m/>
  </r>
  <r>
    <n v="437"/>
    <d v="2024-12-07T00:00:00"/>
    <x v="0"/>
    <s v="Helena Domingues"/>
    <s v="helena.domingues437@gmail.com"/>
    <s v="(16) 9 8429-8047"/>
    <x v="2"/>
    <n v="1500"/>
    <n v="1"/>
    <x v="6"/>
    <x v="0"/>
    <x v="0"/>
    <m/>
  </r>
  <r>
    <n v="438"/>
    <d v="2024-02-15T00:00:00"/>
    <x v="8"/>
    <s v="António Lopes"/>
    <s v="antónio.lopes438@gmail.com"/>
    <s v="(20) 9 7739-7169"/>
    <x v="1"/>
    <n v="800"/>
    <n v="4"/>
    <x v="12"/>
    <x v="1"/>
    <x v="3"/>
    <m/>
  </r>
  <r>
    <n v="439"/>
    <d v="2024-04-13T00:00:00"/>
    <x v="2"/>
    <s v="Cláudia Almeida"/>
    <s v="cláudia.almeida439@gmail.com"/>
    <s v="(21) 9 8662-8486"/>
    <x v="2"/>
    <n v="1500"/>
    <n v="2"/>
    <x v="18"/>
    <x v="1"/>
    <x v="1"/>
    <m/>
  </r>
  <r>
    <n v="440"/>
    <d v="2024-09-01T00:00:00"/>
    <x v="4"/>
    <s v="Ana Pinto"/>
    <s v="ana.pinto440@gmail.com"/>
    <s v="(39) 9 7117-8550"/>
    <x v="2"/>
    <n v="1500"/>
    <n v="1"/>
    <x v="9"/>
    <x v="1"/>
    <x v="1"/>
    <m/>
  </r>
  <r>
    <n v="441"/>
    <d v="2024-10-31T00:00:00"/>
    <x v="1"/>
    <s v="Bruno Andrade"/>
    <s v="bruno.andrade441@gmail.com"/>
    <s v="(45) 9 9856-9090"/>
    <x v="1"/>
    <n v="1200"/>
    <n v="3"/>
    <x v="3"/>
    <x v="1"/>
    <x v="1"/>
    <m/>
  </r>
  <r>
    <n v="442"/>
    <d v="2024-04-20T00:00:00"/>
    <x v="2"/>
    <s v="Luís Domingues"/>
    <s v="luís.domingues442@gmail.com"/>
    <s v="(24) 9 7231-7084"/>
    <x v="1"/>
    <n v="800"/>
    <n v="6"/>
    <x v="15"/>
    <x v="0"/>
    <x v="0"/>
    <m/>
  </r>
  <r>
    <n v="443"/>
    <d v="2024-12-22T00:00:00"/>
    <x v="0"/>
    <s v="Benedito Barbosa"/>
    <s v="benedito.barbosa443@gmail.com"/>
    <s v="(42) 9 7794-9590"/>
    <x v="1"/>
    <n v="1200"/>
    <n v="12"/>
    <x v="19"/>
    <x v="1"/>
    <x v="2"/>
    <m/>
  </r>
  <r>
    <n v="444"/>
    <d v="2024-05-31T00:00:00"/>
    <x v="7"/>
    <s v="João Tavares"/>
    <s v="joão.tavares444@gmail.com"/>
    <s v="(17) 9 8616-8436"/>
    <x v="1"/>
    <n v="800"/>
    <n v="13"/>
    <x v="4"/>
    <x v="1"/>
    <x v="2"/>
    <m/>
  </r>
  <r>
    <n v="445"/>
    <d v="2024-07-24T00:00:00"/>
    <x v="3"/>
    <s v="Paulo Monteiro"/>
    <s v="paulo.monteiro445@gmail.com"/>
    <s v="(51) 9 9738-9546"/>
    <x v="1"/>
    <n v="800"/>
    <n v="18"/>
    <x v="8"/>
    <x v="1"/>
    <x v="2"/>
    <m/>
  </r>
  <r>
    <n v="446"/>
    <d v="2024-01-27T00:00:00"/>
    <x v="6"/>
    <s v="Isabel Lukeba"/>
    <s v="isabel.lukeba446@gmail.com"/>
    <s v="(14) 9 9500-7437"/>
    <x v="2"/>
    <n v="1500"/>
    <n v="17"/>
    <x v="16"/>
    <x v="1"/>
    <x v="2"/>
    <m/>
  </r>
  <r>
    <n v="447"/>
    <d v="2024-02-04T00:00:00"/>
    <x v="8"/>
    <s v="Teresa Silva"/>
    <s v="teresa.silva447@gmail.com"/>
    <s v="(25) 9 7212-8662"/>
    <x v="1"/>
    <n v="1200"/>
    <n v="3"/>
    <x v="5"/>
    <x v="1"/>
    <x v="1"/>
    <m/>
  </r>
  <r>
    <n v="448"/>
    <d v="2024-01-28T00:00:00"/>
    <x v="6"/>
    <s v="Helena Almeida"/>
    <s v="helena.almeida448@gmail.com"/>
    <s v="(49) 9 7672-9031"/>
    <x v="1"/>
    <n v="800"/>
    <n v="7"/>
    <x v="18"/>
    <x v="1"/>
    <x v="1"/>
    <m/>
  </r>
  <r>
    <n v="449"/>
    <d v="2024-12-17T00:00:00"/>
    <x v="0"/>
    <s v="Francisco Silva"/>
    <s v="francisco.silva449@gmail.com"/>
    <s v="(41) 9 7815-7986"/>
    <x v="1"/>
    <n v="800"/>
    <n v="18"/>
    <x v="16"/>
    <x v="1"/>
    <x v="2"/>
    <m/>
  </r>
  <r>
    <n v="450"/>
    <d v="2024-10-20T00:00:00"/>
    <x v="1"/>
    <s v="Cláudia Silva"/>
    <s v="cláudia.silva450@gmail.com"/>
    <s v="(51) 9 8466-7778"/>
    <x v="1"/>
    <n v="800"/>
    <n v="19"/>
    <x v="14"/>
    <x v="1"/>
    <x v="1"/>
    <m/>
  </r>
  <r>
    <n v="451"/>
    <d v="2024-02-14T00:00:00"/>
    <x v="8"/>
    <s v="Rosa Gomes"/>
    <s v="rosa.gomes451@gmail.com"/>
    <s v="(17) 9 7212-9531"/>
    <x v="2"/>
    <n v="1500"/>
    <n v="20"/>
    <x v="4"/>
    <x v="1"/>
    <x v="1"/>
    <m/>
  </r>
  <r>
    <n v="452"/>
    <d v="2024-02-12T00:00:00"/>
    <x v="8"/>
    <s v="Francisco David"/>
    <s v="francisco.david452@gmail.com"/>
    <s v="(58) 9 8790-8119"/>
    <x v="1"/>
    <n v="1200"/>
    <n v="11"/>
    <x v="20"/>
    <x v="0"/>
    <x v="0"/>
    <m/>
  </r>
  <r>
    <n v="453"/>
    <d v="2024-05-28T00:00:00"/>
    <x v="7"/>
    <s v="David Andrade"/>
    <s v="david.andrade453@gmail.com"/>
    <s v="(43) 9 7551-7871"/>
    <x v="2"/>
    <n v="1500"/>
    <n v="20"/>
    <x v="7"/>
    <x v="0"/>
    <x v="0"/>
    <m/>
  </r>
  <r>
    <n v="454"/>
    <d v="2024-08-23T00:00:00"/>
    <x v="5"/>
    <s v="Sofia Domingues"/>
    <s v="sofia.domingues454@gmail.com"/>
    <s v="(58) 9 7163-7274"/>
    <x v="1"/>
    <n v="800"/>
    <n v="20"/>
    <x v="2"/>
    <x v="1"/>
    <x v="1"/>
    <m/>
  </r>
  <r>
    <n v="455"/>
    <d v="2024-08-01T00:00:00"/>
    <x v="5"/>
    <s v="Nelson Tavares"/>
    <s v="nelson.tavares455@gmail.com"/>
    <s v="(25) 9 8120-7759"/>
    <x v="1"/>
    <n v="1200"/>
    <n v="14"/>
    <x v="4"/>
    <x v="1"/>
    <x v="2"/>
    <m/>
  </r>
  <r>
    <n v="456"/>
    <d v="2024-10-12T00:00:00"/>
    <x v="1"/>
    <s v="Daniel Fernandes"/>
    <s v="daniel.fernandes456@gmail.com"/>
    <s v="(17) 9 7491-7043"/>
    <x v="1"/>
    <n v="800"/>
    <n v="9"/>
    <x v="6"/>
    <x v="1"/>
    <x v="3"/>
    <m/>
  </r>
  <r>
    <n v="457"/>
    <d v="2024-03-31T00:00:00"/>
    <x v="10"/>
    <s v="Mateus David"/>
    <s v="mateus.david457@gmail.com"/>
    <s v="(34) 9 8139-8698"/>
    <x v="1"/>
    <n v="800"/>
    <n v="14"/>
    <x v="10"/>
    <x v="1"/>
    <x v="1"/>
    <m/>
  </r>
  <r>
    <n v="458"/>
    <d v="2024-11-17T00:00:00"/>
    <x v="9"/>
    <s v="Rosa Tavares"/>
    <s v="rosa.tavares458@gmail.com"/>
    <s v="(11) 9 9600-7438"/>
    <x v="1"/>
    <n v="800"/>
    <n v="13"/>
    <x v="1"/>
    <x v="1"/>
    <x v="2"/>
    <m/>
  </r>
  <r>
    <n v="459"/>
    <d v="2024-06-29T00:00:00"/>
    <x v="11"/>
    <s v="Marta Gomes"/>
    <s v="marta.gomes459@gmail.com"/>
    <s v="(20) 9 7567-7200"/>
    <x v="1"/>
    <n v="1200"/>
    <n v="17"/>
    <x v="12"/>
    <x v="1"/>
    <x v="1"/>
    <m/>
  </r>
  <r>
    <n v="460"/>
    <d v="2024-10-08T00:00:00"/>
    <x v="1"/>
    <s v="Ana Rodrigues"/>
    <s v="ana.rodrigues460@gmail.com"/>
    <s v="(57) 9 7310-7297"/>
    <x v="1"/>
    <n v="800"/>
    <n v="7"/>
    <x v="5"/>
    <x v="1"/>
    <x v="3"/>
    <m/>
  </r>
  <r>
    <n v="461"/>
    <d v="2024-05-09T00:00:00"/>
    <x v="7"/>
    <s v="Carlos Lukeba"/>
    <s v="carlos.lukeba461@gmail.com"/>
    <s v="(20) 9 8062-7560"/>
    <x v="2"/>
    <n v="1500"/>
    <n v="10"/>
    <x v="3"/>
    <x v="1"/>
    <x v="2"/>
    <m/>
  </r>
  <r>
    <n v="462"/>
    <d v="2024-01-09T00:00:00"/>
    <x v="6"/>
    <s v="Bruno Gomes"/>
    <s v="bruno.gomes462@gmail.com"/>
    <s v="(45) 9 8019-7086"/>
    <x v="1"/>
    <n v="1200"/>
    <n v="6"/>
    <x v="1"/>
    <x v="1"/>
    <x v="1"/>
    <m/>
  </r>
  <r>
    <n v="463"/>
    <d v="2024-02-19T00:00:00"/>
    <x v="8"/>
    <s v="Francisco Lukeba"/>
    <s v="francisco.lukeba463@gmail.com"/>
    <s v="(38) 9 8529-9898"/>
    <x v="2"/>
    <n v="1500"/>
    <n v="14"/>
    <x v="1"/>
    <x v="1"/>
    <x v="3"/>
    <m/>
  </r>
  <r>
    <n v="464"/>
    <d v="2024-06-25T00:00:00"/>
    <x v="11"/>
    <s v="Francisco Monteiro"/>
    <s v="francisco.monteiro464@gmail.com"/>
    <s v="(41) 9 9081-9805"/>
    <x v="1"/>
    <n v="800"/>
    <n v="19"/>
    <x v="8"/>
    <x v="1"/>
    <x v="2"/>
    <m/>
  </r>
  <r>
    <n v="465"/>
    <d v="2024-05-11T00:00:00"/>
    <x v="7"/>
    <s v="Mateus Andrade"/>
    <s v="mateus.andrade465@gmail.com"/>
    <s v="(40) 9 8572-9255"/>
    <x v="1"/>
    <n v="800"/>
    <n v="16"/>
    <x v="15"/>
    <x v="1"/>
    <x v="3"/>
    <m/>
  </r>
  <r>
    <n v="466"/>
    <d v="2024-03-04T00:00:00"/>
    <x v="10"/>
    <s v="Cláudia Pinto"/>
    <s v="cláudia.pinto466@gmail.com"/>
    <s v="(34) 9 9586-7278"/>
    <x v="1"/>
    <n v="800"/>
    <n v="8"/>
    <x v="15"/>
    <x v="1"/>
    <x v="1"/>
    <m/>
  </r>
  <r>
    <n v="467"/>
    <d v="2024-05-21T00:00:00"/>
    <x v="7"/>
    <s v="Isabel Andrade"/>
    <s v="isabel.andrade467@gmail.com"/>
    <s v="(49) 9 9475-7479"/>
    <x v="2"/>
    <n v="1500"/>
    <n v="9"/>
    <x v="20"/>
    <x v="1"/>
    <x v="2"/>
    <m/>
  </r>
  <r>
    <n v="468"/>
    <d v="2024-01-10T00:00:00"/>
    <x v="6"/>
    <s v="Sofia Martins"/>
    <s v="sofia.martins468@gmail.com"/>
    <s v="(47) 9 7376-7707"/>
    <x v="1"/>
    <n v="1200"/>
    <n v="3"/>
    <x v="6"/>
    <x v="1"/>
    <x v="3"/>
    <m/>
  </r>
  <r>
    <n v="469"/>
    <d v="2024-08-18T00:00:00"/>
    <x v="5"/>
    <s v="Helena Lopes"/>
    <s v="helena.lopes469@gmail.com"/>
    <s v="(26) 9 9349-7952"/>
    <x v="2"/>
    <n v="1500"/>
    <n v="6"/>
    <x v="15"/>
    <x v="1"/>
    <x v="1"/>
    <m/>
  </r>
  <r>
    <n v="470"/>
    <d v="2024-01-22T00:00:00"/>
    <x v="6"/>
    <s v="Fátima Monteiro"/>
    <s v="fátima.monteiro470@gmail.com"/>
    <s v="(39) 9 7300-8440"/>
    <x v="1"/>
    <n v="1200"/>
    <n v="20"/>
    <x v="15"/>
    <x v="0"/>
    <x v="0"/>
    <m/>
  </r>
  <r>
    <n v="471"/>
    <d v="2024-08-10T00:00:00"/>
    <x v="5"/>
    <s v="Adriano David"/>
    <s v="adriano.david471@gmail.com"/>
    <s v="(59) 9 8017-9240"/>
    <x v="1"/>
    <n v="800"/>
    <n v="10"/>
    <x v="16"/>
    <x v="0"/>
    <x v="0"/>
    <m/>
  </r>
  <r>
    <n v="472"/>
    <d v="2024-07-09T00:00:00"/>
    <x v="3"/>
    <s v="Sofia Almeida"/>
    <s v="sofia.almeida472@gmail.com"/>
    <s v="(42) 9 8146-7576"/>
    <x v="1"/>
    <n v="1200"/>
    <n v="20"/>
    <x v="8"/>
    <x v="1"/>
    <x v="2"/>
    <m/>
  </r>
  <r>
    <n v="473"/>
    <d v="2024-03-11T00:00:00"/>
    <x v="10"/>
    <s v="Samuel Pinto"/>
    <s v="samuel.pinto473@gmail.com"/>
    <s v="(26) 9 7612-9583"/>
    <x v="1"/>
    <n v="800"/>
    <n v="8"/>
    <x v="3"/>
    <x v="1"/>
    <x v="3"/>
    <m/>
  </r>
  <r>
    <n v="474"/>
    <d v="2024-08-08T00:00:00"/>
    <x v="5"/>
    <s v="Samuel Gomes"/>
    <s v="samuel.gomes474@gmail.com"/>
    <s v="(34) 9 9037-8275"/>
    <x v="1"/>
    <n v="1200"/>
    <n v="5"/>
    <x v="6"/>
    <x v="1"/>
    <x v="3"/>
    <m/>
  </r>
  <r>
    <n v="475"/>
    <d v="2024-03-31T00:00:00"/>
    <x v="10"/>
    <s v="Marta Almeida"/>
    <s v="marta.almeida475@gmail.com"/>
    <s v="(47) 9 8980-8250"/>
    <x v="2"/>
    <n v="1500"/>
    <n v="19"/>
    <x v="16"/>
    <x v="1"/>
    <x v="3"/>
    <m/>
  </r>
  <r>
    <n v="476"/>
    <d v="2024-01-11T00:00:00"/>
    <x v="6"/>
    <s v="Paulo Gomes"/>
    <s v="paulo.gomes476@gmail.com"/>
    <s v="(14) 9 7188-7191"/>
    <x v="1"/>
    <n v="800"/>
    <n v="3"/>
    <x v="0"/>
    <x v="1"/>
    <x v="3"/>
    <m/>
  </r>
  <r>
    <n v="477"/>
    <d v="2024-11-12T00:00:00"/>
    <x v="9"/>
    <s v="Adriano Martins"/>
    <s v="adriano.martins477@gmail.com"/>
    <s v="(35) 9 7511-7980"/>
    <x v="2"/>
    <n v="1500"/>
    <n v="3"/>
    <x v="5"/>
    <x v="1"/>
    <x v="2"/>
    <m/>
  </r>
  <r>
    <n v="478"/>
    <d v="2024-12-20T00:00:00"/>
    <x v="0"/>
    <s v="Domingos Silva"/>
    <s v="domingos.silva478@gmail.com"/>
    <s v="(60) 9 8745-8721"/>
    <x v="1"/>
    <n v="800"/>
    <n v="1"/>
    <x v="9"/>
    <x v="1"/>
    <x v="3"/>
    <m/>
  </r>
  <r>
    <n v="479"/>
    <d v="2024-03-02T00:00:00"/>
    <x v="10"/>
    <s v="Maria Tavares"/>
    <s v="maria.tavares479@gmail.com"/>
    <s v="(60) 9 7577-9703"/>
    <x v="1"/>
    <n v="800"/>
    <n v="2"/>
    <x v="14"/>
    <x v="1"/>
    <x v="1"/>
    <m/>
  </r>
  <r>
    <n v="480"/>
    <d v="2024-07-20T00:00:00"/>
    <x v="3"/>
    <s v="Domingos Silva"/>
    <s v="domingos.silva480@gmail.com"/>
    <s v="(43) 9 9769-7371"/>
    <x v="2"/>
    <n v="1500"/>
    <n v="14"/>
    <x v="13"/>
    <x v="1"/>
    <x v="2"/>
    <m/>
  </r>
  <r>
    <n v="481"/>
    <d v="2024-05-28T00:00:00"/>
    <x v="7"/>
    <s v="Adriano Lukeba"/>
    <s v="adriano.lukeba481@gmail.com"/>
    <s v="(31) 9 8520-7305"/>
    <x v="1"/>
    <n v="800"/>
    <n v="12"/>
    <x v="19"/>
    <x v="0"/>
    <x v="0"/>
    <m/>
  </r>
  <r>
    <n v="482"/>
    <d v="2024-02-27T00:00:00"/>
    <x v="8"/>
    <s v="Bruno Santos"/>
    <s v="bruno.santos482@gmail.com"/>
    <s v="(55) 9 7997-8737"/>
    <x v="1"/>
    <n v="800"/>
    <n v="9"/>
    <x v="16"/>
    <x v="0"/>
    <x v="0"/>
    <m/>
  </r>
  <r>
    <n v="483"/>
    <d v="2024-05-26T00:00:00"/>
    <x v="7"/>
    <s v="Isabel Pereira"/>
    <s v="isabel.pereira483@gmail.com"/>
    <s v="(26) 9 8548-7527"/>
    <x v="1"/>
    <n v="800"/>
    <n v="3"/>
    <x v="20"/>
    <x v="1"/>
    <x v="1"/>
    <m/>
  </r>
  <r>
    <n v="484"/>
    <d v="2024-10-17T00:00:00"/>
    <x v="1"/>
    <s v="Sofia Silva"/>
    <s v="sofia.silva484@gmail.com"/>
    <s v="(14) 9 8633-8318"/>
    <x v="2"/>
    <n v="1500"/>
    <n v="15"/>
    <x v="7"/>
    <x v="1"/>
    <x v="2"/>
    <m/>
  </r>
  <r>
    <n v="485"/>
    <d v="2024-08-23T00:00:00"/>
    <x v="5"/>
    <s v="Rosa Rodrigues"/>
    <s v="rosa.rodrigues485@gmail.com"/>
    <s v="(41) 9 9544-9847"/>
    <x v="1"/>
    <n v="1200"/>
    <n v="17"/>
    <x v="11"/>
    <x v="1"/>
    <x v="1"/>
    <m/>
  </r>
  <r>
    <n v="486"/>
    <d v="2024-03-30T00:00:00"/>
    <x v="10"/>
    <s v="Nelson Lukeba"/>
    <s v="nelson.lukeba486@gmail.com"/>
    <s v="(60) 9 9054-8512"/>
    <x v="1"/>
    <n v="1200"/>
    <n v="7"/>
    <x v="0"/>
    <x v="1"/>
    <x v="3"/>
    <m/>
  </r>
  <r>
    <n v="487"/>
    <d v="2024-10-17T00:00:00"/>
    <x v="1"/>
    <s v="Daniel Tavares"/>
    <s v="daniel.tavares487@gmail.com"/>
    <s v="(34) 9 9928-7774"/>
    <x v="2"/>
    <n v="1500"/>
    <n v="11"/>
    <x v="8"/>
    <x v="1"/>
    <x v="2"/>
    <m/>
  </r>
  <r>
    <n v="488"/>
    <d v="2024-06-08T00:00:00"/>
    <x v="11"/>
    <s v="Bruno Pinto"/>
    <s v="bruno.pinto488@gmail.com"/>
    <s v="(55) 9 8943-7918"/>
    <x v="1"/>
    <n v="800"/>
    <n v="15"/>
    <x v="15"/>
    <x v="0"/>
    <x v="0"/>
    <m/>
  </r>
  <r>
    <n v="489"/>
    <d v="2024-05-12T00:00:00"/>
    <x v="7"/>
    <s v="Mateus David"/>
    <s v="mateus.david489@gmail.com"/>
    <s v="(48) 9 8452-7624"/>
    <x v="1"/>
    <n v="800"/>
    <n v="13"/>
    <x v="12"/>
    <x v="0"/>
    <x v="0"/>
    <m/>
  </r>
  <r>
    <n v="490"/>
    <d v="2024-10-04T00:00:00"/>
    <x v="1"/>
    <s v="Paulo Silva"/>
    <s v="paulo.silva490@gmail.com"/>
    <s v="(58) 9 7065-9381"/>
    <x v="1"/>
    <n v="800"/>
    <n v="7"/>
    <x v="3"/>
    <x v="1"/>
    <x v="2"/>
    <m/>
  </r>
  <r>
    <n v="491"/>
    <d v="2024-10-06T00:00:00"/>
    <x v="1"/>
    <s v="Isabel Almeida"/>
    <s v="isabel.almeida491@gmail.com"/>
    <s v="(20) 9 8343-8576"/>
    <x v="2"/>
    <n v="1500"/>
    <n v="8"/>
    <x v="0"/>
    <x v="1"/>
    <x v="1"/>
    <m/>
  </r>
  <r>
    <n v="492"/>
    <d v="2024-11-01T00:00:00"/>
    <x v="9"/>
    <s v="João Pinto"/>
    <s v="joão.pinto492@gmail.com"/>
    <s v="(32) 9 8339-9591"/>
    <x v="1"/>
    <n v="1200"/>
    <n v="19"/>
    <x v="19"/>
    <x v="1"/>
    <x v="1"/>
    <m/>
  </r>
  <r>
    <n v="493"/>
    <d v="2024-01-02T00:00:00"/>
    <x v="6"/>
    <s v="Pedro Pereira"/>
    <s v="pedro.pereira493@gmail.com"/>
    <s v="(36) 9 7842-8292"/>
    <x v="2"/>
    <n v="1500"/>
    <n v="8"/>
    <x v="8"/>
    <x v="0"/>
    <x v="0"/>
    <m/>
  </r>
  <r>
    <n v="494"/>
    <d v="2024-02-26T00:00:00"/>
    <x v="8"/>
    <s v="Luís Santos"/>
    <s v="luís.santos494@gmail.com"/>
    <s v="(58) 9 8225-8141"/>
    <x v="2"/>
    <n v="1500"/>
    <n v="7"/>
    <x v="4"/>
    <x v="0"/>
    <x v="0"/>
    <m/>
  </r>
  <r>
    <n v="495"/>
    <d v="2024-10-24T00:00:00"/>
    <x v="1"/>
    <s v="Benedito Silva"/>
    <s v="benedito.silva495@gmail.com"/>
    <s v="(42) 9 8174-9060"/>
    <x v="1"/>
    <n v="1200"/>
    <n v="16"/>
    <x v="5"/>
    <x v="0"/>
    <x v="0"/>
    <m/>
  </r>
  <r>
    <n v="496"/>
    <d v="2024-06-12T00:00:00"/>
    <x v="11"/>
    <s v="João Lopes"/>
    <s v="joão.lopes496@gmail.com"/>
    <s v="(37) 9 7757-7664"/>
    <x v="1"/>
    <n v="1200"/>
    <n v="18"/>
    <x v="8"/>
    <x v="1"/>
    <x v="1"/>
    <m/>
  </r>
  <r>
    <n v="497"/>
    <d v="2024-09-10T00:00:00"/>
    <x v="4"/>
    <s v="Paulo Andrade"/>
    <s v="paulo.andrade497@gmail.com"/>
    <s v="(54) 9 7537-8704"/>
    <x v="1"/>
    <n v="800"/>
    <n v="13"/>
    <x v="10"/>
    <x v="1"/>
    <x v="2"/>
    <m/>
  </r>
  <r>
    <n v="498"/>
    <d v="2024-06-05T00:00:00"/>
    <x v="11"/>
    <s v="António Domingues"/>
    <s v="antónio.domingues498@gmail.com"/>
    <s v="(31) 9 9301-7171"/>
    <x v="1"/>
    <n v="800"/>
    <n v="13"/>
    <x v="4"/>
    <x v="0"/>
    <x v="0"/>
    <m/>
  </r>
  <r>
    <n v="499"/>
    <d v="2024-02-14T00:00:00"/>
    <x v="8"/>
    <s v="Domingos Monteiro"/>
    <s v="domingos.monteiro499@gmail.com"/>
    <s v="(10) 9 8942-7715"/>
    <x v="1"/>
    <n v="1200"/>
    <n v="7"/>
    <x v="4"/>
    <x v="1"/>
    <x v="1"/>
    <m/>
  </r>
  <r>
    <n v="500"/>
    <d v="2024-08-24T00:00:00"/>
    <x v="5"/>
    <s v="Rui Martins"/>
    <s v="rui.martins500@gmail.com"/>
    <s v="(31) 9 9956-9703"/>
    <x v="2"/>
    <n v="1500"/>
    <n v="2"/>
    <x v="1"/>
    <x v="1"/>
    <x v="1"/>
    <m/>
  </r>
  <r>
    <n v="501"/>
    <d v="2024-01-31T00:00:00"/>
    <x v="6"/>
    <s v="Samuel Fernandes"/>
    <s v="samuel.fernandes501@gmail.com"/>
    <s v="(53) 9 8582-8260"/>
    <x v="2"/>
    <n v="1500"/>
    <n v="13"/>
    <x v="4"/>
    <x v="1"/>
    <x v="3"/>
    <m/>
  </r>
  <r>
    <n v="502"/>
    <d v="2024-03-27T00:00:00"/>
    <x v="10"/>
    <s v="Rui Andrade"/>
    <s v="rui.andrade502@gmail.com"/>
    <s v="(18) 9 8824-8822"/>
    <x v="1"/>
    <n v="1200"/>
    <n v="13"/>
    <x v="16"/>
    <x v="1"/>
    <x v="3"/>
    <m/>
  </r>
  <r>
    <n v="503"/>
    <d v="2024-05-05T00:00:00"/>
    <x v="7"/>
    <s v="Helena Andrade"/>
    <s v="helena.andrade503@gmail.com"/>
    <s v="(23) 9 9039-8744"/>
    <x v="1"/>
    <n v="800"/>
    <n v="20"/>
    <x v="18"/>
    <x v="1"/>
    <x v="3"/>
    <m/>
  </r>
  <r>
    <n v="504"/>
    <d v="2024-07-23T00:00:00"/>
    <x v="3"/>
    <s v="David Almeida"/>
    <s v="david.almeida504@gmail.com"/>
    <s v="(12) 9 7791-9769"/>
    <x v="2"/>
    <n v="1500"/>
    <n v="10"/>
    <x v="6"/>
    <x v="1"/>
    <x v="2"/>
    <m/>
  </r>
  <r>
    <n v="505"/>
    <d v="2024-06-26T00:00:00"/>
    <x v="11"/>
    <s v="Carlos Costa"/>
    <s v="carlos.costa505@gmail.com"/>
    <s v="(44) 9 9819-9515"/>
    <x v="2"/>
    <n v="1500"/>
    <n v="7"/>
    <x v="10"/>
    <x v="0"/>
    <x v="0"/>
    <m/>
  </r>
  <r>
    <n v="506"/>
    <d v="2024-08-07T00:00:00"/>
    <x v="5"/>
    <s v="Rosa Rodrigues"/>
    <s v="rosa.rodrigues506@gmail.com"/>
    <s v="(51) 9 8246-7467"/>
    <x v="1"/>
    <n v="1200"/>
    <n v="8"/>
    <x v="8"/>
    <x v="1"/>
    <x v="2"/>
    <m/>
  </r>
  <r>
    <n v="507"/>
    <d v="2024-01-28T00:00:00"/>
    <x v="6"/>
    <s v="Pedro Lukeba"/>
    <s v="pedro.lukeba507@gmail.com"/>
    <s v="(17) 9 7370-9505"/>
    <x v="1"/>
    <n v="1200"/>
    <n v="16"/>
    <x v="0"/>
    <x v="0"/>
    <x v="0"/>
    <m/>
  </r>
  <r>
    <n v="508"/>
    <d v="2024-01-08T00:00:00"/>
    <x v="6"/>
    <s v="Pedro Andrade"/>
    <s v="pedro.andrade508@gmail.com"/>
    <s v="(47) 9 7698-9166"/>
    <x v="2"/>
    <n v="1500"/>
    <n v="4"/>
    <x v="7"/>
    <x v="1"/>
    <x v="3"/>
    <m/>
  </r>
  <r>
    <n v="509"/>
    <d v="2024-09-08T00:00:00"/>
    <x v="4"/>
    <s v="Ana Miguel"/>
    <s v="ana.miguel509@gmail.com"/>
    <s v="(14) 9 9168-8324"/>
    <x v="1"/>
    <n v="800"/>
    <n v="6"/>
    <x v="15"/>
    <x v="1"/>
    <x v="2"/>
    <m/>
  </r>
  <r>
    <n v="510"/>
    <d v="2024-08-06T00:00:00"/>
    <x v="5"/>
    <s v="Marta Miguel"/>
    <s v="marta.miguel510@gmail.com"/>
    <s v="(48) 9 8713-8582"/>
    <x v="2"/>
    <n v="1500"/>
    <n v="11"/>
    <x v="10"/>
    <x v="0"/>
    <x v="0"/>
    <m/>
  </r>
  <r>
    <n v="511"/>
    <d v="2024-02-21T00:00:00"/>
    <x v="8"/>
    <s v="Rui Monteiro"/>
    <s v="rui.monteiro511@gmail.com"/>
    <s v="(24) 9 8621-7185"/>
    <x v="1"/>
    <n v="800"/>
    <n v="7"/>
    <x v="15"/>
    <x v="1"/>
    <x v="1"/>
    <m/>
  </r>
  <r>
    <n v="512"/>
    <d v="2024-09-18T00:00:00"/>
    <x v="4"/>
    <s v="Mateus Monteiro"/>
    <s v="mateus.monteiro512@gmail.com"/>
    <s v="(48) 9 8653-8681"/>
    <x v="2"/>
    <n v="1500"/>
    <n v="1"/>
    <x v="7"/>
    <x v="1"/>
    <x v="2"/>
    <m/>
  </r>
  <r>
    <n v="513"/>
    <d v="2024-08-26T00:00:00"/>
    <x v="5"/>
    <s v="Marta Domingues"/>
    <s v="marta.domingues513@gmail.com"/>
    <s v="(60) 9 8774-8686"/>
    <x v="1"/>
    <n v="1200"/>
    <n v="3"/>
    <x v="7"/>
    <x v="1"/>
    <x v="2"/>
    <m/>
  </r>
  <r>
    <n v="514"/>
    <d v="2024-11-10T00:00:00"/>
    <x v="9"/>
    <s v="Manuel Silva"/>
    <s v="manuel.silva514@gmail.com"/>
    <s v="(27) 9 8527-7252"/>
    <x v="1"/>
    <n v="800"/>
    <n v="19"/>
    <x v="20"/>
    <x v="0"/>
    <x v="0"/>
    <m/>
  </r>
  <r>
    <n v="515"/>
    <d v="2024-06-15T00:00:00"/>
    <x v="11"/>
    <s v="Samuel Rodrigues"/>
    <s v="samuel.rodrigues515@gmail.com"/>
    <s v="(46) 9 9982-9979"/>
    <x v="1"/>
    <n v="800"/>
    <n v="1"/>
    <x v="14"/>
    <x v="0"/>
    <x v="0"/>
    <m/>
  </r>
  <r>
    <n v="516"/>
    <d v="2024-12-09T00:00:00"/>
    <x v="0"/>
    <s v="David Santos"/>
    <s v="david.santos516@gmail.com"/>
    <s v="(57) 9 7279-9551"/>
    <x v="1"/>
    <n v="1200"/>
    <n v="18"/>
    <x v="0"/>
    <x v="0"/>
    <x v="0"/>
    <m/>
  </r>
  <r>
    <n v="517"/>
    <d v="2024-10-15T00:00:00"/>
    <x v="1"/>
    <s v="Isabel Lopes"/>
    <s v="isabel.lopes517@gmail.com"/>
    <s v="(35) 9 7912-8763"/>
    <x v="1"/>
    <n v="1200"/>
    <n v="16"/>
    <x v="15"/>
    <x v="1"/>
    <x v="2"/>
    <m/>
  </r>
  <r>
    <n v="518"/>
    <d v="2024-06-04T00:00:00"/>
    <x v="11"/>
    <s v="Joaquim Almeida"/>
    <s v="joaquim.almeida518@gmail.com"/>
    <s v="(43) 9 7204-9904"/>
    <x v="2"/>
    <n v="1500"/>
    <n v="18"/>
    <x v="18"/>
    <x v="1"/>
    <x v="1"/>
    <m/>
  </r>
  <r>
    <n v="519"/>
    <d v="2024-06-13T00:00:00"/>
    <x v="11"/>
    <s v="Carlos Santos"/>
    <s v="carlos.santos519@gmail.com"/>
    <s v="(38) 9 7739-8734"/>
    <x v="1"/>
    <n v="800"/>
    <n v="4"/>
    <x v="18"/>
    <x v="1"/>
    <x v="3"/>
    <m/>
  </r>
  <r>
    <n v="520"/>
    <d v="2024-06-15T00:00:00"/>
    <x v="11"/>
    <s v="Teresa David"/>
    <s v="teresa.david520@gmail.com"/>
    <s v="(11) 9 9875-8202"/>
    <x v="1"/>
    <n v="1200"/>
    <n v="13"/>
    <x v="14"/>
    <x v="1"/>
    <x v="1"/>
    <m/>
  </r>
  <r>
    <n v="521"/>
    <d v="2024-03-27T00:00:00"/>
    <x v="10"/>
    <s v="Ana Pinto"/>
    <s v="ana.pinto521@gmail.com"/>
    <s v="(21) 9 7912-8427"/>
    <x v="1"/>
    <n v="1200"/>
    <n v="19"/>
    <x v="20"/>
    <x v="0"/>
    <x v="0"/>
    <m/>
  </r>
  <r>
    <n v="522"/>
    <d v="2024-12-09T00:00:00"/>
    <x v="0"/>
    <s v="Nelson Rodrigues"/>
    <s v="nelson.rodrigues522@gmail.com"/>
    <s v="(12) 9 9823-8970"/>
    <x v="1"/>
    <n v="800"/>
    <n v="3"/>
    <x v="17"/>
    <x v="0"/>
    <x v="0"/>
    <m/>
  </r>
  <r>
    <n v="523"/>
    <d v="2024-01-18T00:00:00"/>
    <x v="6"/>
    <s v="João Gomes"/>
    <s v="joão.gomes523@gmail.com"/>
    <s v="(53) 9 7869-9356"/>
    <x v="1"/>
    <n v="800"/>
    <n v="6"/>
    <x v="10"/>
    <x v="1"/>
    <x v="1"/>
    <m/>
  </r>
  <r>
    <n v="524"/>
    <d v="2024-01-26T00:00:00"/>
    <x v="6"/>
    <s v="Ana Soares"/>
    <s v="ana.soares524@gmail.com"/>
    <s v="(44) 9 9272-9642"/>
    <x v="1"/>
    <n v="1200"/>
    <n v="3"/>
    <x v="7"/>
    <x v="1"/>
    <x v="2"/>
    <m/>
  </r>
  <r>
    <n v="525"/>
    <d v="2024-08-09T00:00:00"/>
    <x v="5"/>
    <s v="João Costa"/>
    <s v="joão.costa525@gmail.com"/>
    <s v="(52) 9 8261-8887"/>
    <x v="1"/>
    <n v="800"/>
    <n v="2"/>
    <x v="19"/>
    <x v="0"/>
    <x v="0"/>
    <m/>
  </r>
  <r>
    <n v="526"/>
    <d v="2024-03-23T00:00:00"/>
    <x v="10"/>
    <s v="Mateus Andrade"/>
    <s v="mateus.andrade526@gmail.com"/>
    <s v="(32) 9 8266-7236"/>
    <x v="2"/>
    <n v="1500"/>
    <n v="4"/>
    <x v="0"/>
    <x v="1"/>
    <x v="2"/>
    <m/>
  </r>
  <r>
    <n v="527"/>
    <d v="2024-09-05T00:00:00"/>
    <x v="4"/>
    <s v="Samuel Miguel"/>
    <s v="samuel.miguel527@gmail.com"/>
    <s v="(39) 9 9640-9564"/>
    <x v="1"/>
    <n v="800"/>
    <n v="3"/>
    <x v="20"/>
    <x v="1"/>
    <x v="1"/>
    <m/>
  </r>
  <r>
    <n v="528"/>
    <d v="2024-10-05T00:00:00"/>
    <x v="1"/>
    <s v="Carlos Monteiro"/>
    <s v="carlos.monteiro528@gmail.com"/>
    <s v="(26) 9 7033-8051"/>
    <x v="1"/>
    <n v="800"/>
    <n v="15"/>
    <x v="14"/>
    <x v="1"/>
    <x v="3"/>
    <m/>
  </r>
  <r>
    <n v="529"/>
    <d v="2024-11-28T00:00:00"/>
    <x v="9"/>
    <s v="Joaquim Costa"/>
    <s v="joaquim.costa529@gmail.com"/>
    <s v="(50) 9 7978-9769"/>
    <x v="1"/>
    <n v="800"/>
    <n v="14"/>
    <x v="2"/>
    <x v="0"/>
    <x v="0"/>
    <m/>
  </r>
  <r>
    <n v="530"/>
    <d v="2024-06-10T00:00:00"/>
    <x v="11"/>
    <s v="Helena Andrade"/>
    <s v="helena.andrade530@gmail.com"/>
    <s v="(56) 9 9390-7389"/>
    <x v="1"/>
    <n v="1200"/>
    <n v="15"/>
    <x v="12"/>
    <x v="1"/>
    <x v="3"/>
    <m/>
  </r>
  <r>
    <n v="531"/>
    <d v="2024-01-20T00:00:00"/>
    <x v="6"/>
    <s v="Mateus David"/>
    <s v="mateus.david531@gmail.com"/>
    <s v="(31) 9 8650-9511"/>
    <x v="2"/>
    <n v="1500"/>
    <n v="6"/>
    <x v="19"/>
    <x v="1"/>
    <x v="2"/>
    <m/>
  </r>
  <r>
    <n v="532"/>
    <d v="2024-02-06T00:00:00"/>
    <x v="8"/>
    <s v="Pedro Pereira"/>
    <s v="pedro.pereira532@gmail.com"/>
    <s v="(42) 9 7701-9901"/>
    <x v="1"/>
    <n v="1200"/>
    <n v="17"/>
    <x v="12"/>
    <x v="0"/>
    <x v="0"/>
    <m/>
  </r>
  <r>
    <n v="533"/>
    <d v="2024-03-28T00:00:00"/>
    <x v="10"/>
    <s v="Pedro Pereira"/>
    <s v="pedro.pereira533@gmail.com"/>
    <s v="(39) 9 7606-9127"/>
    <x v="1"/>
    <n v="800"/>
    <n v="10"/>
    <x v="16"/>
    <x v="1"/>
    <x v="1"/>
    <m/>
  </r>
  <r>
    <n v="534"/>
    <d v="2024-03-30T00:00:00"/>
    <x v="10"/>
    <s v="Luís Lukeba"/>
    <s v="luís.lukeba534@gmail.com"/>
    <s v="(20) 9 8005-9060"/>
    <x v="1"/>
    <n v="800"/>
    <n v="12"/>
    <x v="18"/>
    <x v="1"/>
    <x v="2"/>
    <m/>
  </r>
  <r>
    <n v="535"/>
    <d v="2024-07-21T00:00:00"/>
    <x v="3"/>
    <s v="Ana Domingues"/>
    <s v="ana.domingues535@gmail.com"/>
    <s v="(55) 9 7700-8836"/>
    <x v="2"/>
    <n v="1500"/>
    <n v="4"/>
    <x v="13"/>
    <x v="1"/>
    <x v="1"/>
    <m/>
  </r>
  <r>
    <n v="536"/>
    <d v="2024-05-21T00:00:00"/>
    <x v="7"/>
    <s v="Rosa Fernandes"/>
    <s v="rosa.fernandes536@gmail.com"/>
    <s v="(32) 9 9569-8743"/>
    <x v="1"/>
    <n v="800"/>
    <n v="2"/>
    <x v="11"/>
    <x v="1"/>
    <x v="3"/>
    <m/>
  </r>
  <r>
    <n v="537"/>
    <d v="2024-10-05T00:00:00"/>
    <x v="1"/>
    <s v="David Lopes"/>
    <s v="david.lopes537@gmail.com"/>
    <s v="(52) 9 7541-8398"/>
    <x v="2"/>
    <n v="1500"/>
    <n v="2"/>
    <x v="18"/>
    <x v="1"/>
    <x v="3"/>
    <m/>
  </r>
  <r>
    <n v="538"/>
    <d v="2024-08-19T00:00:00"/>
    <x v="5"/>
    <s v="Ana Pinto"/>
    <s v="ana.pinto538@gmail.com"/>
    <s v="(27) 9 8332-7461"/>
    <x v="2"/>
    <n v="1500"/>
    <n v="12"/>
    <x v="11"/>
    <x v="1"/>
    <x v="3"/>
    <m/>
  </r>
  <r>
    <n v="539"/>
    <d v="2024-04-12T00:00:00"/>
    <x v="2"/>
    <s v="Pedro Santos"/>
    <s v="pedro.santos539@gmail.com"/>
    <s v="(16) 9 9294-9878"/>
    <x v="1"/>
    <n v="1200"/>
    <n v="19"/>
    <x v="7"/>
    <x v="1"/>
    <x v="3"/>
    <m/>
  </r>
  <r>
    <n v="540"/>
    <d v="2024-07-11T00:00:00"/>
    <x v="3"/>
    <s v="Domingos David"/>
    <s v="domingos.david540@gmail.com"/>
    <s v="(31) 9 7826-9971"/>
    <x v="1"/>
    <n v="1200"/>
    <n v="13"/>
    <x v="9"/>
    <x v="1"/>
    <x v="1"/>
    <m/>
  </r>
  <r>
    <n v="541"/>
    <d v="2024-08-27T00:00:00"/>
    <x v="5"/>
    <s v="José Pereira"/>
    <s v="josé.pereira541@gmail.com"/>
    <s v="(15) 9 8372-9591"/>
    <x v="1"/>
    <n v="1200"/>
    <n v="9"/>
    <x v="14"/>
    <x v="1"/>
    <x v="2"/>
    <m/>
  </r>
  <r>
    <n v="542"/>
    <d v="2024-10-31T00:00:00"/>
    <x v="1"/>
    <s v="Isabel Pereira"/>
    <s v="isabel.pereira542@gmail.com"/>
    <s v="(45) 9 7861-9625"/>
    <x v="2"/>
    <n v="1500"/>
    <n v="11"/>
    <x v="4"/>
    <x v="1"/>
    <x v="2"/>
    <m/>
  </r>
  <r>
    <n v="543"/>
    <d v="2024-11-08T00:00:00"/>
    <x v="9"/>
    <s v="Marta David"/>
    <s v="marta.david543@gmail.com"/>
    <s v="(34) 9 8949-7015"/>
    <x v="1"/>
    <n v="1200"/>
    <n v="11"/>
    <x v="3"/>
    <x v="0"/>
    <x v="0"/>
    <m/>
  </r>
  <r>
    <n v="544"/>
    <d v="2024-05-30T00:00:00"/>
    <x v="7"/>
    <s v="Ana Andrade"/>
    <s v="ana.andrade544@gmail.com"/>
    <s v="(20) 9 9855-8441"/>
    <x v="1"/>
    <n v="1200"/>
    <n v="13"/>
    <x v="12"/>
    <x v="1"/>
    <x v="2"/>
    <m/>
  </r>
  <r>
    <n v="545"/>
    <d v="2024-03-20T00:00:00"/>
    <x v="10"/>
    <s v="Manuel Silva"/>
    <s v="manuel.silva545@gmail.com"/>
    <s v="(19) 9 8445-8432"/>
    <x v="1"/>
    <n v="1200"/>
    <n v="13"/>
    <x v="11"/>
    <x v="1"/>
    <x v="1"/>
    <m/>
  </r>
  <r>
    <n v="546"/>
    <d v="2024-01-25T00:00:00"/>
    <x v="6"/>
    <s v="Rui Lopes"/>
    <s v="rui.lopes546@gmail.com"/>
    <s v="(26) 9 8565-7930"/>
    <x v="1"/>
    <n v="800"/>
    <n v="2"/>
    <x v="10"/>
    <x v="1"/>
    <x v="3"/>
    <m/>
  </r>
  <r>
    <n v="547"/>
    <d v="2024-02-20T00:00:00"/>
    <x v="8"/>
    <s v="João David"/>
    <s v="joão.david547@gmail.com"/>
    <s v="(36) 9 8744-7504"/>
    <x v="2"/>
    <n v="1500"/>
    <n v="18"/>
    <x v="17"/>
    <x v="1"/>
    <x v="1"/>
    <m/>
  </r>
  <r>
    <n v="548"/>
    <d v="2024-05-22T00:00:00"/>
    <x v="7"/>
    <s v="Sofia Martins"/>
    <s v="sofia.martins548@gmail.com"/>
    <s v="(45) 9 7328-7893"/>
    <x v="1"/>
    <n v="1200"/>
    <n v="5"/>
    <x v="0"/>
    <x v="0"/>
    <x v="0"/>
    <m/>
  </r>
  <r>
    <n v="549"/>
    <d v="2024-03-01T00:00:00"/>
    <x v="10"/>
    <s v="Cláudia Costa"/>
    <s v="cláudia.costa549@gmail.com"/>
    <s v="(37) 9 9632-7196"/>
    <x v="1"/>
    <n v="1200"/>
    <n v="3"/>
    <x v="2"/>
    <x v="1"/>
    <x v="3"/>
    <m/>
  </r>
  <r>
    <n v="550"/>
    <d v="2024-01-28T00:00:00"/>
    <x v="6"/>
    <s v="António Costa"/>
    <s v="antónio.costa550@gmail.com"/>
    <s v="(54) 9 7411-8609"/>
    <x v="2"/>
    <n v="1500"/>
    <n v="5"/>
    <x v="12"/>
    <x v="1"/>
    <x v="2"/>
    <m/>
  </r>
  <r>
    <n v="551"/>
    <d v="2024-04-12T00:00:00"/>
    <x v="2"/>
    <s v="Nelson Soares"/>
    <s v="nelson.soares551@gmail.com"/>
    <s v="(21) 9 9100-7414"/>
    <x v="2"/>
    <n v="1500"/>
    <n v="19"/>
    <x v="0"/>
    <x v="0"/>
    <x v="0"/>
    <m/>
  </r>
  <r>
    <n v="552"/>
    <d v="2024-10-02T00:00:00"/>
    <x v="1"/>
    <s v="Fátima Pinto"/>
    <s v="fátima.pinto552@gmail.com"/>
    <s v="(28) 9 8439-7519"/>
    <x v="2"/>
    <n v="1500"/>
    <n v="3"/>
    <x v="3"/>
    <x v="1"/>
    <x v="3"/>
    <m/>
  </r>
  <r>
    <n v="553"/>
    <d v="2024-07-21T00:00:00"/>
    <x v="3"/>
    <s v="Mateus Fernandes"/>
    <s v="mateus.fernandes553@gmail.com"/>
    <s v="(52) 9 8340-9744"/>
    <x v="2"/>
    <n v="1500"/>
    <n v="4"/>
    <x v="18"/>
    <x v="1"/>
    <x v="1"/>
    <m/>
  </r>
  <r>
    <n v="554"/>
    <d v="2024-10-17T00:00:00"/>
    <x v="1"/>
    <s v="Bruno Soares"/>
    <s v="bruno.soares554@gmail.com"/>
    <s v="(23) 9 9917-7921"/>
    <x v="1"/>
    <n v="1200"/>
    <n v="15"/>
    <x v="16"/>
    <x v="1"/>
    <x v="2"/>
    <m/>
  </r>
  <r>
    <n v="555"/>
    <d v="2024-06-09T00:00:00"/>
    <x v="11"/>
    <s v="Rosa Miguel"/>
    <s v="rosa.miguel555@gmail.com"/>
    <s v="(51) 9 7639-9707"/>
    <x v="2"/>
    <n v="1500"/>
    <n v="16"/>
    <x v="1"/>
    <x v="1"/>
    <x v="1"/>
    <m/>
  </r>
  <r>
    <n v="556"/>
    <d v="2024-03-12T00:00:00"/>
    <x v="10"/>
    <s v="Daniel Fernandes"/>
    <s v="daniel.fernandes556@gmail.com"/>
    <s v="(54) 9 9312-7466"/>
    <x v="1"/>
    <n v="1200"/>
    <n v="10"/>
    <x v="15"/>
    <x v="1"/>
    <x v="3"/>
    <m/>
  </r>
  <r>
    <n v="557"/>
    <d v="2024-10-08T00:00:00"/>
    <x v="1"/>
    <s v="Adriano Silva"/>
    <s v="adriano.silva557@gmail.com"/>
    <s v="(33) 9 7906-9869"/>
    <x v="1"/>
    <n v="800"/>
    <n v="20"/>
    <x v="10"/>
    <x v="0"/>
    <x v="0"/>
    <m/>
  </r>
  <r>
    <n v="558"/>
    <d v="2024-07-02T00:00:00"/>
    <x v="3"/>
    <s v="Pedro Lopes"/>
    <s v="pedro.lopes558@gmail.com"/>
    <s v="(13) 9 9891-7769"/>
    <x v="1"/>
    <n v="800"/>
    <n v="4"/>
    <x v="0"/>
    <x v="1"/>
    <x v="1"/>
    <m/>
  </r>
  <r>
    <n v="559"/>
    <d v="2024-12-20T00:00:00"/>
    <x v="0"/>
    <s v="Rui Domingues"/>
    <s v="rui.domingues559@gmail.com"/>
    <s v="(12) 9 7243-9313"/>
    <x v="1"/>
    <n v="800"/>
    <n v="2"/>
    <x v="17"/>
    <x v="1"/>
    <x v="3"/>
    <m/>
  </r>
  <r>
    <n v="560"/>
    <d v="2024-01-26T00:00:00"/>
    <x v="6"/>
    <s v="João Andrade"/>
    <s v="joão.andrade560@gmail.com"/>
    <s v="(46) 9 9769-9176"/>
    <x v="1"/>
    <n v="800"/>
    <n v="10"/>
    <x v="3"/>
    <x v="1"/>
    <x v="3"/>
    <m/>
  </r>
  <r>
    <n v="561"/>
    <d v="2024-10-29T00:00:00"/>
    <x v="1"/>
    <s v="Cláudia Andrade"/>
    <s v="cláudia.andrade561@gmail.com"/>
    <s v="(37) 9 9290-9911"/>
    <x v="1"/>
    <n v="800"/>
    <n v="13"/>
    <x v="4"/>
    <x v="1"/>
    <x v="1"/>
    <m/>
  </r>
  <r>
    <n v="562"/>
    <d v="2024-10-20T00:00:00"/>
    <x v="1"/>
    <s v="Maria Monteiro"/>
    <s v="maria.monteiro562@gmail.com"/>
    <s v="(11) 9 7260-8874"/>
    <x v="2"/>
    <n v="1500"/>
    <n v="16"/>
    <x v="3"/>
    <x v="1"/>
    <x v="1"/>
    <m/>
  </r>
  <r>
    <n v="563"/>
    <d v="2024-09-02T00:00:00"/>
    <x v="4"/>
    <s v="Mateus Pereira"/>
    <s v="mateus.pereira563@gmail.com"/>
    <s v="(36) 9 8165-9293"/>
    <x v="2"/>
    <n v="1500"/>
    <n v="1"/>
    <x v="1"/>
    <x v="1"/>
    <x v="3"/>
    <m/>
  </r>
  <r>
    <n v="564"/>
    <d v="2024-08-20T00:00:00"/>
    <x v="5"/>
    <s v="Marta Lukeba"/>
    <s v="marta.lukeba564@gmail.com"/>
    <s v="(29) 9 9987-8383"/>
    <x v="2"/>
    <n v="1500"/>
    <n v="6"/>
    <x v="3"/>
    <x v="1"/>
    <x v="1"/>
    <m/>
  </r>
  <r>
    <n v="565"/>
    <d v="2024-09-17T00:00:00"/>
    <x v="4"/>
    <s v="António Tavares"/>
    <s v="antónio.tavares565@gmail.com"/>
    <s v="(40) 9 8293-7346"/>
    <x v="1"/>
    <n v="1200"/>
    <n v="11"/>
    <x v="13"/>
    <x v="1"/>
    <x v="3"/>
    <m/>
  </r>
  <r>
    <n v="566"/>
    <d v="2024-12-28T00:00:00"/>
    <x v="0"/>
    <s v="Daniel Monteiro"/>
    <s v="daniel.monteiro566@gmail.com"/>
    <s v="(25) 9 8968-7729"/>
    <x v="1"/>
    <n v="800"/>
    <n v="5"/>
    <x v="10"/>
    <x v="0"/>
    <x v="0"/>
    <m/>
  </r>
  <r>
    <n v="567"/>
    <d v="2024-05-10T00:00:00"/>
    <x v="7"/>
    <s v="Fátima Pereira"/>
    <s v="fátima.pereira567@gmail.com"/>
    <s v="(48) 9 9404-9747"/>
    <x v="1"/>
    <n v="800"/>
    <n v="20"/>
    <x v="4"/>
    <x v="1"/>
    <x v="3"/>
    <m/>
  </r>
  <r>
    <n v="568"/>
    <d v="2024-10-10T00:00:00"/>
    <x v="1"/>
    <s v="Daniel Martins"/>
    <s v="daniel.martins568@gmail.com"/>
    <s v="(28) 9 7906-7838"/>
    <x v="1"/>
    <n v="1200"/>
    <n v="11"/>
    <x v="18"/>
    <x v="1"/>
    <x v="1"/>
    <m/>
  </r>
  <r>
    <n v="569"/>
    <d v="2024-12-03T00:00:00"/>
    <x v="0"/>
    <s v="Sofia Pinto"/>
    <s v="sofia.pinto569@gmail.com"/>
    <s v="(13) 9 8792-8414"/>
    <x v="1"/>
    <n v="1200"/>
    <n v="20"/>
    <x v="5"/>
    <x v="1"/>
    <x v="1"/>
    <m/>
  </r>
  <r>
    <n v="570"/>
    <d v="2024-10-17T00:00:00"/>
    <x v="1"/>
    <s v="Rui Silva"/>
    <s v="rui.silva570@gmail.com"/>
    <s v="(26) 9 9263-9463"/>
    <x v="1"/>
    <n v="1200"/>
    <n v="5"/>
    <x v="9"/>
    <x v="1"/>
    <x v="2"/>
    <m/>
  </r>
  <r>
    <n v="571"/>
    <d v="2024-05-31T00:00:00"/>
    <x v="7"/>
    <s v="Maria Martins"/>
    <s v="maria.martins571@gmail.com"/>
    <s v="(35) 9 7331-9875"/>
    <x v="1"/>
    <n v="800"/>
    <n v="9"/>
    <x v="14"/>
    <x v="1"/>
    <x v="2"/>
    <m/>
  </r>
  <r>
    <n v="572"/>
    <d v="2024-09-15T00:00:00"/>
    <x v="4"/>
    <s v="Rui Santos"/>
    <s v="rui.santos572@gmail.com"/>
    <s v="(31) 9 9070-9590"/>
    <x v="1"/>
    <n v="800"/>
    <n v="13"/>
    <x v="13"/>
    <x v="1"/>
    <x v="2"/>
    <m/>
  </r>
  <r>
    <n v="573"/>
    <d v="2024-05-17T00:00:00"/>
    <x v="7"/>
    <s v="Carlos Barbosa"/>
    <s v="carlos.barbosa573@gmail.com"/>
    <s v="(10) 9 8772-8210"/>
    <x v="2"/>
    <n v="1500"/>
    <n v="14"/>
    <x v="12"/>
    <x v="1"/>
    <x v="3"/>
    <m/>
  </r>
  <r>
    <n v="574"/>
    <d v="2024-02-14T00:00:00"/>
    <x v="8"/>
    <s v="Pedro David"/>
    <s v="pedro.david574@gmail.com"/>
    <s v="(30) 9 9763-9358"/>
    <x v="1"/>
    <n v="1200"/>
    <n v="10"/>
    <x v="7"/>
    <x v="1"/>
    <x v="2"/>
    <m/>
  </r>
  <r>
    <n v="575"/>
    <d v="2024-01-23T00:00:00"/>
    <x v="6"/>
    <s v="Adriano Santos"/>
    <s v="adriano.santos575@gmail.com"/>
    <s v="(35) 9 8321-9503"/>
    <x v="2"/>
    <n v="1500"/>
    <n v="15"/>
    <x v="17"/>
    <x v="1"/>
    <x v="2"/>
    <m/>
  </r>
  <r>
    <n v="576"/>
    <d v="2024-09-30T00:00:00"/>
    <x v="4"/>
    <s v="Adriano Soares"/>
    <s v="adriano.soares576@gmail.com"/>
    <s v="(21) 9 9480-8574"/>
    <x v="1"/>
    <n v="1200"/>
    <n v="17"/>
    <x v="15"/>
    <x v="1"/>
    <x v="3"/>
    <m/>
  </r>
  <r>
    <n v="577"/>
    <d v="2024-07-31T00:00:00"/>
    <x v="3"/>
    <s v="Ana Martins"/>
    <s v="ana.martins577@gmail.com"/>
    <s v="(48) 9 7155-9488"/>
    <x v="2"/>
    <n v="1500"/>
    <n v="11"/>
    <x v="13"/>
    <x v="1"/>
    <x v="3"/>
    <m/>
  </r>
  <r>
    <n v="578"/>
    <d v="2024-04-26T00:00:00"/>
    <x v="2"/>
    <s v="Fátima Martins"/>
    <s v="fátima.martins578@gmail.com"/>
    <s v="(47) 9 9847-9344"/>
    <x v="1"/>
    <n v="1200"/>
    <n v="7"/>
    <x v="3"/>
    <x v="1"/>
    <x v="2"/>
    <m/>
  </r>
  <r>
    <n v="579"/>
    <d v="2024-04-08T00:00:00"/>
    <x v="2"/>
    <s v="Bruno Martins"/>
    <s v="bruno.martins579@gmail.com"/>
    <s v="(60) 9 7556-8121"/>
    <x v="1"/>
    <n v="1200"/>
    <n v="19"/>
    <x v="2"/>
    <x v="1"/>
    <x v="2"/>
    <m/>
  </r>
  <r>
    <n v="580"/>
    <d v="2024-06-18T00:00:00"/>
    <x v="11"/>
    <s v="Bruno Lopes"/>
    <s v="bruno.lopes580@gmail.com"/>
    <s v="(30) 9 8067-8394"/>
    <x v="1"/>
    <n v="800"/>
    <n v="13"/>
    <x v="10"/>
    <x v="0"/>
    <x v="0"/>
    <m/>
  </r>
  <r>
    <n v="581"/>
    <d v="2024-03-31T00:00:00"/>
    <x v="10"/>
    <s v="Domingos Lukeba"/>
    <s v="domingos.lukeba581@gmail.com"/>
    <s v="(14) 9 7256-8337"/>
    <x v="1"/>
    <n v="1200"/>
    <n v="11"/>
    <x v="3"/>
    <x v="1"/>
    <x v="2"/>
    <m/>
  </r>
  <r>
    <n v="582"/>
    <d v="2024-04-03T00:00:00"/>
    <x v="2"/>
    <s v="Mateus Barbosa"/>
    <s v="mateus.barbosa582@gmail.com"/>
    <s v="(31) 9 7078-7625"/>
    <x v="1"/>
    <n v="1200"/>
    <n v="20"/>
    <x v="15"/>
    <x v="0"/>
    <x v="0"/>
    <m/>
  </r>
  <r>
    <n v="583"/>
    <d v="2024-08-06T00:00:00"/>
    <x v="5"/>
    <s v="João Tavares"/>
    <s v="joão.tavares583@gmail.com"/>
    <s v="(13) 9 7560-7581"/>
    <x v="1"/>
    <n v="800"/>
    <n v="17"/>
    <x v="17"/>
    <x v="1"/>
    <x v="2"/>
    <m/>
  </r>
  <r>
    <n v="584"/>
    <d v="2024-10-29T00:00:00"/>
    <x v="1"/>
    <s v="Cláudia Rodrigues"/>
    <s v="cláudia.rodrigues584@gmail.com"/>
    <s v="(15) 9 7004-7185"/>
    <x v="1"/>
    <n v="800"/>
    <n v="6"/>
    <x v="19"/>
    <x v="1"/>
    <x v="2"/>
    <m/>
  </r>
  <r>
    <n v="585"/>
    <d v="2024-05-25T00:00:00"/>
    <x v="7"/>
    <s v="Daniel Miguel"/>
    <s v="daniel.miguel585@gmail.com"/>
    <s v="(47) 9 9847-7446"/>
    <x v="1"/>
    <n v="1200"/>
    <n v="14"/>
    <x v="18"/>
    <x v="1"/>
    <x v="2"/>
    <m/>
  </r>
  <r>
    <n v="586"/>
    <d v="2024-10-11T00:00:00"/>
    <x v="1"/>
    <s v="Teresa Pereira"/>
    <s v="teresa.pereira586@gmail.com"/>
    <s v="(15) 9 7975-8222"/>
    <x v="1"/>
    <n v="800"/>
    <n v="5"/>
    <x v="0"/>
    <x v="1"/>
    <x v="2"/>
    <m/>
  </r>
  <r>
    <n v="587"/>
    <d v="2024-06-03T00:00:00"/>
    <x v="11"/>
    <s v="Helena Tavares"/>
    <s v="helena.tavares587@gmail.com"/>
    <s v="(60) 9 9641-9929"/>
    <x v="2"/>
    <n v="1500"/>
    <n v="11"/>
    <x v="7"/>
    <x v="1"/>
    <x v="3"/>
    <m/>
  </r>
  <r>
    <n v="588"/>
    <d v="2024-09-19T00:00:00"/>
    <x v="4"/>
    <s v="Carlos Almeida"/>
    <s v="carlos.almeida588@gmail.com"/>
    <s v="(12) 9 7946-8541"/>
    <x v="2"/>
    <n v="1500"/>
    <n v="2"/>
    <x v="0"/>
    <x v="1"/>
    <x v="2"/>
    <m/>
  </r>
  <r>
    <n v="589"/>
    <d v="2024-05-01T00:00:00"/>
    <x v="7"/>
    <s v="Manuel Silva"/>
    <s v="manuel.silva589@gmail.com"/>
    <s v="(56) 9 8830-8399"/>
    <x v="1"/>
    <n v="800"/>
    <n v="14"/>
    <x v="1"/>
    <x v="1"/>
    <x v="1"/>
    <m/>
  </r>
  <r>
    <n v="590"/>
    <d v="2024-02-10T00:00:00"/>
    <x v="8"/>
    <s v="Ana Monteiro"/>
    <s v="ana.monteiro590@gmail.com"/>
    <s v="(22) 9 9417-9207"/>
    <x v="1"/>
    <n v="1200"/>
    <n v="10"/>
    <x v="11"/>
    <x v="1"/>
    <x v="2"/>
    <m/>
  </r>
  <r>
    <n v="591"/>
    <d v="2024-03-18T00:00:00"/>
    <x v="10"/>
    <s v="Nelson Pinto"/>
    <s v="nelson.pinto591@gmail.com"/>
    <s v="(59) 9 9663-9377"/>
    <x v="2"/>
    <n v="1500"/>
    <n v="9"/>
    <x v="13"/>
    <x v="1"/>
    <x v="2"/>
    <m/>
  </r>
  <r>
    <n v="592"/>
    <d v="2024-09-15T00:00:00"/>
    <x v="4"/>
    <s v="Mateus Andrade"/>
    <s v="mateus.andrade592@gmail.com"/>
    <s v="(35) 9 8673-7531"/>
    <x v="1"/>
    <n v="1200"/>
    <n v="1"/>
    <x v="14"/>
    <x v="1"/>
    <x v="1"/>
    <m/>
  </r>
  <r>
    <n v="593"/>
    <d v="2024-07-21T00:00:00"/>
    <x v="3"/>
    <s v="Joaquim Miguel"/>
    <s v="joaquim.miguel593@gmail.com"/>
    <s v="(11) 9 8370-9394"/>
    <x v="1"/>
    <n v="1200"/>
    <n v="7"/>
    <x v="14"/>
    <x v="1"/>
    <x v="3"/>
    <m/>
  </r>
  <r>
    <n v="594"/>
    <d v="2024-08-19T00:00:00"/>
    <x v="5"/>
    <s v="Helena Soares"/>
    <s v="helena.soares594@gmail.com"/>
    <s v="(60) 9 7562-9034"/>
    <x v="1"/>
    <n v="1200"/>
    <n v="2"/>
    <x v="10"/>
    <x v="0"/>
    <x v="0"/>
    <m/>
  </r>
  <r>
    <n v="595"/>
    <d v="2024-03-02T00:00:00"/>
    <x v="10"/>
    <s v="Isabel Miguel"/>
    <s v="isabel.miguel595@gmail.com"/>
    <s v="(27) 9 7363-7258"/>
    <x v="1"/>
    <n v="800"/>
    <n v="11"/>
    <x v="19"/>
    <x v="0"/>
    <x v="0"/>
    <m/>
  </r>
  <r>
    <n v="596"/>
    <d v="2024-03-18T00:00:00"/>
    <x v="10"/>
    <s v="Ana Soares"/>
    <s v="ana.soares596@gmail.com"/>
    <s v="(21) 9 8669-9628"/>
    <x v="2"/>
    <n v="1500"/>
    <n v="9"/>
    <x v="1"/>
    <x v="1"/>
    <x v="3"/>
    <m/>
  </r>
  <r>
    <n v="597"/>
    <d v="2024-09-25T00:00:00"/>
    <x v="4"/>
    <s v="Samuel Rodrigues"/>
    <s v="samuel.rodrigues597@gmail.com"/>
    <s v="(20) 9 9988-8394"/>
    <x v="1"/>
    <n v="1200"/>
    <n v="16"/>
    <x v="1"/>
    <x v="1"/>
    <x v="3"/>
    <m/>
  </r>
  <r>
    <n v="598"/>
    <d v="2024-08-12T00:00:00"/>
    <x v="5"/>
    <s v="Daniel Tavares"/>
    <s v="daniel.tavares598@gmail.com"/>
    <s v="(13) 9 7148-8360"/>
    <x v="1"/>
    <n v="1200"/>
    <n v="17"/>
    <x v="13"/>
    <x v="0"/>
    <x v="0"/>
    <m/>
  </r>
  <r>
    <n v="599"/>
    <d v="2024-08-11T00:00:00"/>
    <x v="5"/>
    <s v="Luís Tavares"/>
    <s v="luís.tavares599@gmail.com"/>
    <s v="(24) 9 7653-7734"/>
    <x v="1"/>
    <n v="800"/>
    <n v="9"/>
    <x v="5"/>
    <x v="1"/>
    <x v="1"/>
    <m/>
  </r>
  <r>
    <n v="600"/>
    <d v="2024-10-31T00:00:00"/>
    <x v="1"/>
    <s v="Manuel David"/>
    <s v="manuel.david600@gmail.com"/>
    <s v="(57) 9 7780-8420"/>
    <x v="1"/>
    <n v="1200"/>
    <n v="16"/>
    <x v="14"/>
    <x v="0"/>
    <x v="0"/>
    <m/>
  </r>
  <r>
    <n v="601"/>
    <d v="2024-04-26T00:00:00"/>
    <x v="2"/>
    <s v="Samuel Monteiro"/>
    <s v="samuel.monteiro601@gmail.com"/>
    <s v="(19) 9 9258-7483"/>
    <x v="2"/>
    <n v="1500"/>
    <n v="13"/>
    <x v="12"/>
    <x v="1"/>
    <x v="1"/>
    <m/>
  </r>
  <r>
    <n v="602"/>
    <d v="2024-05-26T00:00:00"/>
    <x v="7"/>
    <s v="Domingos Fernandes"/>
    <s v="domingos.fernandes602@gmail.com"/>
    <s v="(60) 9 8347-9277"/>
    <x v="1"/>
    <n v="800"/>
    <n v="7"/>
    <x v="8"/>
    <x v="1"/>
    <x v="3"/>
    <m/>
  </r>
  <r>
    <n v="603"/>
    <d v="2024-08-18T00:00:00"/>
    <x v="5"/>
    <s v="Benedito Lopes"/>
    <s v="benedito.lopes603@gmail.com"/>
    <s v="(42) 9 7218-7150"/>
    <x v="1"/>
    <n v="800"/>
    <n v="18"/>
    <x v="16"/>
    <x v="0"/>
    <x v="0"/>
    <m/>
  </r>
  <r>
    <n v="604"/>
    <d v="2024-04-08T00:00:00"/>
    <x v="2"/>
    <s v="José Costa"/>
    <s v="josé.costa604@gmail.com"/>
    <s v="(23) 9 9953-8702"/>
    <x v="1"/>
    <n v="1200"/>
    <n v="13"/>
    <x v="12"/>
    <x v="1"/>
    <x v="1"/>
    <m/>
  </r>
  <r>
    <n v="605"/>
    <d v="2024-02-22T00:00:00"/>
    <x v="8"/>
    <s v="Domingos Costa"/>
    <s v="domingos.costa605@gmail.com"/>
    <s v="(36) 9 8280-9425"/>
    <x v="1"/>
    <n v="1200"/>
    <n v="14"/>
    <x v="10"/>
    <x v="0"/>
    <x v="0"/>
    <m/>
  </r>
  <r>
    <n v="606"/>
    <d v="2024-01-25T00:00:00"/>
    <x v="6"/>
    <s v="Daniel Gomes"/>
    <s v="daniel.gomes606@gmail.com"/>
    <s v="(24) 9 9565-7324"/>
    <x v="1"/>
    <n v="1200"/>
    <n v="14"/>
    <x v="19"/>
    <x v="1"/>
    <x v="3"/>
    <m/>
  </r>
  <r>
    <n v="607"/>
    <d v="2024-10-13T00:00:00"/>
    <x v="1"/>
    <s v="José Barbosa"/>
    <s v="josé.barbosa607@gmail.com"/>
    <s v="(45) 9 9224-7787"/>
    <x v="1"/>
    <n v="800"/>
    <n v="16"/>
    <x v="4"/>
    <x v="1"/>
    <x v="2"/>
    <m/>
  </r>
  <r>
    <n v="608"/>
    <d v="2024-01-15T00:00:00"/>
    <x v="6"/>
    <s v="Pedro Soares"/>
    <s v="pedro.soares608@gmail.com"/>
    <s v="(37) 9 9892-8767"/>
    <x v="1"/>
    <n v="800"/>
    <n v="10"/>
    <x v="16"/>
    <x v="1"/>
    <x v="3"/>
    <m/>
  </r>
  <r>
    <n v="609"/>
    <d v="2024-06-20T00:00:00"/>
    <x v="11"/>
    <s v="Paulo Andrade"/>
    <s v="paulo.andrade609@gmail.com"/>
    <s v="(19) 9 8941-8165"/>
    <x v="2"/>
    <n v="1500"/>
    <n v="3"/>
    <x v="1"/>
    <x v="1"/>
    <x v="2"/>
    <m/>
  </r>
  <r>
    <n v="610"/>
    <d v="2024-08-18T00:00:00"/>
    <x v="5"/>
    <s v="José Silva"/>
    <s v="josé.silva610@gmail.com"/>
    <s v="(37) 9 9724-9679"/>
    <x v="2"/>
    <n v="1500"/>
    <n v="5"/>
    <x v="17"/>
    <x v="0"/>
    <x v="0"/>
    <m/>
  </r>
  <r>
    <n v="611"/>
    <d v="2024-01-05T00:00:00"/>
    <x v="6"/>
    <s v="Isabel Costa"/>
    <s v="isabel.costa611@gmail.com"/>
    <s v="(46) 9 7061-7412"/>
    <x v="1"/>
    <n v="800"/>
    <n v="1"/>
    <x v="3"/>
    <x v="1"/>
    <x v="3"/>
    <m/>
  </r>
  <r>
    <n v="612"/>
    <d v="2024-10-02T00:00:00"/>
    <x v="1"/>
    <s v="Francisco David"/>
    <s v="francisco.david612@gmail.com"/>
    <s v="(41) 9 9472-7486"/>
    <x v="1"/>
    <n v="800"/>
    <n v="16"/>
    <x v="16"/>
    <x v="1"/>
    <x v="2"/>
    <m/>
  </r>
  <r>
    <n v="613"/>
    <d v="2024-11-23T00:00:00"/>
    <x v="9"/>
    <s v="Mateus David"/>
    <s v="mateus.david613@gmail.com"/>
    <s v="(44) 9 8084-7557"/>
    <x v="1"/>
    <n v="800"/>
    <n v="4"/>
    <x v="10"/>
    <x v="1"/>
    <x v="1"/>
    <m/>
  </r>
  <r>
    <n v="614"/>
    <d v="2024-02-07T00:00:00"/>
    <x v="8"/>
    <s v="Ana David"/>
    <s v="ana.david614@gmail.com"/>
    <s v="(40) 9 7554-8365"/>
    <x v="2"/>
    <n v="1500"/>
    <n v="3"/>
    <x v="0"/>
    <x v="0"/>
    <x v="0"/>
    <m/>
  </r>
  <r>
    <n v="615"/>
    <d v="2024-10-19T00:00:00"/>
    <x v="1"/>
    <s v="Nelson Almeida"/>
    <s v="nelson.almeida615@gmail.com"/>
    <s v="(47) 9 9974-8736"/>
    <x v="2"/>
    <n v="1500"/>
    <n v="16"/>
    <x v="9"/>
    <x v="1"/>
    <x v="2"/>
    <m/>
  </r>
  <r>
    <n v="616"/>
    <d v="2024-06-15T00:00:00"/>
    <x v="11"/>
    <s v="Luís Pereira"/>
    <s v="luís.pereira616@gmail.com"/>
    <s v="(42) 9 9670-8211"/>
    <x v="2"/>
    <n v="1500"/>
    <n v="14"/>
    <x v="15"/>
    <x v="1"/>
    <x v="2"/>
    <m/>
  </r>
  <r>
    <n v="617"/>
    <d v="2024-06-18T00:00:00"/>
    <x v="11"/>
    <s v="Cláudia Gomes"/>
    <s v="cláudia.gomes617@gmail.com"/>
    <s v="(56) 9 9375-8699"/>
    <x v="2"/>
    <n v="1500"/>
    <n v="12"/>
    <x v="12"/>
    <x v="1"/>
    <x v="2"/>
    <m/>
  </r>
  <r>
    <n v="618"/>
    <d v="2024-04-29T00:00:00"/>
    <x v="2"/>
    <s v="Ana Santos"/>
    <s v="ana.santos618@gmail.com"/>
    <s v="(23) 9 7315-8579"/>
    <x v="1"/>
    <n v="1200"/>
    <n v="12"/>
    <x v="10"/>
    <x v="0"/>
    <x v="0"/>
    <m/>
  </r>
  <r>
    <n v="619"/>
    <d v="2024-06-17T00:00:00"/>
    <x v="11"/>
    <s v="Sofia David"/>
    <s v="sofia.david619@gmail.com"/>
    <s v="(27) 9 7165-8277"/>
    <x v="1"/>
    <n v="800"/>
    <n v="9"/>
    <x v="9"/>
    <x v="1"/>
    <x v="2"/>
    <m/>
  </r>
  <r>
    <n v="620"/>
    <d v="2024-04-14T00:00:00"/>
    <x v="2"/>
    <s v="Teresa Fernandes"/>
    <s v="teresa.fernandes620@gmail.com"/>
    <s v="(52) 9 8348-9260"/>
    <x v="1"/>
    <n v="1200"/>
    <n v="5"/>
    <x v="6"/>
    <x v="0"/>
    <x v="0"/>
    <m/>
  </r>
  <r>
    <n v="621"/>
    <d v="2024-08-22T00:00:00"/>
    <x v="5"/>
    <s v="Domingos Miguel"/>
    <s v="domingos.miguel621@gmail.com"/>
    <s v="(13) 9 7981-7822"/>
    <x v="2"/>
    <n v="1500"/>
    <n v="4"/>
    <x v="3"/>
    <x v="1"/>
    <x v="3"/>
    <m/>
  </r>
  <r>
    <n v="622"/>
    <d v="2024-06-19T00:00:00"/>
    <x v="11"/>
    <s v="Helena David"/>
    <s v="helena.david622@gmail.com"/>
    <s v="(20) 9 7984-7047"/>
    <x v="1"/>
    <n v="1200"/>
    <n v="5"/>
    <x v="9"/>
    <x v="1"/>
    <x v="3"/>
    <m/>
  </r>
  <r>
    <n v="623"/>
    <d v="2024-04-05T00:00:00"/>
    <x v="2"/>
    <s v="Sofia Gomes"/>
    <s v="sofia.gomes623@gmail.com"/>
    <s v="(19) 9 7257-9361"/>
    <x v="2"/>
    <n v="1500"/>
    <n v="3"/>
    <x v="18"/>
    <x v="1"/>
    <x v="1"/>
    <m/>
  </r>
  <r>
    <n v="624"/>
    <d v="2024-08-22T00:00:00"/>
    <x v="5"/>
    <s v="Domingos Costa"/>
    <s v="domingos.costa624@gmail.com"/>
    <s v="(30) 9 8028-8431"/>
    <x v="1"/>
    <n v="1200"/>
    <n v="15"/>
    <x v="13"/>
    <x v="1"/>
    <x v="2"/>
    <m/>
  </r>
  <r>
    <n v="625"/>
    <d v="2024-10-18T00:00:00"/>
    <x v="1"/>
    <s v="Nelson Pinto"/>
    <s v="nelson.pinto625@gmail.com"/>
    <s v="(53) 9 7457-9395"/>
    <x v="1"/>
    <n v="1200"/>
    <n v="6"/>
    <x v="9"/>
    <x v="0"/>
    <x v="0"/>
    <m/>
  </r>
  <r>
    <n v="626"/>
    <d v="2024-01-27T00:00:00"/>
    <x v="6"/>
    <s v="Isabel Soares"/>
    <s v="isabel.soares626@gmail.com"/>
    <s v="(51) 9 8865-7370"/>
    <x v="1"/>
    <n v="800"/>
    <n v="19"/>
    <x v="18"/>
    <x v="1"/>
    <x v="1"/>
    <m/>
  </r>
  <r>
    <n v="627"/>
    <d v="2024-06-15T00:00:00"/>
    <x v="11"/>
    <s v="Isabel Gomes"/>
    <s v="isabel.gomes627@gmail.com"/>
    <s v="(46) 9 8001-7464"/>
    <x v="1"/>
    <n v="1200"/>
    <n v="18"/>
    <x v="3"/>
    <x v="1"/>
    <x v="2"/>
    <m/>
  </r>
  <r>
    <n v="628"/>
    <d v="2024-10-05T00:00:00"/>
    <x v="1"/>
    <s v="Francisco Barbosa"/>
    <s v="francisco.barbosa628@gmail.com"/>
    <s v="(28) 9 8438-8956"/>
    <x v="1"/>
    <n v="1200"/>
    <n v="4"/>
    <x v="18"/>
    <x v="1"/>
    <x v="1"/>
    <m/>
  </r>
  <r>
    <n v="629"/>
    <d v="2024-07-22T00:00:00"/>
    <x v="3"/>
    <s v="Daniel Domingues"/>
    <s v="daniel.domingues629@gmail.com"/>
    <s v="(36) 9 7678-9868"/>
    <x v="2"/>
    <n v="1500"/>
    <n v="20"/>
    <x v="11"/>
    <x v="0"/>
    <x v="0"/>
    <m/>
  </r>
  <r>
    <n v="630"/>
    <d v="2024-07-05T00:00:00"/>
    <x v="3"/>
    <s v="Francisco Santos"/>
    <s v="francisco.santos630@gmail.com"/>
    <s v="(51) 9 8384-9481"/>
    <x v="1"/>
    <n v="1200"/>
    <n v="17"/>
    <x v="1"/>
    <x v="1"/>
    <x v="3"/>
    <m/>
  </r>
  <r>
    <n v="631"/>
    <d v="2024-05-22T00:00:00"/>
    <x v="7"/>
    <s v="Maria Rodrigues"/>
    <s v="maria.rodrigues631@gmail.com"/>
    <s v="(37) 9 9221-8580"/>
    <x v="2"/>
    <n v="1500"/>
    <n v="14"/>
    <x v="9"/>
    <x v="0"/>
    <x v="0"/>
    <m/>
  </r>
  <r>
    <n v="632"/>
    <d v="2024-05-25T00:00:00"/>
    <x v="7"/>
    <s v="Fátima Tavares"/>
    <s v="fátima.tavares632@gmail.com"/>
    <s v="(21) 9 8697-8912"/>
    <x v="2"/>
    <n v="1500"/>
    <n v="17"/>
    <x v="13"/>
    <x v="1"/>
    <x v="3"/>
    <m/>
  </r>
  <r>
    <n v="633"/>
    <d v="2024-01-11T00:00:00"/>
    <x v="6"/>
    <s v="Nelson Pinto"/>
    <s v="nelson.pinto633@gmail.com"/>
    <s v="(47) 9 7437-9315"/>
    <x v="1"/>
    <n v="1200"/>
    <n v="16"/>
    <x v="17"/>
    <x v="1"/>
    <x v="1"/>
    <m/>
  </r>
  <r>
    <n v="634"/>
    <d v="2024-03-14T00:00:00"/>
    <x v="10"/>
    <s v="José Almeida"/>
    <s v="josé.almeida634@gmail.com"/>
    <s v="(38) 9 7117-9788"/>
    <x v="2"/>
    <n v="1500"/>
    <n v="1"/>
    <x v="14"/>
    <x v="1"/>
    <x v="2"/>
    <m/>
  </r>
  <r>
    <n v="635"/>
    <d v="2024-12-23T00:00:00"/>
    <x v="0"/>
    <s v="David Domingues"/>
    <s v="david.domingues635@gmail.com"/>
    <s v="(33) 9 8231-9415"/>
    <x v="1"/>
    <n v="1200"/>
    <n v="5"/>
    <x v="11"/>
    <x v="1"/>
    <x v="2"/>
    <m/>
  </r>
  <r>
    <n v="636"/>
    <d v="2024-01-31T00:00:00"/>
    <x v="6"/>
    <s v="Ana Tavares"/>
    <s v="ana.tavares636@gmail.com"/>
    <s v="(35) 9 9215-8651"/>
    <x v="2"/>
    <n v="1500"/>
    <n v="20"/>
    <x v="16"/>
    <x v="1"/>
    <x v="1"/>
    <m/>
  </r>
  <r>
    <n v="637"/>
    <d v="2024-01-18T00:00:00"/>
    <x v="6"/>
    <s v="Teresa Soares"/>
    <s v="teresa.soares637@gmail.com"/>
    <s v="(43) 9 7071-8773"/>
    <x v="2"/>
    <n v="1500"/>
    <n v="7"/>
    <x v="6"/>
    <x v="1"/>
    <x v="3"/>
    <m/>
  </r>
  <r>
    <n v="638"/>
    <d v="2024-03-09T00:00:00"/>
    <x v="10"/>
    <s v="Francisco Tavares"/>
    <s v="francisco.tavares638@gmail.com"/>
    <s v="(45) 9 7664-7291"/>
    <x v="1"/>
    <n v="800"/>
    <n v="14"/>
    <x v="3"/>
    <x v="1"/>
    <x v="2"/>
    <m/>
  </r>
  <r>
    <n v="639"/>
    <d v="2024-07-21T00:00:00"/>
    <x v="3"/>
    <s v="Bruno Silva"/>
    <s v="bruno.silva639@gmail.com"/>
    <s v="(57) 9 7256-8708"/>
    <x v="1"/>
    <n v="1200"/>
    <n v="10"/>
    <x v="13"/>
    <x v="0"/>
    <x v="0"/>
    <m/>
  </r>
  <r>
    <n v="640"/>
    <d v="2024-01-04T00:00:00"/>
    <x v="6"/>
    <s v="Fátima Andrade"/>
    <s v="fátima.andrade640@gmail.com"/>
    <s v="(44) 9 7085-9374"/>
    <x v="2"/>
    <n v="1500"/>
    <n v="14"/>
    <x v="9"/>
    <x v="0"/>
    <x v="0"/>
    <m/>
  </r>
  <r>
    <n v="641"/>
    <d v="2024-05-02T00:00:00"/>
    <x v="7"/>
    <s v="Pedro Miguel"/>
    <s v="pedro.miguel641@gmail.com"/>
    <s v="(24) 9 8379-8487"/>
    <x v="2"/>
    <n v="1500"/>
    <n v="2"/>
    <x v="13"/>
    <x v="0"/>
    <x v="0"/>
    <m/>
  </r>
  <r>
    <n v="642"/>
    <d v="2024-08-03T00:00:00"/>
    <x v="5"/>
    <s v="Sofia Martins"/>
    <s v="sofia.martins642@gmail.com"/>
    <s v="(53) 9 7914-8154"/>
    <x v="1"/>
    <n v="1200"/>
    <n v="11"/>
    <x v="12"/>
    <x v="1"/>
    <x v="3"/>
    <m/>
  </r>
  <r>
    <n v="643"/>
    <d v="2024-11-11T00:00:00"/>
    <x v="9"/>
    <s v="Mateus Barbosa"/>
    <s v="mateus.barbosa643@gmail.com"/>
    <s v="(28) 9 8142-7915"/>
    <x v="1"/>
    <n v="800"/>
    <n v="5"/>
    <x v="7"/>
    <x v="1"/>
    <x v="3"/>
    <m/>
  </r>
  <r>
    <n v="644"/>
    <d v="2024-09-10T00:00:00"/>
    <x v="4"/>
    <s v="Daniel Lopes"/>
    <s v="daniel.lopes644@gmail.com"/>
    <s v="(23) 9 9031-9186"/>
    <x v="1"/>
    <n v="800"/>
    <n v="12"/>
    <x v="12"/>
    <x v="1"/>
    <x v="3"/>
    <m/>
  </r>
  <r>
    <n v="645"/>
    <d v="2024-09-05T00:00:00"/>
    <x v="4"/>
    <s v="Ana Gomes"/>
    <s v="ana.gomes645@gmail.com"/>
    <s v="(39) 9 9743-7737"/>
    <x v="1"/>
    <n v="800"/>
    <n v="3"/>
    <x v="3"/>
    <x v="0"/>
    <x v="0"/>
    <m/>
  </r>
  <r>
    <n v="646"/>
    <d v="2024-02-28T00:00:00"/>
    <x v="8"/>
    <s v="José Almeida"/>
    <s v="josé.almeida646@gmail.com"/>
    <s v="(14) 9 9473-8534"/>
    <x v="1"/>
    <n v="800"/>
    <n v="11"/>
    <x v="1"/>
    <x v="0"/>
    <x v="0"/>
    <m/>
  </r>
  <r>
    <n v="647"/>
    <d v="2024-11-22T00:00:00"/>
    <x v="9"/>
    <s v="Manuel Santos"/>
    <s v="manuel.santos647@gmail.com"/>
    <s v="(49) 9 9777-8543"/>
    <x v="2"/>
    <n v="1500"/>
    <n v="18"/>
    <x v="5"/>
    <x v="1"/>
    <x v="1"/>
    <m/>
  </r>
  <r>
    <n v="648"/>
    <d v="2024-05-01T00:00:00"/>
    <x v="7"/>
    <s v="Benedito Andrade"/>
    <s v="benedito.andrade648@gmail.com"/>
    <s v="(18) 9 8380-7819"/>
    <x v="1"/>
    <n v="800"/>
    <n v="18"/>
    <x v="6"/>
    <x v="1"/>
    <x v="2"/>
    <m/>
  </r>
  <r>
    <n v="649"/>
    <d v="2024-12-20T00:00:00"/>
    <x v="0"/>
    <s v="António Pereira"/>
    <s v="antónio.pereira649@gmail.com"/>
    <s v="(42) 9 9639-7245"/>
    <x v="2"/>
    <n v="1500"/>
    <n v="2"/>
    <x v="3"/>
    <x v="1"/>
    <x v="3"/>
    <m/>
  </r>
  <r>
    <n v="650"/>
    <d v="2024-08-05T00:00:00"/>
    <x v="5"/>
    <s v="Benedito Lukeba"/>
    <s v="benedito.lukeba650@gmail.com"/>
    <s v="(21) 9 8106-8104"/>
    <x v="2"/>
    <n v="1500"/>
    <n v="12"/>
    <x v="19"/>
    <x v="1"/>
    <x v="2"/>
    <m/>
  </r>
  <r>
    <n v="651"/>
    <d v="2024-05-28T00:00:00"/>
    <x v="7"/>
    <s v="Adriano Silva"/>
    <s v="adriano.silva651@gmail.com"/>
    <s v="(22) 9 7817-8745"/>
    <x v="1"/>
    <n v="1200"/>
    <n v="1"/>
    <x v="19"/>
    <x v="1"/>
    <x v="2"/>
    <m/>
  </r>
  <r>
    <n v="652"/>
    <d v="2024-05-28T00:00:00"/>
    <x v="7"/>
    <s v="Teresa Andrade"/>
    <s v="teresa.andrade652@gmail.com"/>
    <s v="(48) 9 9808-8570"/>
    <x v="1"/>
    <n v="1200"/>
    <n v="9"/>
    <x v="11"/>
    <x v="0"/>
    <x v="0"/>
    <m/>
  </r>
  <r>
    <n v="653"/>
    <d v="2024-11-24T00:00:00"/>
    <x v="9"/>
    <s v="Teresa Silva"/>
    <s v="teresa.silva653@gmail.com"/>
    <s v="(31) 9 9100-9801"/>
    <x v="1"/>
    <n v="800"/>
    <n v="2"/>
    <x v="8"/>
    <x v="1"/>
    <x v="1"/>
    <m/>
  </r>
  <r>
    <n v="654"/>
    <d v="2024-09-15T00:00:00"/>
    <x v="4"/>
    <s v="Manuel Fernandes"/>
    <s v="manuel.fernandes654@gmail.com"/>
    <s v="(47) 9 8937-8850"/>
    <x v="1"/>
    <n v="1200"/>
    <n v="19"/>
    <x v="14"/>
    <x v="1"/>
    <x v="3"/>
    <m/>
  </r>
  <r>
    <n v="655"/>
    <d v="2024-05-25T00:00:00"/>
    <x v="7"/>
    <s v="Maria Miguel"/>
    <s v="maria.miguel655@gmail.com"/>
    <s v="(20) 9 9687-8061"/>
    <x v="1"/>
    <n v="800"/>
    <n v="19"/>
    <x v="3"/>
    <x v="1"/>
    <x v="1"/>
    <m/>
  </r>
  <r>
    <n v="656"/>
    <d v="2024-03-27T00:00:00"/>
    <x v="10"/>
    <s v="Isabel Pereira"/>
    <s v="isabel.pereira656@gmail.com"/>
    <s v="(51) 9 7417-7239"/>
    <x v="1"/>
    <n v="1200"/>
    <n v="3"/>
    <x v="17"/>
    <x v="0"/>
    <x v="0"/>
    <m/>
  </r>
  <r>
    <n v="657"/>
    <d v="2024-01-13T00:00:00"/>
    <x v="6"/>
    <s v="Rosa Almeida"/>
    <s v="rosa.almeida657@gmail.com"/>
    <s v="(29) 9 7458-7667"/>
    <x v="2"/>
    <n v="1500"/>
    <n v="7"/>
    <x v="15"/>
    <x v="0"/>
    <x v="0"/>
    <m/>
  </r>
  <r>
    <n v="658"/>
    <d v="2024-12-09T00:00:00"/>
    <x v="0"/>
    <s v="Marta Costa"/>
    <s v="marta.costa658@gmail.com"/>
    <s v="(24) 9 8265-8057"/>
    <x v="2"/>
    <n v="1500"/>
    <n v="20"/>
    <x v="2"/>
    <x v="1"/>
    <x v="3"/>
    <m/>
  </r>
  <r>
    <n v="659"/>
    <d v="2024-08-18T00:00:00"/>
    <x v="5"/>
    <s v="Manuel Pereira"/>
    <s v="manuel.pereira659@gmail.com"/>
    <s v="(15) 9 7201-8361"/>
    <x v="2"/>
    <n v="1500"/>
    <n v="5"/>
    <x v="6"/>
    <x v="1"/>
    <x v="1"/>
    <m/>
  </r>
  <r>
    <n v="660"/>
    <d v="2024-09-09T00:00:00"/>
    <x v="4"/>
    <s v="Marta Fernandes"/>
    <s v="marta.fernandes660@gmail.com"/>
    <s v="(37) 9 7680-9965"/>
    <x v="2"/>
    <n v="1500"/>
    <n v="14"/>
    <x v="18"/>
    <x v="1"/>
    <x v="3"/>
    <m/>
  </r>
  <r>
    <n v="661"/>
    <d v="2024-06-15T00:00:00"/>
    <x v="11"/>
    <s v="Rui Santos"/>
    <s v="rui.santos661@gmail.com"/>
    <s v="(27) 9 8458-8174"/>
    <x v="1"/>
    <n v="800"/>
    <n v="16"/>
    <x v="8"/>
    <x v="1"/>
    <x v="1"/>
    <m/>
  </r>
  <r>
    <n v="662"/>
    <d v="2024-03-23T00:00:00"/>
    <x v="10"/>
    <s v="Daniel Fernandes"/>
    <s v="daniel.fernandes662@gmail.com"/>
    <s v="(11) 9 9363-9862"/>
    <x v="1"/>
    <n v="1200"/>
    <n v="6"/>
    <x v="15"/>
    <x v="1"/>
    <x v="3"/>
    <m/>
  </r>
  <r>
    <n v="663"/>
    <d v="2024-09-10T00:00:00"/>
    <x v="4"/>
    <s v="António David"/>
    <s v="antónio.david663@gmail.com"/>
    <s v="(49) 9 9394-8800"/>
    <x v="2"/>
    <n v="1500"/>
    <n v="1"/>
    <x v="6"/>
    <x v="1"/>
    <x v="1"/>
    <m/>
  </r>
  <r>
    <n v="664"/>
    <d v="2024-05-17T00:00:00"/>
    <x v="7"/>
    <s v="Adriano David"/>
    <s v="adriano.david664@gmail.com"/>
    <s v="(60) 9 8233-8717"/>
    <x v="1"/>
    <n v="800"/>
    <n v="2"/>
    <x v="10"/>
    <x v="1"/>
    <x v="1"/>
    <m/>
  </r>
  <r>
    <n v="665"/>
    <d v="2024-12-27T00:00:00"/>
    <x v="0"/>
    <s v="Samuel Barbosa"/>
    <s v="samuel.barbosa665@gmail.com"/>
    <s v="(59) 9 7823-7343"/>
    <x v="1"/>
    <n v="1200"/>
    <n v="1"/>
    <x v="1"/>
    <x v="0"/>
    <x v="0"/>
    <m/>
  </r>
  <r>
    <n v="666"/>
    <d v="2024-11-29T00:00:00"/>
    <x v="9"/>
    <s v="Joaquim Barbosa"/>
    <s v="joaquim.barbosa666@gmail.com"/>
    <s v="(16) 9 9153-7215"/>
    <x v="1"/>
    <n v="1200"/>
    <n v="8"/>
    <x v="12"/>
    <x v="0"/>
    <x v="0"/>
    <m/>
  </r>
  <r>
    <n v="667"/>
    <d v="2024-03-11T00:00:00"/>
    <x v="10"/>
    <s v="Cláudia Pinto"/>
    <s v="cláudia.pinto667@gmail.com"/>
    <s v="(16) 9 8068-7184"/>
    <x v="1"/>
    <n v="800"/>
    <n v="7"/>
    <x v="8"/>
    <x v="1"/>
    <x v="3"/>
    <m/>
  </r>
  <r>
    <n v="668"/>
    <d v="2024-11-11T00:00:00"/>
    <x v="9"/>
    <s v="Maria Lukeba"/>
    <s v="maria.lukeba668@gmail.com"/>
    <s v="(20) 9 8800-9282"/>
    <x v="1"/>
    <n v="1200"/>
    <n v="10"/>
    <x v="5"/>
    <x v="0"/>
    <x v="0"/>
    <m/>
  </r>
  <r>
    <n v="669"/>
    <d v="2024-03-23T00:00:00"/>
    <x v="10"/>
    <s v="Bruno Andrade"/>
    <s v="bruno.andrade669@gmail.com"/>
    <s v="(11) 9 7771-9744"/>
    <x v="1"/>
    <n v="800"/>
    <n v="7"/>
    <x v="3"/>
    <x v="0"/>
    <x v="0"/>
    <m/>
  </r>
  <r>
    <n v="670"/>
    <d v="2024-04-13T00:00:00"/>
    <x v="2"/>
    <s v="Adriano Domingues"/>
    <s v="adriano.domingues670@gmail.com"/>
    <s v="(15) 9 8768-8810"/>
    <x v="1"/>
    <n v="1200"/>
    <n v="16"/>
    <x v="11"/>
    <x v="1"/>
    <x v="2"/>
    <m/>
  </r>
  <r>
    <n v="671"/>
    <d v="2024-12-19T00:00:00"/>
    <x v="0"/>
    <s v="Bruno Gomes"/>
    <s v="bruno.gomes671@gmail.com"/>
    <s v="(10) 9 9101-8457"/>
    <x v="2"/>
    <n v="1500"/>
    <n v="8"/>
    <x v="19"/>
    <x v="1"/>
    <x v="2"/>
    <m/>
  </r>
  <r>
    <n v="672"/>
    <d v="2024-05-29T00:00:00"/>
    <x v="7"/>
    <s v="Paulo Monteiro"/>
    <s v="paulo.monteiro672@gmail.com"/>
    <s v="(33) 9 9948-7303"/>
    <x v="1"/>
    <n v="1200"/>
    <n v="9"/>
    <x v="9"/>
    <x v="1"/>
    <x v="3"/>
    <m/>
  </r>
  <r>
    <n v="673"/>
    <d v="2024-11-05T00:00:00"/>
    <x v="9"/>
    <s v="Luís Pereira"/>
    <s v="luís.pereira673@gmail.com"/>
    <s v="(29) 9 7697-7611"/>
    <x v="1"/>
    <n v="1200"/>
    <n v="3"/>
    <x v="5"/>
    <x v="1"/>
    <x v="1"/>
    <m/>
  </r>
  <r>
    <n v="674"/>
    <d v="2024-06-09T00:00:00"/>
    <x v="11"/>
    <s v="Samuel Silva"/>
    <s v="samuel.silva674@gmail.com"/>
    <s v="(34) 9 7916-9823"/>
    <x v="2"/>
    <n v="1500"/>
    <n v="18"/>
    <x v="11"/>
    <x v="0"/>
    <x v="0"/>
    <m/>
  </r>
  <r>
    <n v="675"/>
    <d v="2024-12-23T00:00:00"/>
    <x v="0"/>
    <s v="Ana Domingues"/>
    <s v="ana.domingues675@gmail.com"/>
    <s v="(21) 9 8375-9811"/>
    <x v="1"/>
    <n v="800"/>
    <n v="17"/>
    <x v="11"/>
    <x v="1"/>
    <x v="2"/>
    <m/>
  </r>
  <r>
    <n v="676"/>
    <d v="2024-02-20T00:00:00"/>
    <x v="8"/>
    <s v="António Miguel"/>
    <s v="antónio.miguel676@gmail.com"/>
    <s v="(53) 9 8057-8601"/>
    <x v="1"/>
    <n v="800"/>
    <n v="11"/>
    <x v="15"/>
    <x v="1"/>
    <x v="2"/>
    <m/>
  </r>
  <r>
    <n v="677"/>
    <d v="2024-07-04T00:00:00"/>
    <x v="3"/>
    <s v="Fátima Monteiro"/>
    <s v="fátima.monteiro677@gmail.com"/>
    <s v="(59) 9 7467-9045"/>
    <x v="1"/>
    <n v="800"/>
    <n v="4"/>
    <x v="19"/>
    <x v="0"/>
    <x v="0"/>
    <m/>
  </r>
  <r>
    <n v="678"/>
    <d v="2024-11-26T00:00:00"/>
    <x v="9"/>
    <s v="Daniel Martins"/>
    <s v="daniel.martins678@gmail.com"/>
    <s v="(30) 9 9071-8226"/>
    <x v="1"/>
    <n v="800"/>
    <n v="4"/>
    <x v="12"/>
    <x v="0"/>
    <x v="0"/>
    <m/>
  </r>
  <r>
    <n v="679"/>
    <d v="2024-07-21T00:00:00"/>
    <x v="3"/>
    <s v="Luís Lukeba"/>
    <s v="luís.lukeba679@gmail.com"/>
    <s v="(36) 9 8967-8887"/>
    <x v="1"/>
    <n v="1200"/>
    <n v="9"/>
    <x v="1"/>
    <x v="1"/>
    <x v="2"/>
    <m/>
  </r>
  <r>
    <n v="680"/>
    <d v="2024-07-27T00:00:00"/>
    <x v="3"/>
    <s v="Maria Lukeba"/>
    <s v="maria.lukeba680@gmail.com"/>
    <s v="(43) 9 9366-9770"/>
    <x v="1"/>
    <n v="1200"/>
    <n v="20"/>
    <x v="14"/>
    <x v="1"/>
    <x v="3"/>
    <m/>
  </r>
  <r>
    <n v="681"/>
    <d v="2024-05-01T00:00:00"/>
    <x v="7"/>
    <s v="David Barbosa"/>
    <s v="david.barbosa681@gmail.com"/>
    <s v="(15) 9 8808-8366"/>
    <x v="2"/>
    <n v="1500"/>
    <n v="8"/>
    <x v="14"/>
    <x v="1"/>
    <x v="3"/>
    <m/>
  </r>
  <r>
    <n v="682"/>
    <d v="2024-02-28T00:00:00"/>
    <x v="8"/>
    <s v="Nelson Miguel"/>
    <s v="nelson.miguel682@gmail.com"/>
    <s v="(48) 9 8849-9774"/>
    <x v="1"/>
    <n v="800"/>
    <n v="17"/>
    <x v="9"/>
    <x v="1"/>
    <x v="3"/>
    <m/>
  </r>
  <r>
    <n v="683"/>
    <d v="2024-09-06T00:00:00"/>
    <x v="4"/>
    <s v="Marta Tavares"/>
    <s v="marta.tavares683@gmail.com"/>
    <s v="(41) 9 9813-9271"/>
    <x v="2"/>
    <n v="1500"/>
    <n v="5"/>
    <x v="6"/>
    <x v="1"/>
    <x v="2"/>
    <m/>
  </r>
  <r>
    <n v="684"/>
    <d v="2024-12-21T00:00:00"/>
    <x v="0"/>
    <s v="Maria Miguel"/>
    <s v="maria.miguel684@gmail.com"/>
    <s v="(40) 9 9086-7180"/>
    <x v="1"/>
    <n v="1200"/>
    <n v="6"/>
    <x v="19"/>
    <x v="1"/>
    <x v="1"/>
    <m/>
  </r>
  <r>
    <n v="685"/>
    <d v="2024-12-20T00:00:00"/>
    <x v="0"/>
    <s v="João Lukeba"/>
    <s v="joão.lukeba685@gmail.com"/>
    <s v="(60) 9 7543-8712"/>
    <x v="2"/>
    <n v="1500"/>
    <n v="11"/>
    <x v="20"/>
    <x v="1"/>
    <x v="3"/>
    <m/>
  </r>
  <r>
    <n v="686"/>
    <d v="2024-05-11T00:00:00"/>
    <x v="7"/>
    <s v="Cláudia Barbosa"/>
    <s v="cláudia.barbosa686@gmail.com"/>
    <s v="(27) 9 7613-9843"/>
    <x v="1"/>
    <n v="1200"/>
    <n v="16"/>
    <x v="0"/>
    <x v="0"/>
    <x v="0"/>
    <m/>
  </r>
  <r>
    <n v="687"/>
    <d v="2024-07-20T00:00:00"/>
    <x v="3"/>
    <s v="Francisco Almeida"/>
    <s v="francisco.almeida687@gmail.com"/>
    <s v="(26) 9 7626-8333"/>
    <x v="1"/>
    <n v="1200"/>
    <n v="8"/>
    <x v="1"/>
    <x v="1"/>
    <x v="1"/>
    <m/>
  </r>
  <r>
    <n v="688"/>
    <d v="2024-08-07T00:00:00"/>
    <x v="5"/>
    <s v="Joaquim Pereira"/>
    <s v="joaquim.pereira688@gmail.com"/>
    <s v="(48) 9 8527-8027"/>
    <x v="1"/>
    <n v="800"/>
    <n v="2"/>
    <x v="9"/>
    <x v="1"/>
    <x v="2"/>
    <m/>
  </r>
  <r>
    <n v="689"/>
    <d v="2024-05-12T00:00:00"/>
    <x v="7"/>
    <s v="Samuel Andrade"/>
    <s v="samuel.andrade689@gmail.com"/>
    <s v="(58) 9 8177-8440"/>
    <x v="2"/>
    <n v="1500"/>
    <n v="3"/>
    <x v="15"/>
    <x v="0"/>
    <x v="0"/>
    <m/>
  </r>
  <r>
    <n v="690"/>
    <d v="2024-12-30T00:00:00"/>
    <x v="0"/>
    <s v="Cláudia Martins"/>
    <s v="cláudia.martins690@gmail.com"/>
    <s v="(27) 9 8719-9858"/>
    <x v="1"/>
    <n v="800"/>
    <n v="12"/>
    <x v="10"/>
    <x v="1"/>
    <x v="3"/>
    <m/>
  </r>
  <r>
    <n v="691"/>
    <d v="2024-09-20T00:00:00"/>
    <x v="4"/>
    <s v="Pedro Miguel"/>
    <s v="pedro.miguel691@gmail.com"/>
    <s v="(56) 9 8095-7657"/>
    <x v="2"/>
    <n v="1500"/>
    <n v="2"/>
    <x v="4"/>
    <x v="1"/>
    <x v="1"/>
    <m/>
  </r>
  <r>
    <n v="692"/>
    <d v="2024-12-23T00:00:00"/>
    <x v="0"/>
    <s v="Maria Pereira"/>
    <s v="maria.pereira692@gmail.com"/>
    <s v="(11) 9 8404-7097"/>
    <x v="2"/>
    <n v="1500"/>
    <n v="10"/>
    <x v="2"/>
    <x v="0"/>
    <x v="0"/>
    <m/>
  </r>
  <r>
    <n v="693"/>
    <d v="2024-06-13T00:00:00"/>
    <x v="11"/>
    <s v="José David"/>
    <s v="josé.david693@gmail.com"/>
    <s v="(56) 9 8258-7806"/>
    <x v="1"/>
    <n v="800"/>
    <n v="19"/>
    <x v="0"/>
    <x v="1"/>
    <x v="2"/>
    <m/>
  </r>
  <r>
    <n v="694"/>
    <d v="2024-06-25T00:00:00"/>
    <x v="11"/>
    <s v="Joaquim Silva"/>
    <s v="joaquim.silva694@gmail.com"/>
    <s v="(34) 9 8158-9970"/>
    <x v="1"/>
    <n v="1200"/>
    <n v="16"/>
    <x v="0"/>
    <x v="1"/>
    <x v="1"/>
    <m/>
  </r>
  <r>
    <n v="695"/>
    <d v="2024-05-17T00:00:00"/>
    <x v="7"/>
    <s v="Samuel Silva"/>
    <s v="samuel.silva695@gmail.com"/>
    <s v="(39) 9 7233-7924"/>
    <x v="1"/>
    <n v="800"/>
    <n v="3"/>
    <x v="17"/>
    <x v="0"/>
    <x v="0"/>
    <m/>
  </r>
  <r>
    <n v="696"/>
    <d v="2024-09-29T00:00:00"/>
    <x v="4"/>
    <s v="João Soares"/>
    <s v="joão.soares696@gmail.com"/>
    <s v="(11) 9 9315-8982"/>
    <x v="2"/>
    <n v="1500"/>
    <n v="2"/>
    <x v="9"/>
    <x v="1"/>
    <x v="3"/>
    <m/>
  </r>
  <r>
    <n v="697"/>
    <d v="2024-07-02T00:00:00"/>
    <x v="3"/>
    <s v="Sofia Almeida"/>
    <s v="sofia.almeida697@gmail.com"/>
    <s v="(28) 9 8412-9681"/>
    <x v="2"/>
    <n v="1500"/>
    <n v="10"/>
    <x v="10"/>
    <x v="1"/>
    <x v="1"/>
    <m/>
  </r>
  <r>
    <n v="698"/>
    <d v="2024-12-28T00:00:00"/>
    <x v="0"/>
    <s v="David Lopes"/>
    <s v="david.lopes698@gmail.com"/>
    <s v="(36) 9 8524-7030"/>
    <x v="1"/>
    <n v="800"/>
    <n v="10"/>
    <x v="4"/>
    <x v="1"/>
    <x v="1"/>
    <m/>
  </r>
  <r>
    <n v="699"/>
    <d v="2024-06-14T00:00:00"/>
    <x v="11"/>
    <s v="Rui Santos"/>
    <s v="rui.santos699@gmail.com"/>
    <s v="(31) 9 9818-7246"/>
    <x v="1"/>
    <n v="1200"/>
    <n v="8"/>
    <x v="9"/>
    <x v="0"/>
    <x v="0"/>
    <m/>
  </r>
  <r>
    <n v="700"/>
    <d v="2024-01-23T00:00:00"/>
    <x v="6"/>
    <s v="Ana David"/>
    <s v="ana.david700@gmail.com"/>
    <s v="(44) 9 9098-8510"/>
    <x v="2"/>
    <n v="1500"/>
    <n v="14"/>
    <x v="14"/>
    <x v="1"/>
    <x v="1"/>
    <m/>
  </r>
  <r>
    <n v="701"/>
    <d v="2024-08-13T00:00:00"/>
    <x v="5"/>
    <s v="Cláudia Martins"/>
    <s v="cláudia.martins701@gmail.com"/>
    <s v="(51) 9 8950-7816"/>
    <x v="2"/>
    <n v="1500"/>
    <n v="11"/>
    <x v="6"/>
    <x v="1"/>
    <x v="3"/>
    <m/>
  </r>
  <r>
    <n v="702"/>
    <d v="2024-02-26T00:00:00"/>
    <x v="8"/>
    <s v="Sofia Monteiro"/>
    <s v="sofia.monteiro702@gmail.com"/>
    <s v="(57) 9 8187-8307"/>
    <x v="1"/>
    <n v="800"/>
    <n v="13"/>
    <x v="13"/>
    <x v="0"/>
    <x v="0"/>
    <m/>
  </r>
  <r>
    <n v="703"/>
    <d v="2024-04-18T00:00:00"/>
    <x v="2"/>
    <s v="Nelson Silva"/>
    <s v="nelson.silva703@gmail.com"/>
    <s v="(43) 9 7338-9840"/>
    <x v="1"/>
    <n v="800"/>
    <n v="9"/>
    <x v="0"/>
    <x v="0"/>
    <x v="0"/>
    <m/>
  </r>
  <r>
    <n v="704"/>
    <d v="2024-01-10T00:00:00"/>
    <x v="6"/>
    <s v="Mateus Lopes"/>
    <s v="mateus.lopes704@gmail.com"/>
    <s v="(17) 9 8672-9233"/>
    <x v="1"/>
    <n v="1200"/>
    <n v="17"/>
    <x v="4"/>
    <x v="0"/>
    <x v="0"/>
    <m/>
  </r>
  <r>
    <n v="705"/>
    <d v="2024-10-21T00:00:00"/>
    <x v="1"/>
    <s v="Daniel Lopes"/>
    <s v="daniel.lopes705@gmail.com"/>
    <s v="(13) 9 9058-8598"/>
    <x v="1"/>
    <n v="800"/>
    <n v="4"/>
    <x v="7"/>
    <x v="1"/>
    <x v="2"/>
    <m/>
  </r>
  <r>
    <n v="706"/>
    <d v="2024-09-12T00:00:00"/>
    <x v="4"/>
    <s v="Sofia David"/>
    <s v="sofia.david706@gmail.com"/>
    <s v="(12) 9 9044-7835"/>
    <x v="2"/>
    <n v="1500"/>
    <n v="5"/>
    <x v="12"/>
    <x v="1"/>
    <x v="3"/>
    <m/>
  </r>
  <r>
    <n v="707"/>
    <d v="2024-04-21T00:00:00"/>
    <x v="2"/>
    <s v="Rosa Barbosa"/>
    <s v="rosa.barbosa707@gmail.com"/>
    <s v="(15) 9 9367-8913"/>
    <x v="2"/>
    <n v="1500"/>
    <n v="16"/>
    <x v="18"/>
    <x v="1"/>
    <x v="1"/>
    <m/>
  </r>
  <r>
    <n v="708"/>
    <d v="2024-03-15T00:00:00"/>
    <x v="10"/>
    <s v="Manuel Lukeba"/>
    <s v="manuel.lukeba708@gmail.com"/>
    <s v="(37) 9 9594-7710"/>
    <x v="1"/>
    <n v="800"/>
    <n v="1"/>
    <x v="0"/>
    <x v="1"/>
    <x v="1"/>
    <m/>
  </r>
  <r>
    <n v="709"/>
    <d v="2024-07-20T00:00:00"/>
    <x v="3"/>
    <s v="Adriano Lukeba"/>
    <s v="adriano.lukeba709@gmail.com"/>
    <s v="(37) 9 9233-8334"/>
    <x v="1"/>
    <n v="1200"/>
    <n v="18"/>
    <x v="5"/>
    <x v="0"/>
    <x v="0"/>
    <m/>
  </r>
  <r>
    <n v="710"/>
    <d v="2024-07-09T00:00:00"/>
    <x v="3"/>
    <s v="Carlos Costa"/>
    <s v="carlos.costa710@gmail.com"/>
    <s v="(34) 9 9989-8431"/>
    <x v="1"/>
    <n v="800"/>
    <n v="6"/>
    <x v="15"/>
    <x v="1"/>
    <x v="1"/>
    <m/>
  </r>
  <r>
    <n v="711"/>
    <d v="2024-06-28T00:00:00"/>
    <x v="11"/>
    <s v="Nelson Almeida"/>
    <s v="nelson.almeida711@gmail.com"/>
    <s v="(49) 9 9338-9419"/>
    <x v="2"/>
    <n v="1500"/>
    <n v="14"/>
    <x v="0"/>
    <x v="1"/>
    <x v="3"/>
    <m/>
  </r>
  <r>
    <n v="712"/>
    <d v="2024-05-10T00:00:00"/>
    <x v="7"/>
    <s v="Luís Barbosa"/>
    <s v="luís.barbosa712@gmail.com"/>
    <s v="(51) 9 8919-9791"/>
    <x v="1"/>
    <n v="1200"/>
    <n v="9"/>
    <x v="20"/>
    <x v="1"/>
    <x v="3"/>
    <m/>
  </r>
  <r>
    <n v="713"/>
    <d v="2024-05-25T00:00:00"/>
    <x v="7"/>
    <s v="Bruno Santos"/>
    <s v="bruno.santos713@gmail.com"/>
    <s v="(10) 9 7441-9992"/>
    <x v="2"/>
    <n v="1500"/>
    <n v="17"/>
    <x v="7"/>
    <x v="1"/>
    <x v="3"/>
    <m/>
  </r>
  <r>
    <n v="714"/>
    <d v="2024-10-07T00:00:00"/>
    <x v="1"/>
    <s v="Sofia Tavares"/>
    <s v="sofia.tavares714@gmail.com"/>
    <s v="(48) 9 9076-9393"/>
    <x v="1"/>
    <n v="800"/>
    <n v="17"/>
    <x v="2"/>
    <x v="0"/>
    <x v="0"/>
    <m/>
  </r>
  <r>
    <n v="715"/>
    <d v="2024-09-10T00:00:00"/>
    <x v="4"/>
    <s v="Domingos Lukeba"/>
    <s v="domingos.lukeba715@gmail.com"/>
    <s v="(14) 9 7103-8920"/>
    <x v="1"/>
    <n v="1200"/>
    <n v="16"/>
    <x v="19"/>
    <x v="1"/>
    <x v="2"/>
    <m/>
  </r>
  <r>
    <n v="716"/>
    <d v="2024-03-02T00:00:00"/>
    <x v="10"/>
    <s v="Manuel Andrade"/>
    <s v="manuel.andrade716@gmail.com"/>
    <s v="(21) 9 8854-8476"/>
    <x v="2"/>
    <n v="1500"/>
    <n v="2"/>
    <x v="14"/>
    <x v="1"/>
    <x v="2"/>
    <m/>
  </r>
  <r>
    <n v="717"/>
    <d v="2024-12-14T00:00:00"/>
    <x v="0"/>
    <s v="Joaquim Santos"/>
    <s v="joaquim.santos717@gmail.com"/>
    <s v="(17) 9 7422-8912"/>
    <x v="1"/>
    <n v="800"/>
    <n v="17"/>
    <x v="18"/>
    <x v="1"/>
    <x v="1"/>
    <m/>
  </r>
  <r>
    <n v="718"/>
    <d v="2024-01-28T00:00:00"/>
    <x v="6"/>
    <s v="Pedro Barbosa"/>
    <s v="pedro.barbosa718@gmail.com"/>
    <s v="(17) 9 8527-7741"/>
    <x v="2"/>
    <n v="1500"/>
    <n v="8"/>
    <x v="14"/>
    <x v="1"/>
    <x v="1"/>
    <m/>
  </r>
  <r>
    <n v="719"/>
    <d v="2024-03-28T00:00:00"/>
    <x v="10"/>
    <s v="Bruno Monteiro"/>
    <s v="bruno.monteiro719@gmail.com"/>
    <s v="(45) 9 9254-9718"/>
    <x v="2"/>
    <n v="1500"/>
    <n v="10"/>
    <x v="8"/>
    <x v="1"/>
    <x v="1"/>
    <m/>
  </r>
  <r>
    <n v="720"/>
    <d v="2024-04-01T00:00:00"/>
    <x v="2"/>
    <s v="Nelson Soares"/>
    <s v="nelson.soares720@gmail.com"/>
    <s v="(21) 9 7854-7961"/>
    <x v="1"/>
    <n v="1200"/>
    <n v="3"/>
    <x v="14"/>
    <x v="0"/>
    <x v="0"/>
    <m/>
  </r>
  <r>
    <n v="721"/>
    <d v="2024-09-06T00:00:00"/>
    <x v="4"/>
    <s v="David Martins"/>
    <s v="david.martins721@gmail.com"/>
    <s v="(46) 9 8437-8814"/>
    <x v="1"/>
    <n v="1200"/>
    <n v="10"/>
    <x v="11"/>
    <x v="1"/>
    <x v="3"/>
    <m/>
  </r>
  <r>
    <n v="722"/>
    <d v="2024-01-03T00:00:00"/>
    <x v="6"/>
    <s v="Marta Monteiro"/>
    <s v="marta.monteiro722@gmail.com"/>
    <s v="(24) 9 9297-8538"/>
    <x v="2"/>
    <n v="1500"/>
    <n v="13"/>
    <x v="2"/>
    <x v="1"/>
    <x v="1"/>
    <m/>
  </r>
  <r>
    <n v="723"/>
    <d v="2024-08-28T00:00:00"/>
    <x v="5"/>
    <s v="Manuel Santos"/>
    <s v="manuel.santos723@gmail.com"/>
    <s v="(29) 9 8018-8214"/>
    <x v="1"/>
    <n v="800"/>
    <n v="7"/>
    <x v="9"/>
    <x v="1"/>
    <x v="3"/>
    <m/>
  </r>
  <r>
    <n v="724"/>
    <d v="2024-11-12T00:00:00"/>
    <x v="9"/>
    <s v="João Lopes"/>
    <s v="joão.lopes724@gmail.com"/>
    <s v="(23) 9 8587-7545"/>
    <x v="2"/>
    <n v="1500"/>
    <n v="9"/>
    <x v="19"/>
    <x v="1"/>
    <x v="1"/>
    <m/>
  </r>
  <r>
    <n v="725"/>
    <d v="2024-04-12T00:00:00"/>
    <x v="2"/>
    <s v="Adriano Andrade"/>
    <s v="adriano.andrade725@gmail.com"/>
    <s v="(46) 9 7301-7724"/>
    <x v="2"/>
    <n v="1500"/>
    <n v="2"/>
    <x v="9"/>
    <x v="1"/>
    <x v="2"/>
    <m/>
  </r>
  <r>
    <n v="726"/>
    <d v="2024-05-28T00:00:00"/>
    <x v="7"/>
    <s v="José Lukeba"/>
    <s v="josé.lukeba726@gmail.com"/>
    <s v="(13) 9 7168-7491"/>
    <x v="1"/>
    <n v="1200"/>
    <n v="8"/>
    <x v="18"/>
    <x v="0"/>
    <x v="0"/>
    <m/>
  </r>
  <r>
    <n v="727"/>
    <d v="2024-01-24T00:00:00"/>
    <x v="6"/>
    <s v="Luís Costa"/>
    <s v="luís.costa727@gmail.com"/>
    <s v="(26) 9 7322-8216"/>
    <x v="2"/>
    <n v="1500"/>
    <n v="4"/>
    <x v="5"/>
    <x v="1"/>
    <x v="1"/>
    <m/>
  </r>
  <r>
    <n v="728"/>
    <d v="2024-03-23T00:00:00"/>
    <x v="10"/>
    <s v="Marta Silva"/>
    <s v="marta.silva728@gmail.com"/>
    <s v="(20) 9 9733-8761"/>
    <x v="1"/>
    <n v="800"/>
    <n v="17"/>
    <x v="12"/>
    <x v="1"/>
    <x v="1"/>
    <m/>
  </r>
  <r>
    <n v="729"/>
    <d v="2024-06-10T00:00:00"/>
    <x v="11"/>
    <s v="Paulo Pinto"/>
    <s v="paulo.pinto729@gmail.com"/>
    <s v="(23) 9 8737-7606"/>
    <x v="1"/>
    <n v="1200"/>
    <n v="16"/>
    <x v="15"/>
    <x v="0"/>
    <x v="0"/>
    <m/>
  </r>
  <r>
    <n v="730"/>
    <d v="2024-03-14T00:00:00"/>
    <x v="10"/>
    <s v="Domingos Domingues"/>
    <s v="domingos.domingues730@gmail.com"/>
    <s v="(52) 9 7107-8180"/>
    <x v="2"/>
    <n v="1500"/>
    <n v="9"/>
    <x v="15"/>
    <x v="1"/>
    <x v="3"/>
    <m/>
  </r>
  <r>
    <n v="731"/>
    <d v="2024-07-20T00:00:00"/>
    <x v="3"/>
    <s v="Manuel Costa"/>
    <s v="manuel.costa731@gmail.com"/>
    <s v="(35) 9 8184-9550"/>
    <x v="2"/>
    <n v="1500"/>
    <n v="20"/>
    <x v="19"/>
    <x v="1"/>
    <x v="1"/>
    <m/>
  </r>
  <r>
    <n v="732"/>
    <d v="2024-04-23T00:00:00"/>
    <x v="2"/>
    <s v="Marta Costa"/>
    <s v="marta.costa732@gmail.com"/>
    <s v="(30) 9 7704-9192"/>
    <x v="2"/>
    <n v="1500"/>
    <n v="8"/>
    <x v="0"/>
    <x v="1"/>
    <x v="3"/>
    <m/>
  </r>
  <r>
    <n v="733"/>
    <d v="2024-06-04T00:00:00"/>
    <x v="11"/>
    <s v="Cláudia Fernandes"/>
    <s v="cláudia.fernandes733@gmail.com"/>
    <s v="(21) 9 9729-7489"/>
    <x v="1"/>
    <n v="800"/>
    <n v="11"/>
    <x v="15"/>
    <x v="1"/>
    <x v="1"/>
    <m/>
  </r>
  <r>
    <n v="734"/>
    <d v="2024-11-27T00:00:00"/>
    <x v="9"/>
    <s v="Fátima Gomes"/>
    <s v="fátima.gomes734@gmail.com"/>
    <s v="(48) 9 7908-8956"/>
    <x v="2"/>
    <n v="1500"/>
    <n v="16"/>
    <x v="12"/>
    <x v="1"/>
    <x v="3"/>
    <m/>
  </r>
  <r>
    <n v="735"/>
    <d v="2024-01-23T00:00:00"/>
    <x v="6"/>
    <s v="Rosa Monteiro"/>
    <s v="rosa.monteiro735@gmail.com"/>
    <s v="(56) 9 9137-8740"/>
    <x v="1"/>
    <n v="800"/>
    <n v="14"/>
    <x v="18"/>
    <x v="1"/>
    <x v="3"/>
    <m/>
  </r>
  <r>
    <n v="736"/>
    <d v="2024-11-24T00:00:00"/>
    <x v="9"/>
    <s v="Marta Barbosa"/>
    <s v="marta.barbosa736@gmail.com"/>
    <s v="(27) 9 7041-7114"/>
    <x v="2"/>
    <n v="1500"/>
    <n v="2"/>
    <x v="20"/>
    <x v="1"/>
    <x v="3"/>
    <m/>
  </r>
  <r>
    <n v="737"/>
    <d v="2024-01-25T00:00:00"/>
    <x v="6"/>
    <s v="Helena Tavares"/>
    <s v="helena.tavares737@gmail.com"/>
    <s v="(23) 9 7904-9297"/>
    <x v="1"/>
    <n v="1200"/>
    <n v="9"/>
    <x v="13"/>
    <x v="1"/>
    <x v="1"/>
    <m/>
  </r>
  <r>
    <n v="738"/>
    <d v="2024-10-27T00:00:00"/>
    <x v="1"/>
    <s v="Bruno Lukeba"/>
    <s v="bruno.lukeba738@gmail.com"/>
    <s v="(58) 9 7900-8510"/>
    <x v="2"/>
    <n v="1500"/>
    <n v="12"/>
    <x v="13"/>
    <x v="1"/>
    <x v="3"/>
    <m/>
  </r>
  <r>
    <n v="739"/>
    <d v="2024-01-29T00:00:00"/>
    <x v="6"/>
    <s v="Paulo Lukeba"/>
    <s v="paulo.lukeba739@gmail.com"/>
    <s v="(51) 9 9010-8295"/>
    <x v="2"/>
    <n v="1500"/>
    <n v="14"/>
    <x v="13"/>
    <x v="1"/>
    <x v="2"/>
    <m/>
  </r>
  <r>
    <n v="740"/>
    <d v="2024-09-24T00:00:00"/>
    <x v="4"/>
    <s v="Paulo Costa"/>
    <s v="paulo.costa740@gmail.com"/>
    <s v="(35) 9 7392-8001"/>
    <x v="1"/>
    <n v="1200"/>
    <n v="7"/>
    <x v="5"/>
    <x v="0"/>
    <x v="0"/>
    <m/>
  </r>
  <r>
    <n v="741"/>
    <d v="2024-12-19T00:00:00"/>
    <x v="0"/>
    <s v="Francisco Monteiro"/>
    <s v="francisco.monteiro741@gmail.com"/>
    <s v="(59) 9 7697-8166"/>
    <x v="1"/>
    <n v="800"/>
    <n v="2"/>
    <x v="11"/>
    <x v="1"/>
    <x v="2"/>
    <m/>
  </r>
  <r>
    <n v="742"/>
    <d v="2024-06-19T00:00:00"/>
    <x v="11"/>
    <s v="Paulo Pereira"/>
    <s v="paulo.pereira742@gmail.com"/>
    <s v="(41) 9 8838-7814"/>
    <x v="2"/>
    <n v="1500"/>
    <n v="1"/>
    <x v="8"/>
    <x v="0"/>
    <x v="0"/>
    <m/>
  </r>
  <r>
    <n v="743"/>
    <d v="2024-01-13T00:00:00"/>
    <x v="6"/>
    <s v="Fátima Andrade"/>
    <s v="fátima.andrade743@gmail.com"/>
    <s v="(53) 9 8514-9237"/>
    <x v="2"/>
    <n v="1500"/>
    <n v="17"/>
    <x v="3"/>
    <x v="1"/>
    <x v="3"/>
    <m/>
  </r>
  <r>
    <n v="744"/>
    <d v="2024-04-25T00:00:00"/>
    <x v="2"/>
    <s v="Cláudia Fernandes"/>
    <s v="cláudia.fernandes744@gmail.com"/>
    <s v="(28) 9 9357-8531"/>
    <x v="1"/>
    <n v="800"/>
    <n v="15"/>
    <x v="19"/>
    <x v="0"/>
    <x v="0"/>
    <m/>
  </r>
  <r>
    <n v="745"/>
    <d v="2024-12-17T00:00:00"/>
    <x v="0"/>
    <s v="Cláudia Rodrigues"/>
    <s v="cláudia.rodrigues745@gmail.com"/>
    <s v="(60) 9 9265-7483"/>
    <x v="1"/>
    <n v="800"/>
    <n v="4"/>
    <x v="16"/>
    <x v="0"/>
    <x v="0"/>
    <m/>
  </r>
  <r>
    <n v="746"/>
    <d v="2024-08-28T00:00:00"/>
    <x v="5"/>
    <s v="Maria Soares"/>
    <s v="maria.soares746@gmail.com"/>
    <s v="(20) 9 9918-7453"/>
    <x v="1"/>
    <n v="800"/>
    <n v="2"/>
    <x v="14"/>
    <x v="0"/>
    <x v="0"/>
    <m/>
  </r>
  <r>
    <n v="747"/>
    <d v="2024-02-25T00:00:00"/>
    <x v="8"/>
    <s v="Ana Barbosa"/>
    <s v="ana.barbosa747@gmail.com"/>
    <s v="(26) 9 9073-7245"/>
    <x v="2"/>
    <n v="1500"/>
    <n v="18"/>
    <x v="15"/>
    <x v="1"/>
    <x v="1"/>
    <m/>
  </r>
  <r>
    <n v="748"/>
    <d v="2024-02-20T00:00:00"/>
    <x v="8"/>
    <s v="Mateus Miguel"/>
    <s v="mateus.miguel748@gmail.com"/>
    <s v="(24) 9 8766-7711"/>
    <x v="1"/>
    <n v="800"/>
    <n v="4"/>
    <x v="11"/>
    <x v="0"/>
    <x v="0"/>
    <m/>
  </r>
  <r>
    <n v="749"/>
    <d v="2024-11-24T00:00:00"/>
    <x v="9"/>
    <s v="Fátima Almeida"/>
    <s v="fátima.almeida749@gmail.com"/>
    <s v="(16) 9 9518-9246"/>
    <x v="2"/>
    <n v="1500"/>
    <n v="20"/>
    <x v="15"/>
    <x v="0"/>
    <x v="0"/>
    <m/>
  </r>
  <r>
    <n v="750"/>
    <d v="2024-02-04T00:00:00"/>
    <x v="8"/>
    <s v="Ana Costa"/>
    <s v="ana.costa750@gmail.com"/>
    <s v="(58) 9 8582-9399"/>
    <x v="2"/>
    <n v="1500"/>
    <n v="19"/>
    <x v="5"/>
    <x v="1"/>
    <x v="1"/>
    <m/>
  </r>
  <r>
    <n v="751"/>
    <d v="2024-08-18T00:00:00"/>
    <x v="5"/>
    <s v="Luís Andrade"/>
    <s v="luís.andrade751@gmail.com"/>
    <s v="(39) 9 9794-9924"/>
    <x v="1"/>
    <n v="1200"/>
    <n v="6"/>
    <x v="19"/>
    <x v="0"/>
    <x v="0"/>
    <m/>
  </r>
  <r>
    <n v="752"/>
    <d v="2024-04-23T00:00:00"/>
    <x v="2"/>
    <s v="Adriano Soares"/>
    <s v="adriano.soares752@gmail.com"/>
    <s v="(45) 9 7866-8796"/>
    <x v="2"/>
    <n v="1500"/>
    <n v="12"/>
    <x v="19"/>
    <x v="1"/>
    <x v="2"/>
    <m/>
  </r>
  <r>
    <n v="753"/>
    <d v="2024-05-21T00:00:00"/>
    <x v="7"/>
    <s v="José Lopes"/>
    <s v="josé.lopes753@gmail.com"/>
    <s v="(41) 9 9640-9462"/>
    <x v="1"/>
    <n v="1200"/>
    <n v="13"/>
    <x v="1"/>
    <x v="1"/>
    <x v="3"/>
    <m/>
  </r>
  <r>
    <n v="754"/>
    <d v="2024-03-23T00:00:00"/>
    <x v="10"/>
    <s v="Benedito Rodrigues"/>
    <s v="benedito.rodrigues754@gmail.com"/>
    <s v="(25) 9 8295-7486"/>
    <x v="2"/>
    <n v="1500"/>
    <n v="20"/>
    <x v="10"/>
    <x v="0"/>
    <x v="0"/>
    <m/>
  </r>
  <r>
    <n v="755"/>
    <d v="2024-12-22T00:00:00"/>
    <x v="0"/>
    <s v="Carlos Lopes"/>
    <s v="carlos.lopes755@gmail.com"/>
    <s v="(38) 9 7669-8833"/>
    <x v="2"/>
    <n v="1500"/>
    <n v="15"/>
    <x v="6"/>
    <x v="0"/>
    <x v="0"/>
    <m/>
  </r>
  <r>
    <n v="756"/>
    <d v="2024-12-19T00:00:00"/>
    <x v="0"/>
    <s v="Marta Martins"/>
    <s v="marta.martins756@gmail.com"/>
    <s v="(39) 9 9103-9252"/>
    <x v="1"/>
    <n v="800"/>
    <n v="10"/>
    <x v="0"/>
    <x v="1"/>
    <x v="3"/>
    <m/>
  </r>
  <r>
    <n v="757"/>
    <d v="2024-06-09T00:00:00"/>
    <x v="11"/>
    <s v="Francisco Pereira"/>
    <s v="francisco.pereira757@gmail.com"/>
    <s v="(35) 9 7033-7068"/>
    <x v="1"/>
    <n v="1200"/>
    <n v="2"/>
    <x v="4"/>
    <x v="1"/>
    <x v="2"/>
    <m/>
  </r>
  <r>
    <n v="758"/>
    <d v="2024-07-21T00:00:00"/>
    <x v="3"/>
    <s v="Domingos Lukeba"/>
    <s v="domingos.lukeba758@gmail.com"/>
    <s v="(59) 9 8017-9797"/>
    <x v="1"/>
    <n v="1200"/>
    <n v="16"/>
    <x v="18"/>
    <x v="1"/>
    <x v="3"/>
    <m/>
  </r>
  <r>
    <n v="759"/>
    <d v="2024-03-26T00:00:00"/>
    <x v="10"/>
    <s v="Manuel Rodrigues"/>
    <s v="manuel.rodrigues759@gmail.com"/>
    <s v="(35) 9 9482-8291"/>
    <x v="1"/>
    <n v="800"/>
    <n v="4"/>
    <x v="15"/>
    <x v="1"/>
    <x v="2"/>
    <m/>
  </r>
  <r>
    <n v="760"/>
    <d v="2024-01-12T00:00:00"/>
    <x v="6"/>
    <s v="Rosa Gomes"/>
    <s v="rosa.gomes760@gmail.com"/>
    <s v="(49) 9 8050-8369"/>
    <x v="1"/>
    <n v="1200"/>
    <n v="15"/>
    <x v="13"/>
    <x v="0"/>
    <x v="0"/>
    <m/>
  </r>
  <r>
    <n v="761"/>
    <d v="2024-06-30T00:00:00"/>
    <x v="11"/>
    <s v="Sofia Rodrigues"/>
    <s v="sofia.rodrigues761@gmail.com"/>
    <s v="(13) 9 9850-7686"/>
    <x v="1"/>
    <n v="800"/>
    <n v="12"/>
    <x v="1"/>
    <x v="1"/>
    <x v="2"/>
    <m/>
  </r>
  <r>
    <n v="762"/>
    <d v="2024-11-08T00:00:00"/>
    <x v="9"/>
    <s v="Isabel Fernandes"/>
    <s v="isabel.fernandes762@gmail.com"/>
    <s v="(55) 9 9043-9425"/>
    <x v="1"/>
    <n v="800"/>
    <n v="4"/>
    <x v="4"/>
    <x v="1"/>
    <x v="1"/>
    <m/>
  </r>
  <r>
    <n v="763"/>
    <d v="2024-07-26T00:00:00"/>
    <x v="3"/>
    <s v="Luís Tavares"/>
    <s v="luís.tavares763@gmail.com"/>
    <s v="(32) 9 9056-7685"/>
    <x v="1"/>
    <n v="800"/>
    <n v="8"/>
    <x v="17"/>
    <x v="1"/>
    <x v="3"/>
    <m/>
  </r>
  <r>
    <n v="764"/>
    <d v="2024-12-24T00:00:00"/>
    <x v="0"/>
    <s v="Adriano Soares"/>
    <s v="adriano.soares764@gmail.com"/>
    <s v="(34) 9 9598-7492"/>
    <x v="1"/>
    <n v="1200"/>
    <n v="14"/>
    <x v="6"/>
    <x v="0"/>
    <x v="0"/>
    <m/>
  </r>
  <r>
    <n v="765"/>
    <d v="2024-07-12T00:00:00"/>
    <x v="3"/>
    <s v="Francisco Lukeba"/>
    <s v="francisco.lukeba765@gmail.com"/>
    <s v="(25) 9 7431-9970"/>
    <x v="1"/>
    <n v="1200"/>
    <n v="9"/>
    <x v="7"/>
    <x v="1"/>
    <x v="3"/>
    <m/>
  </r>
  <r>
    <n v="766"/>
    <d v="2024-09-01T00:00:00"/>
    <x v="4"/>
    <s v="Pedro Lopes"/>
    <s v="pedro.lopes766@gmail.com"/>
    <s v="(59) 9 9140-8824"/>
    <x v="2"/>
    <n v="1500"/>
    <n v="18"/>
    <x v="0"/>
    <x v="1"/>
    <x v="3"/>
    <m/>
  </r>
  <r>
    <n v="767"/>
    <d v="2024-09-08T00:00:00"/>
    <x v="4"/>
    <s v="António Fernandes"/>
    <s v="antónio.fernandes767@gmail.com"/>
    <s v="(45) 9 9156-7741"/>
    <x v="1"/>
    <n v="800"/>
    <n v="8"/>
    <x v="8"/>
    <x v="0"/>
    <x v="0"/>
    <m/>
  </r>
  <r>
    <n v="768"/>
    <d v="2024-11-25T00:00:00"/>
    <x v="9"/>
    <s v="António Monteiro"/>
    <s v="antónio.monteiro768@gmail.com"/>
    <s v="(38) 9 9499-7324"/>
    <x v="1"/>
    <n v="800"/>
    <n v="12"/>
    <x v="19"/>
    <x v="1"/>
    <x v="3"/>
    <m/>
  </r>
  <r>
    <n v="769"/>
    <d v="2024-03-04T00:00:00"/>
    <x v="10"/>
    <s v="Mateus Silva"/>
    <s v="mateus.silva769@gmail.com"/>
    <s v="(59) 9 8505-9829"/>
    <x v="2"/>
    <n v="1500"/>
    <n v="1"/>
    <x v="13"/>
    <x v="1"/>
    <x v="3"/>
    <m/>
  </r>
  <r>
    <n v="770"/>
    <d v="2024-02-13T00:00:00"/>
    <x v="8"/>
    <s v="Samuel Santos"/>
    <s v="samuel.santos770@gmail.com"/>
    <s v="(34) 9 9911-7987"/>
    <x v="1"/>
    <n v="1200"/>
    <n v="8"/>
    <x v="4"/>
    <x v="1"/>
    <x v="2"/>
    <m/>
  </r>
  <r>
    <n v="771"/>
    <d v="2024-09-05T00:00:00"/>
    <x v="4"/>
    <s v="João Fernandes"/>
    <s v="joão.fernandes771@gmail.com"/>
    <s v="(59) 9 9486-7603"/>
    <x v="2"/>
    <n v="1500"/>
    <n v="20"/>
    <x v="18"/>
    <x v="1"/>
    <x v="3"/>
    <m/>
  </r>
  <r>
    <n v="772"/>
    <d v="2024-04-15T00:00:00"/>
    <x v="2"/>
    <s v="Bruno Tavares"/>
    <s v="bruno.tavares772@gmail.com"/>
    <s v="(20) 9 7381-9366"/>
    <x v="1"/>
    <n v="1200"/>
    <n v="20"/>
    <x v="9"/>
    <x v="1"/>
    <x v="1"/>
    <m/>
  </r>
  <r>
    <n v="773"/>
    <d v="2024-05-12T00:00:00"/>
    <x v="7"/>
    <s v="Teresa Pinto"/>
    <s v="teresa.pinto773@gmail.com"/>
    <s v="(26) 9 8576-7511"/>
    <x v="1"/>
    <n v="1200"/>
    <n v="12"/>
    <x v="18"/>
    <x v="1"/>
    <x v="1"/>
    <m/>
  </r>
  <r>
    <n v="774"/>
    <d v="2024-08-01T00:00:00"/>
    <x v="5"/>
    <s v="Marta Barbosa"/>
    <s v="marta.barbosa774@gmail.com"/>
    <s v="(59) 9 8682-8348"/>
    <x v="1"/>
    <n v="800"/>
    <n v="10"/>
    <x v="13"/>
    <x v="1"/>
    <x v="1"/>
    <m/>
  </r>
  <r>
    <n v="775"/>
    <d v="2024-12-14T00:00:00"/>
    <x v="0"/>
    <s v="Cláudia Costa"/>
    <s v="cláudia.costa775@gmail.com"/>
    <s v="(35) 9 9778-7596"/>
    <x v="1"/>
    <n v="800"/>
    <n v="15"/>
    <x v="5"/>
    <x v="1"/>
    <x v="3"/>
    <m/>
  </r>
  <r>
    <n v="776"/>
    <d v="2024-02-23T00:00:00"/>
    <x v="8"/>
    <s v="Pedro Santos"/>
    <s v="pedro.santos776@gmail.com"/>
    <s v="(51) 9 9540-9976"/>
    <x v="1"/>
    <n v="800"/>
    <n v="20"/>
    <x v="10"/>
    <x v="1"/>
    <x v="1"/>
    <m/>
  </r>
  <r>
    <n v="777"/>
    <d v="2024-04-11T00:00:00"/>
    <x v="2"/>
    <s v="Luís Andrade"/>
    <s v="luís.andrade777@gmail.com"/>
    <s v="(38) 9 8311-9975"/>
    <x v="2"/>
    <n v="1500"/>
    <n v="10"/>
    <x v="16"/>
    <x v="1"/>
    <x v="2"/>
    <m/>
  </r>
  <r>
    <n v="778"/>
    <d v="2024-10-09T00:00:00"/>
    <x v="1"/>
    <s v="João Andrade"/>
    <s v="joão.andrade778@gmail.com"/>
    <s v="(14) 9 9501-7606"/>
    <x v="1"/>
    <n v="1200"/>
    <n v="12"/>
    <x v="9"/>
    <x v="1"/>
    <x v="3"/>
    <m/>
  </r>
  <r>
    <n v="779"/>
    <d v="2024-11-21T00:00:00"/>
    <x v="9"/>
    <s v="Ana Domingues"/>
    <s v="ana.domingues779@gmail.com"/>
    <s v="(28) 9 9249-7926"/>
    <x v="1"/>
    <n v="800"/>
    <n v="1"/>
    <x v="7"/>
    <x v="1"/>
    <x v="1"/>
    <m/>
  </r>
  <r>
    <n v="780"/>
    <d v="2024-03-06T00:00:00"/>
    <x v="10"/>
    <s v="Adriano David"/>
    <s v="adriano.david780@gmail.com"/>
    <s v="(51) 9 7295-8606"/>
    <x v="1"/>
    <n v="800"/>
    <n v="17"/>
    <x v="8"/>
    <x v="1"/>
    <x v="2"/>
    <m/>
  </r>
  <r>
    <n v="781"/>
    <d v="2024-08-13T00:00:00"/>
    <x v="5"/>
    <s v="Fátima Miguel"/>
    <s v="fátima.miguel781@gmail.com"/>
    <s v="(36) 9 8656-8774"/>
    <x v="1"/>
    <n v="800"/>
    <n v="18"/>
    <x v="20"/>
    <x v="1"/>
    <x v="1"/>
    <m/>
  </r>
  <r>
    <n v="782"/>
    <d v="2024-05-20T00:00:00"/>
    <x v="7"/>
    <s v="Maria Rodrigues"/>
    <s v="maria.rodrigues782@gmail.com"/>
    <s v="(25) 9 9072-8285"/>
    <x v="2"/>
    <n v="1500"/>
    <n v="2"/>
    <x v="2"/>
    <x v="0"/>
    <x v="0"/>
    <m/>
  </r>
  <r>
    <n v="783"/>
    <d v="2024-04-29T00:00:00"/>
    <x v="2"/>
    <s v="Marta Miguel"/>
    <s v="marta.miguel783@gmail.com"/>
    <s v="(37) 9 8631-8184"/>
    <x v="1"/>
    <n v="800"/>
    <n v="2"/>
    <x v="8"/>
    <x v="1"/>
    <x v="1"/>
    <m/>
  </r>
  <r>
    <n v="784"/>
    <d v="2024-08-14T00:00:00"/>
    <x v="5"/>
    <s v="Adriano David"/>
    <s v="adriano.david784@gmail.com"/>
    <s v="(35) 9 8795-9188"/>
    <x v="2"/>
    <n v="1500"/>
    <n v="5"/>
    <x v="11"/>
    <x v="1"/>
    <x v="1"/>
    <m/>
  </r>
  <r>
    <n v="785"/>
    <d v="2024-06-22T00:00:00"/>
    <x v="11"/>
    <s v="Fátima Andrade"/>
    <s v="fátima.andrade785@gmail.com"/>
    <s v="(37) 9 9418-8853"/>
    <x v="2"/>
    <n v="1500"/>
    <n v="10"/>
    <x v="4"/>
    <x v="1"/>
    <x v="1"/>
    <m/>
  </r>
  <r>
    <n v="786"/>
    <d v="2024-07-31T00:00:00"/>
    <x v="3"/>
    <s v="Nelson Pereira"/>
    <s v="nelson.pereira786@gmail.com"/>
    <s v="(44) 9 7059-9837"/>
    <x v="2"/>
    <n v="1500"/>
    <n v="11"/>
    <x v="7"/>
    <x v="0"/>
    <x v="0"/>
    <m/>
  </r>
  <r>
    <n v="787"/>
    <d v="2024-11-12T00:00:00"/>
    <x v="9"/>
    <s v="David Martins"/>
    <s v="david.martins787@gmail.com"/>
    <s v="(31) 9 9126-9910"/>
    <x v="1"/>
    <n v="1200"/>
    <n v="15"/>
    <x v="8"/>
    <x v="1"/>
    <x v="3"/>
    <m/>
  </r>
  <r>
    <n v="788"/>
    <d v="2024-09-23T00:00:00"/>
    <x v="4"/>
    <s v="José Pereira"/>
    <s v="josé.pereira788@gmail.com"/>
    <s v="(59) 9 8420-9689"/>
    <x v="1"/>
    <n v="1200"/>
    <n v="17"/>
    <x v="16"/>
    <x v="1"/>
    <x v="2"/>
    <m/>
  </r>
  <r>
    <n v="789"/>
    <d v="2024-05-20T00:00:00"/>
    <x v="7"/>
    <s v="Luís Lukeba"/>
    <s v="luís.lukeba789@gmail.com"/>
    <s v="(26) 9 9676-7093"/>
    <x v="1"/>
    <n v="800"/>
    <n v="7"/>
    <x v="20"/>
    <x v="1"/>
    <x v="3"/>
    <m/>
  </r>
  <r>
    <n v="790"/>
    <d v="2024-02-21T00:00:00"/>
    <x v="8"/>
    <s v="Isabel David"/>
    <s v="isabel.david790@gmail.com"/>
    <s v="(25) 9 9277-7469"/>
    <x v="1"/>
    <n v="1200"/>
    <n v="19"/>
    <x v="5"/>
    <x v="1"/>
    <x v="2"/>
    <m/>
  </r>
  <r>
    <n v="791"/>
    <d v="2024-12-10T00:00:00"/>
    <x v="0"/>
    <s v="Manuel Tavares"/>
    <s v="manuel.tavares791@gmail.com"/>
    <s v="(17) 9 7845-7902"/>
    <x v="1"/>
    <n v="800"/>
    <n v="20"/>
    <x v="20"/>
    <x v="1"/>
    <x v="1"/>
    <m/>
  </r>
  <r>
    <n v="792"/>
    <d v="2024-12-24T00:00:00"/>
    <x v="0"/>
    <s v="Nelson Costa"/>
    <s v="nelson.costa792@gmail.com"/>
    <s v="(23) 9 7099-8016"/>
    <x v="1"/>
    <n v="1200"/>
    <n v="13"/>
    <x v="4"/>
    <x v="1"/>
    <x v="3"/>
    <m/>
  </r>
  <r>
    <n v="793"/>
    <d v="2024-04-03T00:00:00"/>
    <x v="2"/>
    <s v="Bruno Domingues"/>
    <s v="bruno.domingues793@gmail.com"/>
    <s v="(50) 9 7950-7455"/>
    <x v="1"/>
    <n v="800"/>
    <n v="14"/>
    <x v="6"/>
    <x v="0"/>
    <x v="0"/>
    <m/>
  </r>
  <r>
    <n v="794"/>
    <d v="2024-04-18T00:00:00"/>
    <x v="2"/>
    <s v="Luís Andrade"/>
    <s v="luís.andrade794@gmail.com"/>
    <s v="(40) 9 8668-9202"/>
    <x v="1"/>
    <n v="800"/>
    <n v="10"/>
    <x v="14"/>
    <x v="1"/>
    <x v="3"/>
    <m/>
  </r>
  <r>
    <n v="795"/>
    <d v="2024-01-19T00:00:00"/>
    <x v="6"/>
    <s v="Domingos Rodrigues"/>
    <s v="domingos.rodrigues795@gmail.com"/>
    <s v="(56) 9 7406-9112"/>
    <x v="2"/>
    <n v="1500"/>
    <n v="11"/>
    <x v="8"/>
    <x v="0"/>
    <x v="0"/>
    <m/>
  </r>
  <r>
    <n v="796"/>
    <d v="2024-06-04T00:00:00"/>
    <x v="11"/>
    <s v="Pedro Santos"/>
    <s v="pedro.santos796@gmail.com"/>
    <s v="(46) 9 9804-7258"/>
    <x v="1"/>
    <n v="800"/>
    <n v="7"/>
    <x v="2"/>
    <x v="1"/>
    <x v="2"/>
    <m/>
  </r>
  <r>
    <n v="797"/>
    <d v="2024-07-02T00:00:00"/>
    <x v="3"/>
    <s v="Helena Santos"/>
    <s v="helena.santos797@gmail.com"/>
    <s v="(31) 9 9155-7896"/>
    <x v="1"/>
    <n v="1200"/>
    <n v="10"/>
    <x v="17"/>
    <x v="1"/>
    <x v="3"/>
    <m/>
  </r>
  <r>
    <n v="798"/>
    <d v="2024-05-14T00:00:00"/>
    <x v="7"/>
    <s v="Cláudia Rodrigues"/>
    <s v="cláudia.rodrigues798@gmail.com"/>
    <s v="(52) 9 7977-8216"/>
    <x v="2"/>
    <n v="1500"/>
    <n v="15"/>
    <x v="0"/>
    <x v="1"/>
    <x v="2"/>
    <m/>
  </r>
  <r>
    <n v="799"/>
    <d v="2024-05-21T00:00:00"/>
    <x v="7"/>
    <s v="Helena Costa"/>
    <s v="helena.costa799@gmail.com"/>
    <s v="(58) 9 9160-7452"/>
    <x v="1"/>
    <n v="1200"/>
    <n v="13"/>
    <x v="6"/>
    <x v="1"/>
    <x v="2"/>
    <m/>
  </r>
  <r>
    <n v="800"/>
    <d v="2024-06-28T00:00:00"/>
    <x v="11"/>
    <s v="Rui Tavares"/>
    <s v="rui.tavares800@gmail.com"/>
    <s v="(39) 9 8436-9338"/>
    <x v="2"/>
    <n v="1500"/>
    <n v="15"/>
    <x v="11"/>
    <x v="1"/>
    <x v="2"/>
    <m/>
  </r>
  <r>
    <n v="801"/>
    <d v="2024-04-01T00:00:00"/>
    <x v="2"/>
    <s v="António Lukeba"/>
    <s v="antónio.lukeba801@gmail.com"/>
    <s v="(28) 9 9054-8970"/>
    <x v="2"/>
    <n v="1500"/>
    <n v="19"/>
    <x v="14"/>
    <x v="1"/>
    <x v="3"/>
    <m/>
  </r>
  <r>
    <n v="802"/>
    <d v="2024-07-03T00:00:00"/>
    <x v="3"/>
    <s v="Teresa Monteiro"/>
    <s v="teresa.monteiro802@gmail.com"/>
    <s v="(44) 9 8543-8431"/>
    <x v="1"/>
    <n v="800"/>
    <n v="1"/>
    <x v="1"/>
    <x v="0"/>
    <x v="0"/>
    <m/>
  </r>
  <r>
    <n v="803"/>
    <d v="2024-02-08T00:00:00"/>
    <x v="8"/>
    <s v="Bruno Rodrigues"/>
    <s v="bruno.rodrigues803@gmail.com"/>
    <s v="(23) 9 7794-8690"/>
    <x v="1"/>
    <n v="1200"/>
    <n v="17"/>
    <x v="11"/>
    <x v="1"/>
    <x v="2"/>
    <m/>
  </r>
  <r>
    <n v="804"/>
    <d v="2024-06-22T00:00:00"/>
    <x v="11"/>
    <s v="Marta Soares"/>
    <s v="marta.soares804@gmail.com"/>
    <s v="(15) 9 8567-8134"/>
    <x v="1"/>
    <n v="1200"/>
    <n v="16"/>
    <x v="14"/>
    <x v="0"/>
    <x v="0"/>
    <m/>
  </r>
  <r>
    <n v="805"/>
    <d v="2024-02-04T00:00:00"/>
    <x v="8"/>
    <s v="David Pinto"/>
    <s v="david.pinto805@gmail.com"/>
    <s v="(12) 9 9037-9326"/>
    <x v="1"/>
    <n v="1200"/>
    <n v="1"/>
    <x v="12"/>
    <x v="1"/>
    <x v="3"/>
    <m/>
  </r>
  <r>
    <n v="806"/>
    <d v="2024-12-21T00:00:00"/>
    <x v="0"/>
    <s v="Bruno Soares"/>
    <s v="bruno.soares806@gmail.com"/>
    <s v="(54) 9 7129-7455"/>
    <x v="1"/>
    <n v="1200"/>
    <n v="3"/>
    <x v="20"/>
    <x v="1"/>
    <x v="2"/>
    <m/>
  </r>
  <r>
    <n v="807"/>
    <d v="2024-08-24T00:00:00"/>
    <x v="5"/>
    <s v="José Domingues"/>
    <s v="josé.domingues807@gmail.com"/>
    <s v="(15) 9 9655-9859"/>
    <x v="2"/>
    <n v="1500"/>
    <n v="7"/>
    <x v="19"/>
    <x v="1"/>
    <x v="1"/>
    <m/>
  </r>
  <r>
    <n v="808"/>
    <d v="2024-01-31T00:00:00"/>
    <x v="6"/>
    <s v="Joaquim Andrade"/>
    <s v="joaquim.andrade808@gmail.com"/>
    <s v="(35) 9 9113-8099"/>
    <x v="1"/>
    <n v="1200"/>
    <n v="1"/>
    <x v="9"/>
    <x v="1"/>
    <x v="3"/>
    <m/>
  </r>
  <r>
    <n v="809"/>
    <d v="2024-07-19T00:00:00"/>
    <x v="3"/>
    <s v="Marta Costa"/>
    <s v="marta.costa809@gmail.com"/>
    <s v="(24) 9 9011-9306"/>
    <x v="2"/>
    <n v="1500"/>
    <n v="20"/>
    <x v="14"/>
    <x v="1"/>
    <x v="2"/>
    <m/>
  </r>
  <r>
    <n v="810"/>
    <d v="2024-07-27T00:00:00"/>
    <x v="3"/>
    <s v="João Martins"/>
    <s v="joão.martins810@gmail.com"/>
    <s v="(53) 9 8375-8321"/>
    <x v="2"/>
    <n v="1500"/>
    <n v="10"/>
    <x v="8"/>
    <x v="0"/>
    <x v="0"/>
    <m/>
  </r>
  <r>
    <n v="811"/>
    <d v="2024-07-12T00:00:00"/>
    <x v="3"/>
    <s v="Samuel Almeida"/>
    <s v="samuel.almeida811@gmail.com"/>
    <s v="(47) 9 8447-7291"/>
    <x v="2"/>
    <n v="1500"/>
    <n v="11"/>
    <x v="2"/>
    <x v="1"/>
    <x v="3"/>
    <m/>
  </r>
  <r>
    <n v="812"/>
    <d v="2024-09-01T00:00:00"/>
    <x v="4"/>
    <s v="Mateus Fernandes"/>
    <s v="mateus.fernandes812@gmail.com"/>
    <s v="(58) 9 7926-7617"/>
    <x v="1"/>
    <n v="1200"/>
    <n v="18"/>
    <x v="5"/>
    <x v="1"/>
    <x v="1"/>
    <m/>
  </r>
  <r>
    <n v="813"/>
    <d v="2024-05-22T00:00:00"/>
    <x v="7"/>
    <s v="Rui Monteiro"/>
    <s v="rui.monteiro813@gmail.com"/>
    <s v="(34) 9 9933-7451"/>
    <x v="2"/>
    <n v="1500"/>
    <n v="7"/>
    <x v="2"/>
    <x v="1"/>
    <x v="2"/>
    <m/>
  </r>
  <r>
    <n v="814"/>
    <d v="2024-09-03T00:00:00"/>
    <x v="4"/>
    <s v="Ana Costa"/>
    <s v="ana.costa814@gmail.com"/>
    <s v="(40) 9 8458-9162"/>
    <x v="1"/>
    <n v="1200"/>
    <n v="11"/>
    <x v="17"/>
    <x v="1"/>
    <x v="3"/>
    <m/>
  </r>
  <r>
    <n v="815"/>
    <d v="2024-05-26T00:00:00"/>
    <x v="7"/>
    <s v="David Domingues"/>
    <s v="david.domingues815@gmail.com"/>
    <s v="(36) 9 8951-8246"/>
    <x v="2"/>
    <n v="1500"/>
    <n v="1"/>
    <x v="13"/>
    <x v="1"/>
    <x v="1"/>
    <m/>
  </r>
  <r>
    <n v="816"/>
    <d v="2024-01-19T00:00:00"/>
    <x v="6"/>
    <s v="Marta Martins"/>
    <s v="marta.martins816@gmail.com"/>
    <s v="(54) 9 8391-8859"/>
    <x v="2"/>
    <n v="1500"/>
    <n v="15"/>
    <x v="20"/>
    <x v="1"/>
    <x v="1"/>
    <m/>
  </r>
  <r>
    <n v="817"/>
    <d v="2024-05-02T00:00:00"/>
    <x v="7"/>
    <s v="Pedro Lukeba"/>
    <s v="pedro.lukeba817@gmail.com"/>
    <s v="(31) 9 7824-8470"/>
    <x v="1"/>
    <n v="800"/>
    <n v="20"/>
    <x v="7"/>
    <x v="0"/>
    <x v="0"/>
    <m/>
  </r>
  <r>
    <n v="818"/>
    <d v="2024-07-13T00:00:00"/>
    <x v="3"/>
    <s v="Bruno Silva"/>
    <s v="bruno.silva818@gmail.com"/>
    <s v="(39) 9 9450-9722"/>
    <x v="1"/>
    <n v="1200"/>
    <n v="12"/>
    <x v="3"/>
    <x v="1"/>
    <x v="1"/>
    <m/>
  </r>
  <r>
    <n v="819"/>
    <d v="2024-08-05T00:00:00"/>
    <x v="5"/>
    <s v="Maria Monteiro"/>
    <s v="maria.monteiro819@gmail.com"/>
    <s v="(35) 9 7522-8068"/>
    <x v="1"/>
    <n v="1200"/>
    <n v="7"/>
    <x v="4"/>
    <x v="1"/>
    <x v="1"/>
    <m/>
  </r>
  <r>
    <n v="820"/>
    <d v="2024-07-02T00:00:00"/>
    <x v="3"/>
    <s v="Rosa Gomes"/>
    <s v="rosa.gomes820@gmail.com"/>
    <s v="(51) 9 8956-8362"/>
    <x v="1"/>
    <n v="1200"/>
    <n v="9"/>
    <x v="5"/>
    <x v="1"/>
    <x v="3"/>
    <m/>
  </r>
  <r>
    <n v="821"/>
    <d v="2024-10-15T00:00:00"/>
    <x v="1"/>
    <s v="Luís Costa"/>
    <s v="luís.costa821@gmail.com"/>
    <s v="(30) 9 9575-8437"/>
    <x v="2"/>
    <n v="1500"/>
    <n v="10"/>
    <x v="10"/>
    <x v="1"/>
    <x v="3"/>
    <m/>
  </r>
  <r>
    <n v="822"/>
    <d v="2024-04-18T00:00:00"/>
    <x v="2"/>
    <s v="Cláudia Lopes"/>
    <s v="cláudia.lopes822@gmail.com"/>
    <s v="(36) 9 7991-7000"/>
    <x v="1"/>
    <n v="800"/>
    <n v="14"/>
    <x v="6"/>
    <x v="1"/>
    <x v="1"/>
    <m/>
  </r>
  <r>
    <n v="823"/>
    <d v="2024-08-01T00:00:00"/>
    <x v="5"/>
    <s v="Domingos Costa"/>
    <s v="domingos.costa823@gmail.com"/>
    <s v="(49) 9 7924-8972"/>
    <x v="2"/>
    <n v="1500"/>
    <n v="14"/>
    <x v="20"/>
    <x v="1"/>
    <x v="2"/>
    <m/>
  </r>
  <r>
    <n v="824"/>
    <d v="2024-10-20T00:00:00"/>
    <x v="1"/>
    <s v="Benedito Lukeba"/>
    <s v="benedito.lukeba824@gmail.com"/>
    <s v="(32) 9 8734-7117"/>
    <x v="2"/>
    <n v="1500"/>
    <n v="9"/>
    <x v="20"/>
    <x v="1"/>
    <x v="3"/>
    <m/>
  </r>
  <r>
    <n v="825"/>
    <d v="2024-06-17T00:00:00"/>
    <x v="11"/>
    <s v="Maria Soares"/>
    <s v="maria.soares825@gmail.com"/>
    <s v="(10) 9 8507-8452"/>
    <x v="2"/>
    <n v="1500"/>
    <n v="10"/>
    <x v="10"/>
    <x v="1"/>
    <x v="2"/>
    <m/>
  </r>
  <r>
    <n v="826"/>
    <d v="2024-08-07T00:00:00"/>
    <x v="5"/>
    <s v="Maria Fernandes"/>
    <s v="maria.fernandes826@gmail.com"/>
    <s v="(45) 9 8457-7642"/>
    <x v="1"/>
    <n v="800"/>
    <n v="2"/>
    <x v="16"/>
    <x v="1"/>
    <x v="3"/>
    <m/>
  </r>
  <r>
    <n v="827"/>
    <d v="2024-11-23T00:00:00"/>
    <x v="9"/>
    <s v="Carlos Martins"/>
    <s v="carlos.martins827@gmail.com"/>
    <s v="(33) 9 8255-8883"/>
    <x v="2"/>
    <n v="1500"/>
    <n v="5"/>
    <x v="14"/>
    <x v="1"/>
    <x v="3"/>
    <m/>
  </r>
  <r>
    <n v="828"/>
    <d v="2024-01-21T00:00:00"/>
    <x v="6"/>
    <s v="Bruno Santos"/>
    <s v="bruno.santos828@gmail.com"/>
    <s v="(60) 9 7053-9706"/>
    <x v="2"/>
    <n v="1500"/>
    <n v="3"/>
    <x v="5"/>
    <x v="0"/>
    <x v="0"/>
    <m/>
  </r>
  <r>
    <n v="829"/>
    <d v="2024-05-17T00:00:00"/>
    <x v="7"/>
    <s v="Sofia Martins"/>
    <s v="sofia.martins829@gmail.com"/>
    <s v="(21) 9 8178-8782"/>
    <x v="1"/>
    <n v="800"/>
    <n v="10"/>
    <x v="10"/>
    <x v="1"/>
    <x v="1"/>
    <m/>
  </r>
  <r>
    <n v="830"/>
    <d v="2024-09-14T00:00:00"/>
    <x v="4"/>
    <s v="Luís David"/>
    <s v="luís.david830@gmail.com"/>
    <s v="(43) 9 8401-9727"/>
    <x v="1"/>
    <n v="800"/>
    <n v="6"/>
    <x v="1"/>
    <x v="0"/>
    <x v="0"/>
    <m/>
  </r>
  <r>
    <n v="831"/>
    <d v="2024-09-10T00:00:00"/>
    <x v="4"/>
    <s v="Teresa Santos"/>
    <s v="teresa.santos831@gmail.com"/>
    <s v="(56) 9 9583-9841"/>
    <x v="2"/>
    <n v="1500"/>
    <n v="11"/>
    <x v="13"/>
    <x v="1"/>
    <x v="1"/>
    <m/>
  </r>
  <r>
    <n v="832"/>
    <d v="2024-07-05T00:00:00"/>
    <x v="3"/>
    <s v="Paulo Silva"/>
    <s v="paulo.silva832@gmail.com"/>
    <s v="(59) 9 7688-9103"/>
    <x v="2"/>
    <n v="1500"/>
    <n v="18"/>
    <x v="5"/>
    <x v="1"/>
    <x v="2"/>
    <m/>
  </r>
  <r>
    <n v="833"/>
    <d v="2024-06-05T00:00:00"/>
    <x v="11"/>
    <s v="João Monteiro"/>
    <s v="joão.monteiro833@gmail.com"/>
    <s v="(60) 9 9892-7411"/>
    <x v="1"/>
    <n v="1200"/>
    <n v="8"/>
    <x v="7"/>
    <x v="1"/>
    <x v="3"/>
    <m/>
  </r>
  <r>
    <n v="834"/>
    <d v="2024-11-29T00:00:00"/>
    <x v="9"/>
    <s v="Ana Barbosa"/>
    <s v="ana.barbosa834@gmail.com"/>
    <s v="(43) 9 9671-9510"/>
    <x v="1"/>
    <n v="1200"/>
    <n v="5"/>
    <x v="6"/>
    <x v="1"/>
    <x v="3"/>
    <m/>
  </r>
  <r>
    <n v="835"/>
    <d v="2024-08-20T00:00:00"/>
    <x v="5"/>
    <s v="Sofia Tavares"/>
    <s v="sofia.tavares835@gmail.com"/>
    <s v="(15) 9 9448-8891"/>
    <x v="2"/>
    <n v="1500"/>
    <n v="5"/>
    <x v="8"/>
    <x v="0"/>
    <x v="0"/>
    <m/>
  </r>
  <r>
    <n v="836"/>
    <d v="2024-06-06T00:00:00"/>
    <x v="11"/>
    <s v="Pedro Costa"/>
    <s v="pedro.costa836@gmail.com"/>
    <s v="(21) 9 8365-7730"/>
    <x v="1"/>
    <n v="800"/>
    <n v="6"/>
    <x v="11"/>
    <x v="1"/>
    <x v="3"/>
    <m/>
  </r>
  <r>
    <n v="837"/>
    <d v="2024-07-30T00:00:00"/>
    <x v="3"/>
    <s v="Rosa Rodrigues"/>
    <s v="rosa.rodrigues837@gmail.com"/>
    <s v="(14) 9 8320-9336"/>
    <x v="2"/>
    <n v="1500"/>
    <n v="19"/>
    <x v="19"/>
    <x v="1"/>
    <x v="2"/>
    <m/>
  </r>
  <r>
    <n v="838"/>
    <d v="2024-01-29T00:00:00"/>
    <x v="6"/>
    <s v="Bruno Pinto"/>
    <s v="bruno.pinto838@gmail.com"/>
    <s v="(40) 9 8199-7265"/>
    <x v="2"/>
    <n v="1500"/>
    <n v="9"/>
    <x v="4"/>
    <x v="0"/>
    <x v="0"/>
    <m/>
  </r>
  <r>
    <n v="839"/>
    <d v="2024-12-24T00:00:00"/>
    <x v="0"/>
    <s v="Joaquim Pereira"/>
    <s v="joaquim.pereira839@gmail.com"/>
    <s v="(27) 9 8993-8856"/>
    <x v="2"/>
    <n v="1500"/>
    <n v="1"/>
    <x v="3"/>
    <x v="0"/>
    <x v="0"/>
    <m/>
  </r>
  <r>
    <n v="840"/>
    <d v="2024-10-20T00:00:00"/>
    <x v="1"/>
    <s v="Luís Martins"/>
    <s v="luís.martins840@gmail.com"/>
    <s v="(60) 9 7083-8786"/>
    <x v="1"/>
    <n v="1200"/>
    <n v="3"/>
    <x v="12"/>
    <x v="1"/>
    <x v="1"/>
    <m/>
  </r>
  <r>
    <n v="841"/>
    <d v="2024-01-31T00:00:00"/>
    <x v="6"/>
    <s v="Mateus Barbosa"/>
    <s v="mateus.barbosa841@gmail.com"/>
    <s v="(40) 9 7519-9500"/>
    <x v="1"/>
    <n v="1200"/>
    <n v="6"/>
    <x v="14"/>
    <x v="1"/>
    <x v="1"/>
    <m/>
  </r>
  <r>
    <n v="842"/>
    <d v="2024-06-07T00:00:00"/>
    <x v="11"/>
    <s v="Teresa David"/>
    <s v="teresa.david842@gmail.com"/>
    <s v="(39) 9 7078-7076"/>
    <x v="1"/>
    <n v="800"/>
    <n v="17"/>
    <x v="3"/>
    <x v="0"/>
    <x v="0"/>
    <m/>
  </r>
  <r>
    <n v="843"/>
    <d v="2024-11-07T00:00:00"/>
    <x v="9"/>
    <s v="Marta Tavares"/>
    <s v="marta.tavares843@gmail.com"/>
    <s v="(55) 9 8342-8082"/>
    <x v="1"/>
    <n v="800"/>
    <n v="15"/>
    <x v="15"/>
    <x v="1"/>
    <x v="2"/>
    <m/>
  </r>
  <r>
    <n v="844"/>
    <d v="2024-06-19T00:00:00"/>
    <x v="11"/>
    <s v="Teresa Lopes"/>
    <s v="teresa.lopes844@gmail.com"/>
    <s v="(10) 9 7250-8987"/>
    <x v="2"/>
    <n v="1500"/>
    <n v="5"/>
    <x v="9"/>
    <x v="1"/>
    <x v="2"/>
    <m/>
  </r>
  <r>
    <n v="845"/>
    <d v="2024-11-25T00:00:00"/>
    <x v="9"/>
    <s v="Isabel Pinto"/>
    <s v="isabel.pinto845@gmail.com"/>
    <s v="(58) 9 8929-7126"/>
    <x v="1"/>
    <n v="800"/>
    <n v="16"/>
    <x v="20"/>
    <x v="1"/>
    <x v="3"/>
    <m/>
  </r>
  <r>
    <n v="846"/>
    <d v="2024-06-02T00:00:00"/>
    <x v="11"/>
    <s v="Ana Silva"/>
    <s v="ana.silva846@gmail.com"/>
    <s v="(10) 9 9824-8129"/>
    <x v="1"/>
    <n v="800"/>
    <n v="7"/>
    <x v="13"/>
    <x v="1"/>
    <x v="1"/>
    <m/>
  </r>
  <r>
    <n v="847"/>
    <d v="2024-12-02T00:00:00"/>
    <x v="0"/>
    <s v="Pedro Miguel"/>
    <s v="pedro.miguel847@gmail.com"/>
    <s v="(28) 9 9345-9374"/>
    <x v="1"/>
    <n v="1200"/>
    <n v="19"/>
    <x v="0"/>
    <x v="1"/>
    <x v="1"/>
    <m/>
  </r>
  <r>
    <n v="848"/>
    <d v="2024-11-21T00:00:00"/>
    <x v="9"/>
    <s v="Maria Martins"/>
    <s v="maria.martins848@gmail.com"/>
    <s v="(49) 9 7358-8439"/>
    <x v="1"/>
    <n v="800"/>
    <n v="4"/>
    <x v="13"/>
    <x v="1"/>
    <x v="1"/>
    <m/>
  </r>
  <r>
    <n v="849"/>
    <d v="2024-01-30T00:00:00"/>
    <x v="6"/>
    <s v="Maria Soares"/>
    <s v="maria.soares849@gmail.com"/>
    <s v="(17) 9 7769-8122"/>
    <x v="2"/>
    <n v="1500"/>
    <n v="3"/>
    <x v="14"/>
    <x v="1"/>
    <x v="3"/>
    <m/>
  </r>
  <r>
    <n v="850"/>
    <d v="2024-10-20T00:00:00"/>
    <x v="1"/>
    <s v="Adriano Monteiro"/>
    <s v="adriano.monteiro850@gmail.com"/>
    <s v="(52) 9 9290-7520"/>
    <x v="1"/>
    <n v="1200"/>
    <n v="6"/>
    <x v="2"/>
    <x v="0"/>
    <x v="0"/>
    <m/>
  </r>
  <r>
    <n v="851"/>
    <d v="2024-08-06T00:00:00"/>
    <x v="5"/>
    <s v="Marta Fernandes"/>
    <s v="marta.fernandes851@gmail.com"/>
    <s v="(53) 9 8323-8582"/>
    <x v="2"/>
    <n v="1500"/>
    <n v="9"/>
    <x v="5"/>
    <x v="1"/>
    <x v="3"/>
    <m/>
  </r>
  <r>
    <n v="852"/>
    <d v="2024-02-01T00:00:00"/>
    <x v="8"/>
    <s v="José Miguel"/>
    <s v="josé.miguel852@gmail.com"/>
    <s v="(31) 9 9739-9072"/>
    <x v="1"/>
    <n v="1200"/>
    <n v="10"/>
    <x v="6"/>
    <x v="1"/>
    <x v="2"/>
    <m/>
  </r>
  <r>
    <n v="853"/>
    <d v="2024-07-27T00:00:00"/>
    <x v="3"/>
    <s v="Cláudia Miguel"/>
    <s v="cláudia.miguel853@gmail.com"/>
    <s v="(31) 9 7296-9764"/>
    <x v="2"/>
    <n v="1500"/>
    <n v="10"/>
    <x v="8"/>
    <x v="1"/>
    <x v="1"/>
    <m/>
  </r>
  <r>
    <n v="854"/>
    <d v="2024-05-02T00:00:00"/>
    <x v="7"/>
    <s v="Mateus Lopes"/>
    <s v="mateus.lopes854@gmail.com"/>
    <s v="(52) 9 8943-7707"/>
    <x v="2"/>
    <n v="1500"/>
    <n v="1"/>
    <x v="20"/>
    <x v="1"/>
    <x v="2"/>
    <m/>
  </r>
  <r>
    <n v="855"/>
    <d v="2024-11-27T00:00:00"/>
    <x v="9"/>
    <s v="Isabel Costa"/>
    <s v="isabel.costa855@gmail.com"/>
    <s v="(22) 9 7037-7334"/>
    <x v="1"/>
    <n v="1200"/>
    <n v="20"/>
    <x v="2"/>
    <x v="0"/>
    <x v="0"/>
    <m/>
  </r>
  <r>
    <n v="856"/>
    <d v="2024-02-18T00:00:00"/>
    <x v="8"/>
    <s v="Manuel Costa"/>
    <s v="manuel.costa856@gmail.com"/>
    <s v="(33) 9 9809-7162"/>
    <x v="1"/>
    <n v="1200"/>
    <n v="12"/>
    <x v="3"/>
    <x v="1"/>
    <x v="3"/>
    <m/>
  </r>
  <r>
    <n v="857"/>
    <d v="2024-05-03T00:00:00"/>
    <x v="7"/>
    <s v="Helena Santos"/>
    <s v="helena.santos857@gmail.com"/>
    <s v="(51) 9 7489-7595"/>
    <x v="1"/>
    <n v="1200"/>
    <n v="19"/>
    <x v="13"/>
    <x v="1"/>
    <x v="3"/>
    <m/>
  </r>
  <r>
    <n v="858"/>
    <d v="2024-12-14T00:00:00"/>
    <x v="0"/>
    <s v="Benedito Soares"/>
    <s v="benedito.soares858@gmail.com"/>
    <s v="(56) 9 9003-9116"/>
    <x v="1"/>
    <n v="800"/>
    <n v="11"/>
    <x v="6"/>
    <x v="0"/>
    <x v="0"/>
    <m/>
  </r>
  <r>
    <n v="859"/>
    <d v="2024-05-29T00:00:00"/>
    <x v="7"/>
    <s v="Carlos Almeida"/>
    <s v="carlos.almeida859@gmail.com"/>
    <s v="(22) 9 7690-8035"/>
    <x v="2"/>
    <n v="1500"/>
    <n v="7"/>
    <x v="8"/>
    <x v="1"/>
    <x v="3"/>
    <m/>
  </r>
  <r>
    <n v="860"/>
    <d v="2024-11-20T00:00:00"/>
    <x v="9"/>
    <s v="Samuel Monteiro"/>
    <s v="samuel.monteiro860@gmail.com"/>
    <s v="(28) 9 9131-7951"/>
    <x v="1"/>
    <n v="1200"/>
    <n v="18"/>
    <x v="13"/>
    <x v="1"/>
    <x v="2"/>
    <m/>
  </r>
  <r>
    <n v="861"/>
    <d v="2024-09-19T00:00:00"/>
    <x v="4"/>
    <s v="Maria Domingues"/>
    <s v="maria.domingues861@gmail.com"/>
    <s v="(15) 9 8010-7515"/>
    <x v="2"/>
    <n v="1500"/>
    <n v="19"/>
    <x v="2"/>
    <x v="1"/>
    <x v="2"/>
    <m/>
  </r>
  <r>
    <n v="862"/>
    <d v="2024-04-20T00:00:00"/>
    <x v="2"/>
    <s v="Ana Fernandes"/>
    <s v="ana.fernandes862@gmail.com"/>
    <s v="(13) 9 9661-8047"/>
    <x v="2"/>
    <n v="1500"/>
    <n v="7"/>
    <x v="8"/>
    <x v="1"/>
    <x v="3"/>
    <m/>
  </r>
  <r>
    <n v="863"/>
    <d v="2024-09-20T00:00:00"/>
    <x v="4"/>
    <s v="Paulo Gomes"/>
    <s v="paulo.gomes863@gmail.com"/>
    <s v="(30) 9 8108-8876"/>
    <x v="1"/>
    <n v="800"/>
    <n v="7"/>
    <x v="16"/>
    <x v="0"/>
    <x v="0"/>
    <m/>
  </r>
  <r>
    <n v="864"/>
    <d v="2024-06-24T00:00:00"/>
    <x v="11"/>
    <s v="David Fernandes"/>
    <s v="david.fernandes864@gmail.com"/>
    <s v="(37) 9 8297-8588"/>
    <x v="1"/>
    <n v="1200"/>
    <n v="16"/>
    <x v="1"/>
    <x v="1"/>
    <x v="2"/>
    <m/>
  </r>
  <r>
    <n v="865"/>
    <d v="2024-08-24T00:00:00"/>
    <x v="5"/>
    <s v="Benedito Barbosa"/>
    <s v="benedito.barbosa865@gmail.com"/>
    <s v="(38) 9 9939-8113"/>
    <x v="1"/>
    <n v="800"/>
    <n v="5"/>
    <x v="0"/>
    <x v="1"/>
    <x v="1"/>
    <m/>
  </r>
  <r>
    <n v="866"/>
    <d v="2024-01-24T00:00:00"/>
    <x v="6"/>
    <s v="Marta Costa"/>
    <s v="marta.costa866@gmail.com"/>
    <s v="(19) 9 9868-7145"/>
    <x v="1"/>
    <n v="800"/>
    <n v="12"/>
    <x v="19"/>
    <x v="0"/>
    <x v="0"/>
    <m/>
  </r>
  <r>
    <n v="867"/>
    <d v="2024-09-07T00:00:00"/>
    <x v="4"/>
    <s v="Isabel Barbosa"/>
    <s v="isabel.barbosa867@gmail.com"/>
    <s v="(57) 9 9420-8171"/>
    <x v="2"/>
    <n v="1500"/>
    <n v="15"/>
    <x v="16"/>
    <x v="1"/>
    <x v="1"/>
    <m/>
  </r>
  <r>
    <n v="868"/>
    <d v="2024-03-12T00:00:00"/>
    <x v="10"/>
    <s v="Francisco Pereira"/>
    <s v="francisco.pereira868@gmail.com"/>
    <s v="(11) 9 9998-9582"/>
    <x v="2"/>
    <n v="1500"/>
    <n v="7"/>
    <x v="6"/>
    <x v="0"/>
    <x v="0"/>
    <m/>
  </r>
  <r>
    <n v="869"/>
    <d v="2024-01-20T00:00:00"/>
    <x v="6"/>
    <s v="Francisco Rodrigues"/>
    <s v="francisco.rodrigues869@gmail.com"/>
    <s v="(27) 9 7727-7414"/>
    <x v="1"/>
    <n v="1200"/>
    <n v="12"/>
    <x v="10"/>
    <x v="1"/>
    <x v="3"/>
    <m/>
  </r>
  <r>
    <n v="870"/>
    <d v="2024-06-19T00:00:00"/>
    <x v="11"/>
    <s v="Carlos Silva"/>
    <s v="carlos.silva870@gmail.com"/>
    <s v="(22) 9 7830-7140"/>
    <x v="1"/>
    <n v="800"/>
    <n v="5"/>
    <x v="16"/>
    <x v="1"/>
    <x v="1"/>
    <m/>
  </r>
  <r>
    <n v="871"/>
    <d v="2024-11-19T00:00:00"/>
    <x v="9"/>
    <s v="Mateus Miguel"/>
    <s v="mateus.miguel871@gmail.com"/>
    <s v="(29) 9 7322-9383"/>
    <x v="1"/>
    <n v="800"/>
    <n v="17"/>
    <x v="16"/>
    <x v="1"/>
    <x v="2"/>
    <m/>
  </r>
  <r>
    <n v="872"/>
    <d v="2024-11-10T00:00:00"/>
    <x v="9"/>
    <s v="Carlos Martins"/>
    <s v="carlos.martins872@gmail.com"/>
    <s v="(21) 9 8525-8867"/>
    <x v="1"/>
    <n v="1200"/>
    <n v="3"/>
    <x v="11"/>
    <x v="1"/>
    <x v="3"/>
    <m/>
  </r>
  <r>
    <n v="873"/>
    <d v="2024-02-11T00:00:00"/>
    <x v="8"/>
    <s v="Francisco Gomes"/>
    <s v="francisco.gomes873@gmail.com"/>
    <s v="(22) 9 7294-7157"/>
    <x v="1"/>
    <n v="800"/>
    <n v="11"/>
    <x v="15"/>
    <x v="1"/>
    <x v="3"/>
    <m/>
  </r>
  <r>
    <n v="874"/>
    <d v="2024-10-13T00:00:00"/>
    <x v="1"/>
    <s v="Joaquim Pereira"/>
    <s v="joaquim.pereira874@gmail.com"/>
    <s v="(48) 9 9560-9294"/>
    <x v="2"/>
    <n v="1500"/>
    <n v="17"/>
    <x v="17"/>
    <x v="1"/>
    <x v="2"/>
    <m/>
  </r>
  <r>
    <n v="875"/>
    <d v="2024-11-17T00:00:00"/>
    <x v="9"/>
    <s v="Sofia Pereira"/>
    <s v="sofia.pereira875@gmail.com"/>
    <s v="(19) 9 9493-7453"/>
    <x v="1"/>
    <n v="1200"/>
    <n v="10"/>
    <x v="7"/>
    <x v="0"/>
    <x v="0"/>
    <m/>
  </r>
  <r>
    <n v="876"/>
    <d v="2024-08-04T00:00:00"/>
    <x v="5"/>
    <s v="Mateus Fernandes"/>
    <s v="mateus.fernandes876@gmail.com"/>
    <s v="(54) 9 9870-9870"/>
    <x v="1"/>
    <n v="1200"/>
    <n v="3"/>
    <x v="6"/>
    <x v="1"/>
    <x v="1"/>
    <m/>
  </r>
  <r>
    <n v="877"/>
    <d v="2024-06-28T00:00:00"/>
    <x v="11"/>
    <s v="Pedro Domingues"/>
    <s v="pedro.domingues877@gmail.com"/>
    <s v="(10) 9 7411-9358"/>
    <x v="2"/>
    <n v="1500"/>
    <n v="2"/>
    <x v="17"/>
    <x v="1"/>
    <x v="3"/>
    <m/>
  </r>
  <r>
    <n v="878"/>
    <d v="2024-05-09T00:00:00"/>
    <x v="7"/>
    <s v="Mateus Miguel"/>
    <s v="mateus.miguel878@gmail.com"/>
    <s v="(48) 9 9549-7114"/>
    <x v="2"/>
    <n v="1500"/>
    <n v="5"/>
    <x v="16"/>
    <x v="1"/>
    <x v="2"/>
    <m/>
  </r>
  <r>
    <n v="879"/>
    <d v="2024-05-10T00:00:00"/>
    <x v="7"/>
    <s v="Samuel Gomes"/>
    <s v="samuel.gomes879@gmail.com"/>
    <s v="(60) 9 9688-7274"/>
    <x v="1"/>
    <n v="1200"/>
    <n v="13"/>
    <x v="9"/>
    <x v="1"/>
    <x v="3"/>
    <m/>
  </r>
  <r>
    <n v="880"/>
    <d v="2024-01-26T00:00:00"/>
    <x v="6"/>
    <s v="Samuel Almeida"/>
    <s v="samuel.almeida880@gmail.com"/>
    <s v="(30) 9 8419-7154"/>
    <x v="2"/>
    <n v="1500"/>
    <n v="20"/>
    <x v="20"/>
    <x v="1"/>
    <x v="2"/>
    <m/>
  </r>
  <r>
    <n v="881"/>
    <d v="2024-01-07T00:00:00"/>
    <x v="6"/>
    <s v="Nelson Soares"/>
    <s v="nelson.soares881@gmail.com"/>
    <s v="(24) 9 8605-8298"/>
    <x v="1"/>
    <n v="800"/>
    <n v="4"/>
    <x v="4"/>
    <x v="0"/>
    <x v="0"/>
    <m/>
  </r>
  <r>
    <n v="882"/>
    <d v="2024-09-21T00:00:00"/>
    <x v="4"/>
    <s v="Mateus Almeida"/>
    <s v="mateus.almeida882@gmail.com"/>
    <s v="(52) 9 8081-7271"/>
    <x v="1"/>
    <n v="800"/>
    <n v="14"/>
    <x v="15"/>
    <x v="1"/>
    <x v="3"/>
    <m/>
  </r>
  <r>
    <n v="883"/>
    <d v="2024-04-14T00:00:00"/>
    <x v="2"/>
    <s v="Francisco Miguel"/>
    <s v="francisco.miguel883@gmail.com"/>
    <s v="(25) 9 8771-9056"/>
    <x v="1"/>
    <n v="1200"/>
    <n v="1"/>
    <x v="14"/>
    <x v="1"/>
    <x v="2"/>
    <m/>
  </r>
  <r>
    <n v="884"/>
    <d v="2024-09-09T00:00:00"/>
    <x v="4"/>
    <s v="Domingos David"/>
    <s v="domingos.david884@gmail.com"/>
    <s v="(38) 9 9864-9051"/>
    <x v="1"/>
    <n v="800"/>
    <n v="3"/>
    <x v="15"/>
    <x v="1"/>
    <x v="3"/>
    <m/>
  </r>
  <r>
    <n v="885"/>
    <d v="2024-08-29T00:00:00"/>
    <x v="5"/>
    <s v="Adriano Martins"/>
    <s v="adriano.martins885@gmail.com"/>
    <s v="(13) 9 8250-7862"/>
    <x v="1"/>
    <n v="1200"/>
    <n v="9"/>
    <x v="15"/>
    <x v="0"/>
    <x v="0"/>
    <m/>
  </r>
  <r>
    <n v="886"/>
    <d v="2024-02-04T00:00:00"/>
    <x v="8"/>
    <s v="Cláudia Martins"/>
    <s v="cláudia.martins886@gmail.com"/>
    <s v="(35) 9 7039-9757"/>
    <x v="2"/>
    <n v="1500"/>
    <n v="20"/>
    <x v="6"/>
    <x v="1"/>
    <x v="2"/>
    <m/>
  </r>
  <r>
    <n v="887"/>
    <d v="2024-04-14T00:00:00"/>
    <x v="2"/>
    <s v="José Costa"/>
    <s v="josé.costa887@gmail.com"/>
    <s v="(30) 9 8148-9354"/>
    <x v="2"/>
    <n v="1500"/>
    <n v="7"/>
    <x v="10"/>
    <x v="1"/>
    <x v="3"/>
    <m/>
  </r>
  <r>
    <n v="888"/>
    <d v="2024-04-30T00:00:00"/>
    <x v="2"/>
    <s v="Marta Gomes"/>
    <s v="marta.gomes888@gmail.com"/>
    <s v="(33) 9 7724-8145"/>
    <x v="2"/>
    <n v="1500"/>
    <n v="12"/>
    <x v="14"/>
    <x v="1"/>
    <x v="2"/>
    <m/>
  </r>
  <r>
    <n v="889"/>
    <d v="2024-12-15T00:00:00"/>
    <x v="0"/>
    <s v="Adriano Domingues"/>
    <s v="adriano.domingues889@gmail.com"/>
    <s v="(31) 9 8729-8187"/>
    <x v="1"/>
    <n v="1200"/>
    <n v="3"/>
    <x v="12"/>
    <x v="1"/>
    <x v="1"/>
    <m/>
  </r>
  <r>
    <n v="890"/>
    <d v="2024-07-18T00:00:00"/>
    <x v="3"/>
    <s v="Teresa Santos"/>
    <s v="teresa.santos890@gmail.com"/>
    <s v="(48) 9 7463-9823"/>
    <x v="2"/>
    <n v="1500"/>
    <n v="15"/>
    <x v="3"/>
    <x v="1"/>
    <x v="2"/>
    <m/>
  </r>
  <r>
    <n v="891"/>
    <d v="2024-02-10T00:00:00"/>
    <x v="8"/>
    <s v="Joaquim Silva"/>
    <s v="joaquim.silva891@gmail.com"/>
    <s v="(36) 9 7561-9761"/>
    <x v="1"/>
    <n v="1200"/>
    <n v="5"/>
    <x v="10"/>
    <x v="0"/>
    <x v="0"/>
    <m/>
  </r>
  <r>
    <n v="892"/>
    <d v="2024-05-24T00:00:00"/>
    <x v="7"/>
    <s v="António Domingues"/>
    <s v="antónio.domingues892@gmail.com"/>
    <s v="(13) 9 8027-7357"/>
    <x v="1"/>
    <n v="800"/>
    <n v="17"/>
    <x v="8"/>
    <x v="1"/>
    <x v="3"/>
    <m/>
  </r>
  <r>
    <n v="893"/>
    <d v="2024-05-20T00:00:00"/>
    <x v="7"/>
    <s v="Marta Martins"/>
    <s v="marta.martins893@gmail.com"/>
    <s v="(15) 9 7083-8860"/>
    <x v="2"/>
    <n v="1500"/>
    <n v="5"/>
    <x v="8"/>
    <x v="1"/>
    <x v="2"/>
    <m/>
  </r>
  <r>
    <n v="894"/>
    <d v="2024-01-31T00:00:00"/>
    <x v="6"/>
    <s v="Teresa David"/>
    <s v="teresa.david894@gmail.com"/>
    <s v="(35) 9 9940-7319"/>
    <x v="2"/>
    <n v="1500"/>
    <n v="13"/>
    <x v="9"/>
    <x v="1"/>
    <x v="3"/>
    <m/>
  </r>
  <r>
    <n v="895"/>
    <d v="2024-10-05T00:00:00"/>
    <x v="1"/>
    <s v="Pedro Miguel"/>
    <s v="pedro.miguel895@gmail.com"/>
    <s v="(22) 9 9533-7392"/>
    <x v="1"/>
    <n v="800"/>
    <n v="6"/>
    <x v="18"/>
    <x v="1"/>
    <x v="3"/>
    <m/>
  </r>
  <r>
    <n v="896"/>
    <d v="2024-11-12T00:00:00"/>
    <x v="9"/>
    <s v="Isabel Monteiro"/>
    <s v="isabel.monteiro896@gmail.com"/>
    <s v="(21) 9 8622-7588"/>
    <x v="2"/>
    <n v="1500"/>
    <n v="16"/>
    <x v="16"/>
    <x v="1"/>
    <x v="1"/>
    <m/>
  </r>
  <r>
    <n v="897"/>
    <d v="2024-12-06T00:00:00"/>
    <x v="0"/>
    <s v="Samuel Gomes"/>
    <s v="samuel.gomes897@gmail.com"/>
    <s v="(13) 9 9244-7225"/>
    <x v="1"/>
    <n v="800"/>
    <n v="14"/>
    <x v="2"/>
    <x v="1"/>
    <x v="1"/>
    <m/>
  </r>
  <r>
    <n v="898"/>
    <d v="2024-07-15T00:00:00"/>
    <x v="3"/>
    <s v="Adriano Domingues"/>
    <s v="adriano.domingues898@gmail.com"/>
    <s v="(59) 9 7677-7786"/>
    <x v="2"/>
    <n v="1500"/>
    <n v="17"/>
    <x v="11"/>
    <x v="1"/>
    <x v="3"/>
    <m/>
  </r>
  <r>
    <n v="899"/>
    <d v="2024-04-15T00:00:00"/>
    <x v="2"/>
    <s v="Pedro Almeida"/>
    <s v="pedro.almeida899@gmail.com"/>
    <s v="(53) 9 7748-9534"/>
    <x v="1"/>
    <n v="1200"/>
    <n v="8"/>
    <x v="17"/>
    <x v="1"/>
    <x v="3"/>
    <m/>
  </r>
  <r>
    <n v="900"/>
    <d v="2024-03-04T00:00:00"/>
    <x v="10"/>
    <s v="Bruno Gomes"/>
    <s v="bruno.gomes900@gmail.com"/>
    <s v="(39) 9 8036-8626"/>
    <x v="1"/>
    <n v="1200"/>
    <n v="11"/>
    <x v="11"/>
    <x v="1"/>
    <x v="1"/>
    <m/>
  </r>
  <r>
    <n v="901"/>
    <d v="2024-05-09T00:00:00"/>
    <x v="7"/>
    <s v="Luís Silva"/>
    <s v="luís.silva901@gmail.com"/>
    <s v="(27) 9 9442-9283"/>
    <x v="1"/>
    <n v="800"/>
    <n v="6"/>
    <x v="9"/>
    <x v="1"/>
    <x v="3"/>
    <m/>
  </r>
  <r>
    <n v="902"/>
    <d v="2024-10-27T00:00:00"/>
    <x v="1"/>
    <s v="António Pinto"/>
    <s v="antónio.pinto902@gmail.com"/>
    <s v="(10) 9 9525-8940"/>
    <x v="2"/>
    <n v="1500"/>
    <n v="18"/>
    <x v="4"/>
    <x v="1"/>
    <x v="2"/>
    <m/>
  </r>
  <r>
    <n v="903"/>
    <d v="2024-05-19T00:00:00"/>
    <x v="7"/>
    <s v="Marta Almeida"/>
    <s v="marta.almeida903@gmail.com"/>
    <s v="(30) 9 7415-9267"/>
    <x v="1"/>
    <n v="1200"/>
    <n v="18"/>
    <x v="0"/>
    <x v="1"/>
    <x v="1"/>
    <m/>
  </r>
  <r>
    <n v="904"/>
    <d v="2024-08-02T00:00:00"/>
    <x v="5"/>
    <s v="Marta David"/>
    <s v="marta.david904@gmail.com"/>
    <s v="(53) 9 8250-9255"/>
    <x v="2"/>
    <n v="1500"/>
    <n v="20"/>
    <x v="0"/>
    <x v="1"/>
    <x v="2"/>
    <m/>
  </r>
  <r>
    <n v="905"/>
    <d v="2024-12-20T00:00:00"/>
    <x v="0"/>
    <s v="Nelson Rodrigues"/>
    <s v="nelson.rodrigues905@gmail.com"/>
    <s v="(36) 9 9005-9264"/>
    <x v="2"/>
    <n v="1500"/>
    <n v="18"/>
    <x v="14"/>
    <x v="1"/>
    <x v="1"/>
    <m/>
  </r>
  <r>
    <n v="906"/>
    <d v="2024-06-17T00:00:00"/>
    <x v="11"/>
    <s v="Maria Barbosa"/>
    <s v="maria.barbosa906@gmail.com"/>
    <s v="(34) 9 9438-7788"/>
    <x v="1"/>
    <n v="800"/>
    <n v="18"/>
    <x v="3"/>
    <x v="1"/>
    <x v="2"/>
    <m/>
  </r>
  <r>
    <n v="907"/>
    <d v="2024-07-06T00:00:00"/>
    <x v="3"/>
    <s v="Joaquim Martins"/>
    <s v="joaquim.martins907@gmail.com"/>
    <s v="(28) 9 9296-8370"/>
    <x v="1"/>
    <n v="1200"/>
    <n v="8"/>
    <x v="17"/>
    <x v="1"/>
    <x v="3"/>
    <m/>
  </r>
  <r>
    <n v="908"/>
    <d v="2024-09-20T00:00:00"/>
    <x v="4"/>
    <s v="Nelson Andrade"/>
    <s v="nelson.andrade908@gmail.com"/>
    <s v="(45) 9 8530-7095"/>
    <x v="1"/>
    <n v="1200"/>
    <n v="6"/>
    <x v="10"/>
    <x v="1"/>
    <x v="3"/>
    <m/>
  </r>
  <r>
    <n v="909"/>
    <d v="2024-07-09T00:00:00"/>
    <x v="3"/>
    <s v="Domingos Barbosa"/>
    <s v="domingos.barbosa909@gmail.com"/>
    <s v="(43) 9 8410-8305"/>
    <x v="1"/>
    <n v="800"/>
    <n v="14"/>
    <x v="0"/>
    <x v="1"/>
    <x v="3"/>
    <m/>
  </r>
  <r>
    <n v="910"/>
    <d v="2024-08-18T00:00:00"/>
    <x v="5"/>
    <s v="José Costa"/>
    <s v="josé.costa910@gmail.com"/>
    <s v="(42) 9 8153-8862"/>
    <x v="2"/>
    <n v="1500"/>
    <n v="9"/>
    <x v="12"/>
    <x v="1"/>
    <x v="3"/>
    <m/>
  </r>
  <r>
    <n v="911"/>
    <d v="2024-02-07T00:00:00"/>
    <x v="8"/>
    <s v="Paulo Rodrigues"/>
    <s v="paulo.rodrigues911@gmail.com"/>
    <s v="(15) 9 9365-8147"/>
    <x v="2"/>
    <n v="1500"/>
    <n v="2"/>
    <x v="9"/>
    <x v="1"/>
    <x v="3"/>
    <m/>
  </r>
  <r>
    <n v="912"/>
    <d v="2024-03-17T00:00:00"/>
    <x v="10"/>
    <s v="Rosa Fernandes"/>
    <s v="rosa.fernandes912@gmail.com"/>
    <s v="(35) 9 9669-8566"/>
    <x v="1"/>
    <n v="1200"/>
    <n v="19"/>
    <x v="4"/>
    <x v="1"/>
    <x v="3"/>
    <m/>
  </r>
  <r>
    <n v="913"/>
    <d v="2024-08-22T00:00:00"/>
    <x v="5"/>
    <s v="Benedito Santos"/>
    <s v="benedito.santos913@gmail.com"/>
    <s v="(33) 9 8886-8124"/>
    <x v="1"/>
    <n v="1200"/>
    <n v="15"/>
    <x v="12"/>
    <x v="1"/>
    <x v="1"/>
    <m/>
  </r>
  <r>
    <n v="914"/>
    <d v="2024-09-26T00:00:00"/>
    <x v="4"/>
    <s v="Samuel Gomes"/>
    <s v="samuel.gomes914@gmail.com"/>
    <s v="(44) 9 9730-8683"/>
    <x v="1"/>
    <n v="800"/>
    <n v="5"/>
    <x v="20"/>
    <x v="0"/>
    <x v="0"/>
    <m/>
  </r>
  <r>
    <n v="915"/>
    <d v="2024-08-04T00:00:00"/>
    <x v="5"/>
    <s v="Daniel Monteiro"/>
    <s v="daniel.monteiro915@gmail.com"/>
    <s v="(34) 9 8561-7351"/>
    <x v="1"/>
    <n v="800"/>
    <n v="3"/>
    <x v="20"/>
    <x v="1"/>
    <x v="3"/>
    <m/>
  </r>
  <r>
    <n v="916"/>
    <d v="2024-08-21T00:00:00"/>
    <x v="5"/>
    <s v="Francisco Gomes"/>
    <s v="francisco.gomes916@gmail.com"/>
    <s v="(38) 9 9526-8528"/>
    <x v="2"/>
    <n v="1500"/>
    <n v="7"/>
    <x v="13"/>
    <x v="1"/>
    <x v="2"/>
    <m/>
  </r>
  <r>
    <n v="917"/>
    <d v="2024-07-29T00:00:00"/>
    <x v="3"/>
    <s v="Rui Lopes"/>
    <s v="rui.lopes917@gmail.com"/>
    <s v="(20) 9 7756-8109"/>
    <x v="2"/>
    <n v="1500"/>
    <n v="12"/>
    <x v="11"/>
    <x v="0"/>
    <x v="0"/>
    <m/>
  </r>
  <r>
    <n v="918"/>
    <d v="2024-05-03T00:00:00"/>
    <x v="7"/>
    <s v="Bruno David"/>
    <s v="bruno.david918@gmail.com"/>
    <s v="(39) 9 9828-9199"/>
    <x v="1"/>
    <n v="800"/>
    <n v="9"/>
    <x v="7"/>
    <x v="1"/>
    <x v="1"/>
    <m/>
  </r>
  <r>
    <n v="919"/>
    <d v="2024-03-08T00:00:00"/>
    <x v="10"/>
    <s v="David Miguel"/>
    <s v="david.miguel919@gmail.com"/>
    <s v="(30) 9 9058-7118"/>
    <x v="2"/>
    <n v="1500"/>
    <n v="5"/>
    <x v="11"/>
    <x v="0"/>
    <x v="0"/>
    <m/>
  </r>
  <r>
    <n v="920"/>
    <d v="2024-11-17T00:00:00"/>
    <x v="9"/>
    <s v="Paulo Gomes"/>
    <s v="paulo.gomes920@gmail.com"/>
    <s v="(43) 9 7241-9150"/>
    <x v="2"/>
    <n v="1500"/>
    <n v="10"/>
    <x v="10"/>
    <x v="1"/>
    <x v="3"/>
    <m/>
  </r>
  <r>
    <n v="921"/>
    <d v="2024-10-21T00:00:00"/>
    <x v="1"/>
    <s v="Sofia Silva"/>
    <s v="sofia.silva921@gmail.com"/>
    <s v="(23) 9 7221-7132"/>
    <x v="1"/>
    <n v="1200"/>
    <n v="12"/>
    <x v="17"/>
    <x v="1"/>
    <x v="3"/>
    <m/>
  </r>
  <r>
    <n v="922"/>
    <d v="2024-08-23T00:00:00"/>
    <x v="5"/>
    <s v="Mateus Soares"/>
    <s v="mateus.soares922@gmail.com"/>
    <s v="(31) 9 8383-7028"/>
    <x v="1"/>
    <n v="800"/>
    <n v="16"/>
    <x v="18"/>
    <x v="0"/>
    <x v="0"/>
    <m/>
  </r>
  <r>
    <n v="923"/>
    <d v="2024-11-21T00:00:00"/>
    <x v="9"/>
    <s v="Nelson Domingues"/>
    <s v="nelson.domingues923@gmail.com"/>
    <s v="(37) 9 8461-8430"/>
    <x v="1"/>
    <n v="1200"/>
    <n v="6"/>
    <x v="9"/>
    <x v="1"/>
    <x v="1"/>
    <m/>
  </r>
  <r>
    <n v="924"/>
    <d v="2024-10-09T00:00:00"/>
    <x v="1"/>
    <s v="Manuel Monteiro"/>
    <s v="manuel.monteiro924@gmail.com"/>
    <s v="(30) 9 8653-7453"/>
    <x v="1"/>
    <n v="800"/>
    <n v="3"/>
    <x v="8"/>
    <x v="1"/>
    <x v="1"/>
    <m/>
  </r>
  <r>
    <n v="925"/>
    <d v="2024-11-17T00:00:00"/>
    <x v="9"/>
    <s v="Benedito Soares"/>
    <s v="benedito.soares925@gmail.com"/>
    <s v="(44) 9 7712-9778"/>
    <x v="1"/>
    <n v="1200"/>
    <n v="8"/>
    <x v="8"/>
    <x v="1"/>
    <x v="3"/>
    <m/>
  </r>
  <r>
    <n v="926"/>
    <d v="2024-08-10T00:00:00"/>
    <x v="5"/>
    <s v="Samuel Martins"/>
    <s v="samuel.martins926@gmail.com"/>
    <s v="(30) 9 7145-8306"/>
    <x v="2"/>
    <n v="1500"/>
    <n v="18"/>
    <x v="3"/>
    <x v="1"/>
    <x v="2"/>
    <m/>
  </r>
  <r>
    <n v="927"/>
    <d v="2024-12-21T00:00:00"/>
    <x v="0"/>
    <s v="Joaquim Monteiro"/>
    <s v="joaquim.monteiro927@gmail.com"/>
    <s v="(18) 9 9686-9656"/>
    <x v="1"/>
    <n v="800"/>
    <n v="5"/>
    <x v="1"/>
    <x v="0"/>
    <x v="0"/>
    <m/>
  </r>
  <r>
    <n v="928"/>
    <d v="2024-01-09T00:00:00"/>
    <x v="6"/>
    <s v="Paulo Tavares"/>
    <s v="paulo.tavares928@gmail.com"/>
    <s v="(54) 9 8770-9440"/>
    <x v="2"/>
    <n v="1500"/>
    <n v="19"/>
    <x v="7"/>
    <x v="0"/>
    <x v="0"/>
    <m/>
  </r>
  <r>
    <n v="929"/>
    <d v="2024-03-31T00:00:00"/>
    <x v="10"/>
    <s v="David Barbosa"/>
    <s v="david.barbosa929@gmail.com"/>
    <s v="(54) 9 7363-9417"/>
    <x v="1"/>
    <n v="1200"/>
    <n v="11"/>
    <x v="14"/>
    <x v="1"/>
    <x v="2"/>
    <m/>
  </r>
  <r>
    <n v="930"/>
    <d v="2024-04-04T00:00:00"/>
    <x v="2"/>
    <s v="Carlos Domingues"/>
    <s v="carlos.domingues930@gmail.com"/>
    <s v="(14) 9 8793-7849"/>
    <x v="2"/>
    <n v="1500"/>
    <n v="19"/>
    <x v="20"/>
    <x v="1"/>
    <x v="1"/>
    <m/>
  </r>
  <r>
    <n v="931"/>
    <d v="2024-10-02T00:00:00"/>
    <x v="1"/>
    <s v="João Soares"/>
    <s v="joão.soares931@gmail.com"/>
    <s v="(17) 9 9419-7099"/>
    <x v="1"/>
    <n v="800"/>
    <n v="11"/>
    <x v="11"/>
    <x v="1"/>
    <x v="1"/>
    <m/>
  </r>
  <r>
    <n v="932"/>
    <d v="2024-09-08T00:00:00"/>
    <x v="4"/>
    <s v="Francisco Lopes"/>
    <s v="francisco.lopes932@gmail.com"/>
    <s v="(32) 9 7249-9401"/>
    <x v="1"/>
    <n v="800"/>
    <n v="19"/>
    <x v="10"/>
    <x v="1"/>
    <x v="1"/>
    <m/>
  </r>
  <r>
    <n v="933"/>
    <d v="2024-03-21T00:00:00"/>
    <x v="10"/>
    <s v="Cláudia Fernandes"/>
    <s v="cláudia.fernandes933@gmail.com"/>
    <s v="(44) 9 7814-9514"/>
    <x v="1"/>
    <n v="1200"/>
    <n v="8"/>
    <x v="19"/>
    <x v="1"/>
    <x v="3"/>
    <m/>
  </r>
  <r>
    <n v="934"/>
    <d v="2024-03-18T00:00:00"/>
    <x v="10"/>
    <s v="Teresa Santos"/>
    <s v="teresa.santos934@gmail.com"/>
    <s v="(21) 9 8260-9643"/>
    <x v="1"/>
    <n v="800"/>
    <n v="17"/>
    <x v="17"/>
    <x v="0"/>
    <x v="0"/>
    <m/>
  </r>
  <r>
    <n v="935"/>
    <d v="2024-05-05T00:00:00"/>
    <x v="7"/>
    <s v="Luís Martins"/>
    <s v="luís.martins935@gmail.com"/>
    <s v="(29) 9 8533-7229"/>
    <x v="1"/>
    <n v="1200"/>
    <n v="11"/>
    <x v="5"/>
    <x v="1"/>
    <x v="3"/>
    <m/>
  </r>
  <r>
    <n v="936"/>
    <d v="2024-12-05T00:00:00"/>
    <x v="0"/>
    <s v="Ana Fernandes"/>
    <s v="ana.fernandes936@gmail.com"/>
    <s v="(20) 9 9592-8506"/>
    <x v="2"/>
    <n v="1500"/>
    <n v="14"/>
    <x v="10"/>
    <x v="1"/>
    <x v="3"/>
    <m/>
  </r>
  <r>
    <n v="937"/>
    <d v="2024-11-03T00:00:00"/>
    <x v="9"/>
    <s v="Francisco Martins"/>
    <s v="francisco.martins937@gmail.com"/>
    <s v="(23) 9 9608-8007"/>
    <x v="1"/>
    <n v="1200"/>
    <n v="2"/>
    <x v="17"/>
    <x v="1"/>
    <x v="2"/>
    <m/>
  </r>
  <r>
    <n v="938"/>
    <d v="2024-10-15T00:00:00"/>
    <x v="1"/>
    <s v="Isabel Barbosa"/>
    <s v="isabel.barbosa938@gmail.com"/>
    <s v="(58) 9 8733-8687"/>
    <x v="1"/>
    <n v="800"/>
    <n v="12"/>
    <x v="8"/>
    <x v="1"/>
    <x v="1"/>
    <m/>
  </r>
  <r>
    <n v="939"/>
    <d v="2024-01-21T00:00:00"/>
    <x v="6"/>
    <s v="Daniel Andrade"/>
    <s v="daniel.andrade939@gmail.com"/>
    <s v="(37) 9 8001-7041"/>
    <x v="1"/>
    <n v="1200"/>
    <n v="9"/>
    <x v="10"/>
    <x v="1"/>
    <x v="3"/>
    <m/>
  </r>
  <r>
    <n v="940"/>
    <d v="2024-03-17T00:00:00"/>
    <x v="10"/>
    <s v="Samuel Martins"/>
    <s v="samuel.martins940@gmail.com"/>
    <s v="(57) 9 8081-9564"/>
    <x v="2"/>
    <n v="1500"/>
    <n v="15"/>
    <x v="4"/>
    <x v="1"/>
    <x v="1"/>
    <m/>
  </r>
  <r>
    <n v="941"/>
    <d v="2024-11-30T00:00:00"/>
    <x v="9"/>
    <s v="Rui Rodrigues"/>
    <s v="rui.rodrigues941@gmail.com"/>
    <s v="(18) 9 8147-9571"/>
    <x v="2"/>
    <n v="1500"/>
    <n v="7"/>
    <x v="11"/>
    <x v="0"/>
    <x v="0"/>
    <m/>
  </r>
  <r>
    <n v="942"/>
    <d v="2024-10-13T00:00:00"/>
    <x v="1"/>
    <s v="Maria Fernandes"/>
    <s v="maria.fernandes942@gmail.com"/>
    <s v="(13) 9 9102-9592"/>
    <x v="1"/>
    <n v="1200"/>
    <n v="6"/>
    <x v="13"/>
    <x v="0"/>
    <x v="0"/>
    <m/>
  </r>
  <r>
    <n v="943"/>
    <d v="2024-06-07T00:00:00"/>
    <x v="11"/>
    <s v="Joaquim Fernandes"/>
    <s v="joaquim.fernandes943@gmail.com"/>
    <s v="(43) 9 7279-7880"/>
    <x v="1"/>
    <n v="1200"/>
    <n v="9"/>
    <x v="2"/>
    <x v="1"/>
    <x v="2"/>
    <m/>
  </r>
  <r>
    <n v="944"/>
    <d v="2024-01-24T00:00:00"/>
    <x v="6"/>
    <s v="Helena Domingues"/>
    <s v="helena.domingues944@gmail.com"/>
    <s v="(42) 9 9863-7027"/>
    <x v="1"/>
    <n v="800"/>
    <n v="15"/>
    <x v="19"/>
    <x v="0"/>
    <x v="0"/>
    <m/>
  </r>
  <r>
    <n v="945"/>
    <d v="2024-07-05T00:00:00"/>
    <x v="3"/>
    <s v="José Soares"/>
    <s v="josé.soares945@gmail.com"/>
    <s v="(49) 9 8542-8757"/>
    <x v="1"/>
    <n v="1200"/>
    <n v="16"/>
    <x v="0"/>
    <x v="0"/>
    <x v="0"/>
    <m/>
  </r>
  <r>
    <n v="946"/>
    <d v="2024-05-27T00:00:00"/>
    <x v="7"/>
    <s v="António Almeida"/>
    <s v="antónio.almeida946@gmail.com"/>
    <s v="(36) 9 8686-7815"/>
    <x v="1"/>
    <n v="800"/>
    <n v="11"/>
    <x v="17"/>
    <x v="1"/>
    <x v="3"/>
    <m/>
  </r>
  <r>
    <n v="947"/>
    <d v="2024-12-11T00:00:00"/>
    <x v="0"/>
    <s v="Cláudia Martins"/>
    <s v="cláudia.martins947@gmail.com"/>
    <s v="(34) 9 7135-9550"/>
    <x v="1"/>
    <n v="1200"/>
    <n v="17"/>
    <x v="14"/>
    <x v="0"/>
    <x v="0"/>
    <m/>
  </r>
  <r>
    <n v="948"/>
    <d v="2024-04-09T00:00:00"/>
    <x v="2"/>
    <s v="Ana Pinto"/>
    <s v="ana.pinto948@gmail.com"/>
    <s v="(56) 9 9357-8453"/>
    <x v="2"/>
    <n v="1500"/>
    <n v="11"/>
    <x v="10"/>
    <x v="1"/>
    <x v="3"/>
    <m/>
  </r>
  <r>
    <n v="949"/>
    <d v="2024-09-20T00:00:00"/>
    <x v="4"/>
    <s v="Domingos Fernandes"/>
    <s v="domingos.fernandes949@gmail.com"/>
    <s v="(25) 9 7045-9721"/>
    <x v="1"/>
    <n v="1200"/>
    <n v="7"/>
    <x v="7"/>
    <x v="1"/>
    <x v="3"/>
    <m/>
  </r>
  <r>
    <n v="950"/>
    <d v="2024-01-06T00:00:00"/>
    <x v="6"/>
    <s v="Helena Domingues"/>
    <s v="helena.domingues950@gmail.com"/>
    <s v="(25) 9 8731-8256"/>
    <x v="2"/>
    <n v="1500"/>
    <n v="11"/>
    <x v="9"/>
    <x v="1"/>
    <x v="2"/>
    <m/>
  </r>
  <r>
    <n v="951"/>
    <d v="2024-11-10T00:00:00"/>
    <x v="9"/>
    <s v="Carlos Soares"/>
    <s v="carlos.soares951@gmail.com"/>
    <s v="(11) 9 9093-9024"/>
    <x v="2"/>
    <n v="1500"/>
    <n v="1"/>
    <x v="7"/>
    <x v="0"/>
    <x v="0"/>
    <m/>
  </r>
  <r>
    <n v="952"/>
    <d v="2024-02-12T00:00:00"/>
    <x v="8"/>
    <s v="Benedito Santos"/>
    <s v="benedito.santos952@gmail.com"/>
    <s v="(25) 9 7186-9407"/>
    <x v="1"/>
    <n v="800"/>
    <n v="3"/>
    <x v="18"/>
    <x v="1"/>
    <x v="3"/>
    <m/>
  </r>
  <r>
    <n v="953"/>
    <d v="2024-07-18T00:00:00"/>
    <x v="3"/>
    <s v="Adriano Tavares"/>
    <s v="adriano.tavares953@gmail.com"/>
    <s v="(49) 9 8410-8821"/>
    <x v="2"/>
    <n v="1500"/>
    <n v="16"/>
    <x v="19"/>
    <x v="0"/>
    <x v="0"/>
    <m/>
  </r>
  <r>
    <n v="954"/>
    <d v="2024-04-19T00:00:00"/>
    <x v="2"/>
    <s v="Cláudia Barbosa"/>
    <s v="cláudia.barbosa954@gmail.com"/>
    <s v="(21) 9 8648-9532"/>
    <x v="1"/>
    <n v="800"/>
    <n v="4"/>
    <x v="8"/>
    <x v="1"/>
    <x v="1"/>
    <m/>
  </r>
  <r>
    <n v="955"/>
    <d v="2024-07-27T00:00:00"/>
    <x v="3"/>
    <s v="Daniel Martins"/>
    <s v="daniel.martins955@gmail.com"/>
    <s v="(28) 9 7455-8942"/>
    <x v="1"/>
    <n v="800"/>
    <n v="13"/>
    <x v="13"/>
    <x v="0"/>
    <x v="0"/>
    <m/>
  </r>
  <r>
    <n v="956"/>
    <d v="2024-01-14T00:00:00"/>
    <x v="6"/>
    <s v="Benedito Santos"/>
    <s v="benedito.santos956@gmail.com"/>
    <s v="(31) 9 9956-8906"/>
    <x v="1"/>
    <n v="800"/>
    <n v="10"/>
    <x v="1"/>
    <x v="0"/>
    <x v="0"/>
    <m/>
  </r>
  <r>
    <n v="957"/>
    <d v="2024-09-20T00:00:00"/>
    <x v="4"/>
    <s v="Luís Fernandes"/>
    <s v="luís.fernandes957@gmail.com"/>
    <s v="(22) 9 8184-8275"/>
    <x v="1"/>
    <n v="1200"/>
    <n v="13"/>
    <x v="11"/>
    <x v="0"/>
    <x v="0"/>
    <m/>
  </r>
  <r>
    <n v="958"/>
    <d v="2024-10-15T00:00:00"/>
    <x v="1"/>
    <s v="Fátima Monteiro"/>
    <s v="fátima.monteiro958@gmail.com"/>
    <s v="(30) 9 9492-7323"/>
    <x v="2"/>
    <n v="1500"/>
    <n v="12"/>
    <x v="8"/>
    <x v="1"/>
    <x v="1"/>
    <m/>
  </r>
  <r>
    <n v="959"/>
    <d v="2024-10-07T00:00:00"/>
    <x v="1"/>
    <s v="Ana Santos"/>
    <s v="ana.santos959@gmail.com"/>
    <s v="(20) 9 8727-8486"/>
    <x v="1"/>
    <n v="1200"/>
    <n v="2"/>
    <x v="1"/>
    <x v="0"/>
    <x v="0"/>
    <m/>
  </r>
  <r>
    <n v="960"/>
    <d v="2024-11-17T00:00:00"/>
    <x v="9"/>
    <s v="Fátima David"/>
    <s v="fátima.david960@gmail.com"/>
    <s v="(18) 9 7245-8101"/>
    <x v="1"/>
    <n v="1200"/>
    <n v="1"/>
    <x v="13"/>
    <x v="1"/>
    <x v="2"/>
    <m/>
  </r>
  <r>
    <n v="961"/>
    <d v="2024-03-31T00:00:00"/>
    <x v="10"/>
    <s v="Daniel Almeida"/>
    <s v="daniel.almeida961@gmail.com"/>
    <s v="(10) 9 8602-8428"/>
    <x v="1"/>
    <n v="1200"/>
    <n v="4"/>
    <x v="1"/>
    <x v="1"/>
    <x v="3"/>
    <m/>
  </r>
  <r>
    <n v="962"/>
    <d v="2024-04-15T00:00:00"/>
    <x v="2"/>
    <s v="António Pinto"/>
    <s v="antónio.pinto962@gmail.com"/>
    <s v="(45) 9 9273-8683"/>
    <x v="1"/>
    <n v="1200"/>
    <n v="13"/>
    <x v="12"/>
    <x v="1"/>
    <x v="1"/>
    <m/>
  </r>
  <r>
    <n v="963"/>
    <d v="2024-12-09T00:00:00"/>
    <x v="0"/>
    <s v="David Lukeba"/>
    <s v="david.lukeba963@gmail.com"/>
    <s v="(12) 9 9571-9078"/>
    <x v="1"/>
    <n v="800"/>
    <n v="19"/>
    <x v="5"/>
    <x v="0"/>
    <x v="0"/>
    <m/>
  </r>
  <r>
    <n v="964"/>
    <d v="2024-11-29T00:00:00"/>
    <x v="9"/>
    <s v="Sofia Pereira"/>
    <s v="sofia.pereira964@gmail.com"/>
    <s v="(45) 9 8389-7914"/>
    <x v="1"/>
    <n v="1200"/>
    <n v="15"/>
    <x v="5"/>
    <x v="1"/>
    <x v="3"/>
    <m/>
  </r>
  <r>
    <n v="965"/>
    <d v="2024-07-20T00:00:00"/>
    <x v="3"/>
    <s v="José Santos"/>
    <s v="josé.santos965@gmail.com"/>
    <s v="(41) 9 9019-9077"/>
    <x v="1"/>
    <n v="1200"/>
    <n v="11"/>
    <x v="3"/>
    <x v="1"/>
    <x v="3"/>
    <m/>
  </r>
  <r>
    <n v="966"/>
    <d v="2024-12-15T00:00:00"/>
    <x v="0"/>
    <s v="Rui Santos"/>
    <s v="rui.santos966@gmail.com"/>
    <s v="(17) 9 8237-7360"/>
    <x v="1"/>
    <n v="800"/>
    <n v="11"/>
    <x v="6"/>
    <x v="0"/>
    <x v="0"/>
    <m/>
  </r>
  <r>
    <n v="967"/>
    <d v="2024-11-26T00:00:00"/>
    <x v="9"/>
    <s v="Rui Domingues"/>
    <s v="rui.domingues967@gmail.com"/>
    <s v="(29) 9 8341-7570"/>
    <x v="1"/>
    <n v="800"/>
    <n v="20"/>
    <x v="6"/>
    <x v="1"/>
    <x v="1"/>
    <m/>
  </r>
  <r>
    <n v="968"/>
    <d v="2024-09-27T00:00:00"/>
    <x v="4"/>
    <s v="João Lukeba"/>
    <s v="joão.lukeba968@gmail.com"/>
    <s v="(24) 9 9947-8105"/>
    <x v="1"/>
    <n v="1200"/>
    <n v="9"/>
    <x v="19"/>
    <x v="1"/>
    <x v="2"/>
    <m/>
  </r>
  <r>
    <n v="969"/>
    <d v="2024-03-30T00:00:00"/>
    <x v="10"/>
    <s v="David Lopes"/>
    <s v="david.lopes969@gmail.com"/>
    <s v="(42) 9 8771-8786"/>
    <x v="1"/>
    <n v="800"/>
    <n v="5"/>
    <x v="9"/>
    <x v="1"/>
    <x v="3"/>
    <m/>
  </r>
  <r>
    <n v="970"/>
    <d v="2024-07-22T00:00:00"/>
    <x v="3"/>
    <s v="Cláudia Pereira"/>
    <s v="cláudia.pereira970@gmail.com"/>
    <s v="(26) 9 9044-9997"/>
    <x v="1"/>
    <n v="800"/>
    <n v="11"/>
    <x v="16"/>
    <x v="0"/>
    <x v="0"/>
    <m/>
  </r>
  <r>
    <n v="971"/>
    <d v="2024-10-03T00:00:00"/>
    <x v="1"/>
    <s v="Cláudia Lopes"/>
    <s v="cláudia.lopes971@gmail.com"/>
    <s v="(29) 9 7554-7974"/>
    <x v="1"/>
    <n v="1200"/>
    <n v="17"/>
    <x v="1"/>
    <x v="1"/>
    <x v="3"/>
    <m/>
  </r>
  <r>
    <n v="972"/>
    <d v="2024-09-26T00:00:00"/>
    <x v="4"/>
    <s v="Joaquim Fernandes"/>
    <s v="joaquim.fernandes972@gmail.com"/>
    <s v="(50) 9 7437-7778"/>
    <x v="1"/>
    <n v="1200"/>
    <n v="7"/>
    <x v="10"/>
    <x v="1"/>
    <x v="1"/>
    <m/>
  </r>
  <r>
    <n v="973"/>
    <d v="2024-06-18T00:00:00"/>
    <x v="11"/>
    <s v="Ana Miguel"/>
    <s v="ana.miguel973@gmail.com"/>
    <s v="(34) 9 8999-8415"/>
    <x v="1"/>
    <n v="800"/>
    <n v="19"/>
    <x v="0"/>
    <x v="1"/>
    <x v="2"/>
    <m/>
  </r>
  <r>
    <n v="974"/>
    <d v="2024-07-09T00:00:00"/>
    <x v="3"/>
    <s v="Sofia Tavares"/>
    <s v="sofia.tavares974@gmail.com"/>
    <s v="(42) 9 7551-9593"/>
    <x v="1"/>
    <n v="1200"/>
    <n v="20"/>
    <x v="2"/>
    <x v="1"/>
    <x v="2"/>
    <m/>
  </r>
  <r>
    <n v="975"/>
    <d v="2024-07-10T00:00:00"/>
    <x v="3"/>
    <s v="Samuel Miguel"/>
    <s v="samuel.miguel975@gmail.com"/>
    <s v="(14) 9 8513-8951"/>
    <x v="2"/>
    <n v="1500"/>
    <n v="13"/>
    <x v="9"/>
    <x v="1"/>
    <x v="3"/>
    <m/>
  </r>
  <r>
    <n v="976"/>
    <d v="2024-11-26T00:00:00"/>
    <x v="9"/>
    <s v="Cláudia Almeida"/>
    <s v="cláudia.almeida976@gmail.com"/>
    <s v="(16) 9 9833-9967"/>
    <x v="1"/>
    <n v="800"/>
    <n v="1"/>
    <x v="5"/>
    <x v="1"/>
    <x v="3"/>
    <m/>
  </r>
  <r>
    <n v="977"/>
    <d v="2024-04-09T00:00:00"/>
    <x v="2"/>
    <s v="Mateus David"/>
    <s v="mateus.david977@gmail.com"/>
    <s v="(22) 9 9534-8333"/>
    <x v="1"/>
    <n v="1200"/>
    <n v="2"/>
    <x v="16"/>
    <x v="1"/>
    <x v="3"/>
    <m/>
  </r>
  <r>
    <n v="978"/>
    <d v="2024-11-13T00:00:00"/>
    <x v="9"/>
    <s v="Adriano David"/>
    <s v="adriano.david978@gmail.com"/>
    <s v="(57) 9 8191-9922"/>
    <x v="2"/>
    <n v="1500"/>
    <n v="18"/>
    <x v="14"/>
    <x v="0"/>
    <x v="0"/>
    <m/>
  </r>
  <r>
    <n v="979"/>
    <d v="2024-07-30T00:00:00"/>
    <x v="3"/>
    <s v="José Costa"/>
    <s v="josé.costa979@gmail.com"/>
    <s v="(17) 9 7319-7175"/>
    <x v="2"/>
    <n v="1500"/>
    <n v="16"/>
    <x v="5"/>
    <x v="1"/>
    <x v="3"/>
    <m/>
  </r>
  <r>
    <n v="980"/>
    <d v="2024-07-30T00:00:00"/>
    <x v="3"/>
    <s v="Teresa Miguel"/>
    <s v="teresa.miguel980@gmail.com"/>
    <s v="(60) 9 8597-7792"/>
    <x v="2"/>
    <n v="1500"/>
    <n v="20"/>
    <x v="19"/>
    <x v="0"/>
    <x v="0"/>
    <m/>
  </r>
  <r>
    <n v="981"/>
    <d v="2024-09-17T00:00:00"/>
    <x v="4"/>
    <s v="Paulo Rodrigues"/>
    <s v="paulo.rodrigues981@gmail.com"/>
    <s v="(15) 9 8445-7074"/>
    <x v="2"/>
    <n v="1500"/>
    <n v="13"/>
    <x v="15"/>
    <x v="0"/>
    <x v="0"/>
    <m/>
  </r>
  <r>
    <n v="982"/>
    <d v="2024-10-13T00:00:00"/>
    <x v="1"/>
    <s v="Pedro Almeida"/>
    <s v="pedro.almeida982@gmail.com"/>
    <s v="(57) 9 7380-7610"/>
    <x v="2"/>
    <n v="1500"/>
    <n v="12"/>
    <x v="12"/>
    <x v="0"/>
    <x v="0"/>
    <m/>
  </r>
  <r>
    <n v="983"/>
    <d v="2024-11-02T00:00:00"/>
    <x v="9"/>
    <s v="Domingos David"/>
    <s v="domingos.david983@gmail.com"/>
    <s v="(35) 9 8134-7777"/>
    <x v="1"/>
    <n v="1200"/>
    <n v="3"/>
    <x v="11"/>
    <x v="1"/>
    <x v="2"/>
    <m/>
  </r>
  <r>
    <n v="984"/>
    <d v="2024-05-08T00:00:00"/>
    <x v="7"/>
    <s v="Paulo Monteiro"/>
    <s v="paulo.monteiro984@gmail.com"/>
    <s v="(26) 9 8877-7076"/>
    <x v="1"/>
    <n v="800"/>
    <n v="8"/>
    <x v="11"/>
    <x v="0"/>
    <x v="0"/>
    <m/>
  </r>
  <r>
    <n v="985"/>
    <d v="2024-10-03T00:00:00"/>
    <x v="1"/>
    <s v="Bruno Lukeba"/>
    <s v="bruno.lukeba985@gmail.com"/>
    <s v="(31) 9 7581-7985"/>
    <x v="1"/>
    <n v="1200"/>
    <n v="1"/>
    <x v="9"/>
    <x v="0"/>
    <x v="0"/>
    <m/>
  </r>
  <r>
    <n v="986"/>
    <d v="2024-10-31T00:00:00"/>
    <x v="1"/>
    <s v="David David"/>
    <s v="david.david986@gmail.com"/>
    <s v="(33) 9 7318-7815"/>
    <x v="2"/>
    <n v="1500"/>
    <n v="8"/>
    <x v="18"/>
    <x v="0"/>
    <x v="0"/>
    <m/>
  </r>
  <r>
    <n v="987"/>
    <d v="2024-08-27T00:00:00"/>
    <x v="5"/>
    <s v="Rosa Domingues"/>
    <s v="rosa.domingues987@gmail.com"/>
    <s v="(54) 9 8709-9708"/>
    <x v="1"/>
    <n v="800"/>
    <n v="18"/>
    <x v="0"/>
    <x v="1"/>
    <x v="1"/>
    <m/>
  </r>
  <r>
    <n v="988"/>
    <d v="2024-08-17T00:00:00"/>
    <x v="5"/>
    <s v="Fátima Pereira"/>
    <s v="fátima.pereira988@gmail.com"/>
    <s v="(19) 9 7728-8053"/>
    <x v="1"/>
    <n v="800"/>
    <n v="10"/>
    <x v="10"/>
    <x v="1"/>
    <x v="2"/>
    <m/>
  </r>
  <r>
    <n v="989"/>
    <d v="2024-07-24T00:00:00"/>
    <x v="3"/>
    <s v="Paulo Rodrigues"/>
    <s v="paulo.rodrigues989@gmail.com"/>
    <s v="(29) 9 8675-9058"/>
    <x v="2"/>
    <n v="1500"/>
    <n v="7"/>
    <x v="3"/>
    <x v="1"/>
    <x v="1"/>
    <m/>
  </r>
  <r>
    <n v="990"/>
    <d v="2024-11-14T00:00:00"/>
    <x v="9"/>
    <s v="Adriano Domingues"/>
    <s v="adriano.domingues990@gmail.com"/>
    <s v="(55) 9 9997-8840"/>
    <x v="2"/>
    <n v="1500"/>
    <n v="20"/>
    <x v="0"/>
    <x v="1"/>
    <x v="1"/>
    <m/>
  </r>
  <r>
    <n v="991"/>
    <d v="2024-05-11T00:00:00"/>
    <x v="7"/>
    <s v="Benedito Pereira"/>
    <s v="benedito.pereira991@gmail.com"/>
    <s v="(55) 9 7811-7526"/>
    <x v="1"/>
    <n v="1200"/>
    <n v="11"/>
    <x v="7"/>
    <x v="0"/>
    <x v="0"/>
    <m/>
  </r>
  <r>
    <n v="992"/>
    <d v="2024-09-20T00:00:00"/>
    <x v="4"/>
    <s v="Adriano Barbosa"/>
    <s v="adriano.barbosa992@gmail.com"/>
    <s v="(15) 9 7480-8673"/>
    <x v="1"/>
    <n v="1200"/>
    <n v="18"/>
    <x v="5"/>
    <x v="1"/>
    <x v="3"/>
    <m/>
  </r>
  <r>
    <n v="993"/>
    <d v="2024-03-27T00:00:00"/>
    <x v="10"/>
    <s v="Cláudia Rodrigues"/>
    <s v="cláudia.rodrigues993@gmail.com"/>
    <s v="(45) 9 9858-8057"/>
    <x v="1"/>
    <n v="800"/>
    <n v="10"/>
    <x v="2"/>
    <x v="0"/>
    <x v="0"/>
    <m/>
  </r>
  <r>
    <n v="994"/>
    <d v="2024-07-08T00:00:00"/>
    <x v="3"/>
    <s v="Rui Lopes"/>
    <s v="rui.lopes994@gmail.com"/>
    <s v="(32) 9 7567-7294"/>
    <x v="1"/>
    <n v="800"/>
    <n v="17"/>
    <x v="17"/>
    <x v="1"/>
    <x v="2"/>
    <m/>
  </r>
  <r>
    <n v="995"/>
    <d v="2024-01-20T00:00:00"/>
    <x v="6"/>
    <s v="Cláudia Andrade"/>
    <s v="cláudia.andrade995@gmail.com"/>
    <s v="(51) 9 8958-8564"/>
    <x v="2"/>
    <n v="1500"/>
    <n v="8"/>
    <x v="7"/>
    <x v="0"/>
    <x v="0"/>
    <m/>
  </r>
  <r>
    <n v="996"/>
    <d v="2024-06-14T00:00:00"/>
    <x v="11"/>
    <s v="David Soares"/>
    <s v="david.soares996@gmail.com"/>
    <s v="(52) 9 9380-8432"/>
    <x v="1"/>
    <n v="1200"/>
    <n v="7"/>
    <x v="1"/>
    <x v="1"/>
    <x v="1"/>
    <m/>
  </r>
  <r>
    <n v="997"/>
    <d v="2024-10-02T00:00:00"/>
    <x v="1"/>
    <s v="Manuel Costa"/>
    <s v="manuel.costa997@gmail.com"/>
    <s v="(25) 9 7736-7967"/>
    <x v="1"/>
    <n v="1200"/>
    <n v="3"/>
    <x v="11"/>
    <x v="0"/>
    <x v="0"/>
    <m/>
  </r>
  <r>
    <n v="998"/>
    <d v="2024-12-19T00:00:00"/>
    <x v="0"/>
    <s v="Pedro Andrade"/>
    <s v="pedro.andrade998@gmail.com"/>
    <s v="(31) 9 9668-9818"/>
    <x v="1"/>
    <n v="800"/>
    <n v="19"/>
    <x v="17"/>
    <x v="1"/>
    <x v="3"/>
    <m/>
  </r>
  <r>
    <n v="999"/>
    <d v="2024-03-27T00:00:00"/>
    <x v="10"/>
    <s v="Maria David"/>
    <s v="maria.david999@gmail.com"/>
    <s v="(43) 9 8064-9220"/>
    <x v="1"/>
    <n v="800"/>
    <n v="19"/>
    <x v="20"/>
    <x v="1"/>
    <x v="2"/>
    <m/>
  </r>
  <r>
    <n v="1000"/>
    <d v="2024-08-31T00:00:00"/>
    <x v="5"/>
    <s v="Samuel David"/>
    <s v="samuel.david1000@gmail.com"/>
    <s v="(17) 9 7622-8305"/>
    <x v="1"/>
    <n v="800"/>
    <n v="5"/>
    <x v="7"/>
    <x v="1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4:B16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x="2"/>
        <item h="1"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/>
    </i>
    <i t="grand">
      <x/>
    </i>
  </rowItems>
  <colItems count="1">
    <i/>
  </colItems>
  <pageFields count="1">
    <pageField fld="11" item="1" hier="-1"/>
  </pageFields>
  <dataFields count="1">
    <dataField name="Soma de Valor_Produto" fld="7" baseField="0" baseItem="0"/>
  </dataFields>
  <formats count="3">
    <format dxfId="1006">
      <pivotArea collapsedLevelsAreSubtotals="1" fieldPosition="0">
        <references count="1">
          <reference field="6" count="0"/>
        </references>
      </pivotArea>
    </format>
    <format dxfId="1005">
      <pivotArea collapsedLevelsAreSubtotals="1" fieldPosition="0">
        <references count="1">
          <reference field="6" count="0"/>
        </references>
      </pivotArea>
    </format>
    <format dxfId="100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14:I16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h="1" x="1"/>
        <item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2"/>
    </i>
    <i t="grand">
      <x/>
    </i>
  </rowItems>
  <colItems count="1">
    <i/>
  </colItems>
  <pageFields count="1">
    <pageField fld="11" item="1" hier="-1"/>
  </pageFields>
  <dataFields count="1">
    <dataField name="Soma de Valor_Produto" fld="7" baseField="0" baseItem="0"/>
  </dataFields>
  <formats count="3">
    <format dxfId="1009">
      <pivotArea collapsedLevelsAreSubtotals="1" fieldPosition="0">
        <references count="1">
          <reference field="6" count="0"/>
        </references>
      </pivotArea>
    </format>
    <format dxfId="1008">
      <pivotArea collapsedLevelsAreSubtotals="1" fieldPosition="0">
        <references count="1">
          <reference field="6" count="0"/>
        </references>
      </pivotArea>
    </format>
    <format dxfId="100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14:F16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pageFields count="1">
    <pageField fld="11" item="1" hier="-1"/>
  </pageFields>
  <dataFields count="1">
    <dataField name="Soma de Valor_Produto" fld="7" baseField="0" baseItem="0"/>
  </dataFields>
  <formats count="3">
    <format dxfId="1012">
      <pivotArea collapsedLevelsAreSubtotals="1" fieldPosition="0">
        <references count="1">
          <reference field="6" count="0"/>
        </references>
      </pivotArea>
    </format>
    <format dxfId="1011">
      <pivotArea collapsedLevelsAreSubtotals="1" fieldPosition="0">
        <references count="1">
          <reference field="6" count="0"/>
        </references>
      </pivotArea>
    </format>
    <format dxfId="10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35:I37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pageFields count="1">
    <pageField fld="11" item="3" hier="-1"/>
  </pageFields>
  <dataFields count="1">
    <dataField name="Soma de Valor_Produto" fld="7" baseField="0" baseItem="0"/>
  </dataFields>
  <formats count="3">
    <format dxfId="1015">
      <pivotArea collapsedLevelsAreSubtotals="1" fieldPosition="0">
        <references count="1">
          <reference field="6" count="0"/>
        </references>
      </pivotArea>
    </format>
    <format dxfId="1014">
      <pivotArea collapsedLevelsAreSubtotals="1" fieldPosition="0">
        <references count="1">
          <reference field="6" count="0"/>
        </references>
      </pivotArea>
    </format>
    <format dxfId="101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3:I5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h="1" x="1"/>
        <item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2"/>
    </i>
    <i t="grand">
      <x/>
    </i>
  </rowItems>
  <colItems count="1">
    <i/>
  </colItems>
  <pageFields count="1">
    <pageField fld="11" item="0" hier="-1"/>
  </pageFields>
  <dataFields count="1">
    <dataField name="Soma de Valor_Produto" fld="7" baseField="0" baseItem="0"/>
  </dataFields>
  <formats count="3">
    <format dxfId="1018">
      <pivotArea collapsedLevelsAreSubtotals="1" fieldPosition="0">
        <references count="1">
          <reference field="6" count="0"/>
        </references>
      </pivotArea>
    </format>
    <format dxfId="1017">
      <pivotArea collapsedLevelsAreSubtotals="1" fieldPosition="0">
        <references count="1">
          <reference field="6" count="0"/>
        </references>
      </pivotArea>
    </format>
    <format dxfId="101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x="2"/>
        <item h="1"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/>
    </i>
    <i t="grand">
      <x/>
    </i>
  </rowItems>
  <colItems count="1">
    <i/>
  </colItems>
  <pageFields count="1">
    <pageField fld="11" item="0" hier="-1"/>
  </pageFields>
  <dataFields count="1">
    <dataField name="Soma de Valor_Produto" fld="7" baseField="0" baseItem="0"/>
  </dataFields>
  <formats count="3">
    <format dxfId="1021">
      <pivotArea collapsedLevelsAreSubtotals="1" fieldPosition="0">
        <references count="1">
          <reference field="6" count="0"/>
        </references>
      </pivotArea>
    </format>
    <format dxfId="1020">
      <pivotArea collapsedLevelsAreSubtotals="1" fieldPosition="0">
        <references count="1">
          <reference field="6" count="0"/>
        </references>
      </pivotArea>
    </format>
    <format dxfId="101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5:B37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x="2"/>
        <item h="1"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/>
    </i>
    <i t="grand">
      <x/>
    </i>
  </rowItems>
  <colItems count="1">
    <i/>
  </colItems>
  <pageFields count="1">
    <pageField fld="11" item="3" hier="-1"/>
  </pageFields>
  <dataFields count="1">
    <dataField name="Soma de Valor_Produto" fld="7" baseField="0" baseItem="0"/>
  </dataFields>
  <formats count="3">
    <format dxfId="1024">
      <pivotArea collapsedLevelsAreSubtotals="1" fieldPosition="0">
        <references count="1">
          <reference field="6" count="0"/>
        </references>
      </pivotArea>
    </format>
    <format dxfId="1023">
      <pivotArea collapsedLevelsAreSubtotals="1" fieldPosition="0">
        <references count="1">
          <reference field="6" count="0"/>
        </references>
      </pivotArea>
    </format>
    <format dxfId="102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35:F37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pageFields count="1">
    <pageField fld="11" item="3" hier="-1"/>
  </pageFields>
  <dataFields count="1">
    <dataField name="Soma de Valor_Produto" fld="7" baseField="0" baseItem="0"/>
  </dataFields>
  <formats count="3">
    <format dxfId="1027">
      <pivotArea collapsedLevelsAreSubtotals="1" fieldPosition="0">
        <references count="1">
          <reference field="6" count="0"/>
        </references>
      </pivotArea>
    </format>
    <format dxfId="1026">
      <pivotArea collapsedLevelsAreSubtotals="1" fieldPosition="0">
        <references count="1">
          <reference field="6" count="0"/>
        </references>
      </pivotArea>
    </format>
    <format dxfId="102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3:F5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pageFields count="1">
    <pageField fld="11" item="0" hier="-1"/>
  </pageFields>
  <dataFields count="1">
    <dataField name="Soma de Valor_Produto" fld="7" baseField="0" baseItem="0"/>
  </dataFields>
  <formats count="3">
    <format dxfId="1030">
      <pivotArea collapsedLevelsAreSubtotals="1" fieldPosition="0">
        <references count="1">
          <reference field="6" count="0"/>
        </references>
      </pivotArea>
    </format>
    <format dxfId="1029">
      <pivotArea collapsedLevelsAreSubtotals="1" fieldPosition="0">
        <references count="1">
          <reference field="6" count="0"/>
        </references>
      </pivotArea>
    </format>
    <format dxfId="102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26:I28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pageFields count="1">
    <pageField fld="11" item="2" hier="-1"/>
  </pageFields>
  <dataFields count="1">
    <dataField name="Soma de Valor_Produto" fld="7" baseField="0" baseItem="0"/>
  </dataFields>
  <formats count="3">
    <format dxfId="1033">
      <pivotArea collapsedLevelsAreSubtotals="1" fieldPosition="0">
        <references count="1">
          <reference field="6" count="0"/>
        </references>
      </pivotArea>
    </format>
    <format dxfId="1032">
      <pivotArea collapsedLevelsAreSubtotals="1" fieldPosition="0">
        <references count="1">
          <reference field="6" count="0"/>
        </references>
      </pivotArea>
    </format>
    <format dxfId="103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6:B28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x="2"/>
        <item h="1"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/>
    </i>
    <i t="grand">
      <x/>
    </i>
  </rowItems>
  <colItems count="1">
    <i/>
  </colItems>
  <pageFields count="1">
    <pageField fld="11" item="2" hier="-1"/>
  </pageFields>
  <dataFields count="1">
    <dataField name="Soma de Valor_Produto" fld="7" baseField="0" baseItem="0"/>
  </dataFields>
  <formats count="3">
    <format dxfId="1036">
      <pivotArea collapsedLevelsAreSubtotals="1" fieldPosition="0">
        <references count="1">
          <reference field="6" count="0"/>
        </references>
      </pivotArea>
    </format>
    <format dxfId="1035">
      <pivotArea collapsedLevelsAreSubtotals="1" fieldPosition="0">
        <references count="1">
          <reference field="6" count="0"/>
        </references>
      </pivotArea>
    </format>
    <format dxfId="103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26:F28" firstHeaderRow="1" firstDataRow="1" firstDataCol="1" rowPageCount="1" colPageCount="1"/>
  <pivotFields count="13">
    <pivotField showAll="0"/>
    <pivotField numFmtId="14" showAll="0"/>
    <pivotField showAll="0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>
      <items count="4">
        <item h="1" x="2"/>
        <item x="1"/>
        <item h="1" x="0"/>
        <item t="default"/>
      </items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pageFields count="1">
    <pageField fld="11" item="2" hier="-1"/>
  </pageFields>
  <dataFields count="1">
    <dataField name="Soma de Valor_Produto" fld="7" baseField="0" baseItem="0"/>
  </dataFields>
  <formats count="3">
    <format dxfId="1039">
      <pivotArea collapsedLevelsAreSubtotals="1" fieldPosition="0">
        <references count="1">
          <reference field="6" count="0"/>
        </references>
      </pivotArea>
    </format>
    <format dxfId="1038">
      <pivotArea collapsedLevelsAreSubtotals="1" fieldPosition="0">
        <references count="1">
          <reference field="6" count="0"/>
        </references>
      </pivotArea>
    </format>
    <format dxfId="103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ela dinâmica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2">
  <location ref="A27:C30" firstHeaderRow="1" firstDataRow="2" firstDataCol="1" rowPageCount="1" colPageCount="1"/>
  <pivotFields count="13">
    <pivotField showAll="0"/>
    <pivotField numFmtId="14" showAll="0"/>
    <pivotField axis="axisCol" showAll="0" sortType="ascending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 sortType="ascending">
      <items count="4">
        <item x="2"/>
        <item h="1"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/>
    </i>
    <i t="grand">
      <x/>
    </i>
  </rowItems>
  <colFields count="1">
    <field x="2"/>
  </colFields>
  <colItems count="2">
    <i>
      <x v="4"/>
    </i>
    <i t="grand">
      <x/>
    </i>
  </colItems>
  <pageFields count="1">
    <pageField fld="11" item="1" hier="-1"/>
  </pageFields>
  <dataFields count="1">
    <dataField name="Soma de Valor_Produto" fld="7" baseField="0" baseItem="0"/>
  </dataFields>
  <chartFormats count="3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ela dinâ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:C6" firstHeaderRow="1" firstDataRow="2" firstDataCol="1" rowPageCount="1" colPageCount="1"/>
  <pivotFields count="13">
    <pivotField showAll="0"/>
    <pivotField numFmtId="14" showAll="0"/>
    <pivotField axis="axisCol" showAll="0" sortType="ascending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ascending">
      <items count="4">
        <item x="2"/>
        <item h="1"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/>
    </i>
    <i t="grand">
      <x/>
    </i>
  </rowItems>
  <colFields count="1">
    <field x="2"/>
  </colFields>
  <colItems count="2">
    <i>
      <x v="4"/>
    </i>
    <i t="grand">
      <x/>
    </i>
  </colItems>
  <pageFields count="1">
    <pageField fld="11" item="0" hier="-1"/>
  </pageFields>
  <dataFields count="1">
    <dataField name="Soma de Valor_Produto" fld="7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6">
  <location ref="A57:C60" firstHeaderRow="1" firstDataRow="2" firstDataCol="1" rowPageCount="1" colPageCount="1"/>
  <pivotFields count="13">
    <pivotField showAll="0"/>
    <pivotField numFmtId="14" showAll="0"/>
    <pivotField axis="axisCol" showAll="0" sortType="ascending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axis="axisRow" showAll="0" sortType="ascending">
      <items count="4">
        <item x="2"/>
        <item h="1"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</pivotFields>
  <rowFields count="1">
    <field x="6"/>
  </rowFields>
  <rowItems count="2">
    <i>
      <x/>
    </i>
    <i t="grand">
      <x/>
    </i>
  </rowItems>
  <colFields count="1">
    <field x="2"/>
  </colFields>
  <colItems count="2">
    <i>
      <x v="4"/>
    </i>
    <i t="grand">
      <x/>
    </i>
  </colItems>
  <pageFields count="1">
    <pageField fld="11" item="0" hier="-1"/>
  </pageFields>
  <dataFields count="1">
    <dataField name="Soma de Valor_Produto" fld="7" baseField="0" baseItem="0"/>
  </dataFields>
  <chartFormats count="6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5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5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5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5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5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5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5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8">
  <location ref="Q27:R38" firstHeaderRow="1" firstDataRow="1" firstDataCol="1"/>
  <pivotFields count="13">
    <pivotField showAll="0"/>
    <pivotField numFmtId="14" showAll="0"/>
    <pivotField showAll="0" sortType="ascending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Row" showAll="0" measureFilter="1" sortType="ascending">
      <items count="22">
        <item x="17"/>
        <item x="9"/>
        <item x="0"/>
        <item x="14"/>
        <item x="20"/>
        <item x="16"/>
        <item x="18"/>
        <item x="15"/>
        <item x="19"/>
        <item x="10"/>
        <item x="1"/>
        <item x="2"/>
        <item x="13"/>
        <item x="12"/>
        <item x="5"/>
        <item x="3"/>
        <item x="8"/>
        <item x="6"/>
        <item x="4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9"/>
  </rowFields>
  <rowItems count="11">
    <i>
      <x v="3"/>
    </i>
    <i>
      <x v="16"/>
    </i>
    <i>
      <x v="13"/>
    </i>
    <i>
      <x v="8"/>
    </i>
    <i>
      <x v="19"/>
    </i>
    <i>
      <x v="11"/>
    </i>
    <i>
      <x v="6"/>
    </i>
    <i>
      <x v="4"/>
    </i>
    <i>
      <x v="2"/>
    </i>
    <i>
      <x v="12"/>
    </i>
    <i t="grand">
      <x/>
    </i>
  </rowItems>
  <colItems count="1">
    <i/>
  </colItems>
  <dataFields count="1">
    <dataField name="Soma de Valor_Produto" fld="7" baseField="0" baseItem="0"/>
  </dataFields>
  <formats count="1">
    <format dxfId="1000">
      <pivotArea grandRow="1" grandCol="1" outline="0" collapsedLevelsAreSubtotals="1" fieldPosition="0"/>
    </format>
  </formats>
  <chartFormats count="2">
    <chartFormat chart="2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2">
  <location ref="U27:V30" firstHeaderRow="1" firstDataRow="1" firstDataCol="1" rowPageCount="1" colPageCount="1"/>
  <pivotFields count="13">
    <pivotField showAll="0"/>
    <pivotField numFmtId="14" showAll="0"/>
    <pivotField axis="axisPage" multipleItemSelectionAllowed="1" showAll="0" sortType="ascending">
      <items count="13">
        <item h="1" x="6"/>
        <item h="1" x="8"/>
        <item h="1" x="10"/>
        <item h="1" x="2"/>
        <item x="7"/>
        <item h="1" x="11"/>
        <item h="1" x="3"/>
        <item h="1" x="5"/>
        <item h="1" x="4"/>
        <item h="1" x="1"/>
        <item h="1" x="9"/>
        <item h="1" x="0"/>
        <item t="default"/>
      </items>
    </pivotField>
    <pivotField showAll="0"/>
    <pivotField showAll="0"/>
    <pivotField showAll="0"/>
    <pivotField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 measureFilter="1" sortType="ascending">
      <items count="22">
        <item x="17"/>
        <item x="9"/>
        <item x="0"/>
        <item x="14"/>
        <item x="20"/>
        <item x="16"/>
        <item x="18"/>
        <item x="15"/>
        <item x="19"/>
        <item x="10"/>
        <item x="1"/>
        <item x="2"/>
        <item x="13"/>
        <item x="12"/>
        <item x="5"/>
        <item x="3"/>
        <item x="8"/>
        <item x="6"/>
        <item x="4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oma de Valor_Produto" fld="7" baseField="0" baseItem="0"/>
  </dataFields>
  <formats count="3">
    <format dxfId="1003">
      <pivotArea grandRow="1" grandCol="1" outline="0" collapsedLevelsAreSubtotals="1" fieldPosition="0"/>
    </format>
    <format dxfId="1002">
      <pivotArea collapsedLevelsAreSubtotals="1" fieldPosition="0">
        <references count="1">
          <reference field="10" count="1">
            <x v="0"/>
          </reference>
        </references>
      </pivotArea>
    </format>
    <format dxfId="1001">
      <pivotArea collapsedLevelsAreSubtotals="1" fieldPosition="0">
        <references count="1">
          <reference field="10" count="1">
            <x v="1"/>
          </reference>
        </references>
      </pivotArea>
    </format>
  </formats>
  <chartFormats count="9">
    <chartFormat chart="2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9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9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 ">
  <pivotTables>
    <pivotTable tabId="44" name="Tabela dinâmica1"/>
    <pivotTable tabId="43" name="Tabela dinâmica1"/>
    <pivotTable tabId="43" name="Tabela dinâmica10"/>
    <pivotTable tabId="43" name="Tabela dinâmica11"/>
    <pivotTable tabId="43" name="Tabela dinâmica12"/>
    <pivotTable tabId="43" name="Tabela dinâmica2"/>
    <pivotTable tabId="43" name="Tabela dinâmica3"/>
    <pivotTable tabId="43" name="Tabela dinâmica4"/>
    <pivotTable tabId="43" name="Tabela dinâmica5"/>
    <pivotTable tabId="43" name="Tabela dinâmica6"/>
    <pivotTable tabId="43" name="Tabela dinâmica7"/>
    <pivotTable tabId="43" name="Tabela dinâmica8"/>
    <pivotTable tabId="43" name="Tabela dinâmica9"/>
    <pivotTable tabId="44" name="Tabela dinâmica10"/>
    <pivotTable tabId="44" name="Tabela dinâmica11"/>
    <pivotTable tabId="44" name="Tabela dinâmica2"/>
    <pivotTable tabId="44" name="Tabela dinâmica3"/>
  </pivotTables>
  <data>
    <tabular pivotCacheId="1">
      <items count="12">
        <i x="6"/>
        <i x="8"/>
        <i x="10"/>
        <i x="2"/>
        <i x="7" s="1"/>
        <i x="11"/>
        <i x="3"/>
        <i x="5"/>
        <i x="4"/>
        <i x="1"/>
        <i x="9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  1" cache="SegmentaçãodeDados_Mês" caption="Mês " style="SlicerStyleLight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 " cache="SegmentaçãodeDados_Mês" caption="Mês " rowHeight="241300"/>
</slicers>
</file>

<file path=xl/tables/table1.xml><?xml version="1.0" encoding="utf-8"?>
<table xmlns="http://schemas.openxmlformats.org/spreadsheetml/2006/main" id="1" name="Dados_Cursos" displayName="Dados_Cursos" ref="A7:M1007" totalsRowShown="0" headerRowDxfId="1054" dataDxfId="1053">
  <autoFilter ref="A7:M1007"/>
  <tableColumns count="13">
    <tableColumn id="1" name="ID" dataDxfId="1052"/>
    <tableColumn id="2" name="Data" dataDxfId="1051"/>
    <tableColumn id="3" name="Mês " dataDxfId="1050">
      <calculatedColumnFormula>UPPER(TEXT(Dados_Cursos[[#This Row],[Data]],"mmm"))</calculatedColumnFormula>
    </tableColumn>
    <tableColumn id="4" name="Nome" dataDxfId="1049"/>
    <tableColumn id="5" name="Email" dataDxfId="1048">
      <calculatedColumnFormula>VLOOKUP(Dados_Cursos[[#This Row],[ID]],Apoio!A1:H1001,2,0)</calculatedColumnFormula>
    </tableColumn>
    <tableColumn id="6" name="Telefone" dataDxfId="1047"/>
    <tableColumn id="7" name="Produto" dataDxfId="1046"/>
    <tableColumn id="8" name="Valor_Produto" dataDxfId="1045"/>
    <tableColumn id="9" name="Quantidade Vendida" dataDxfId="1044"/>
    <tableColumn id="10" name="Região" dataDxfId="1043">
      <calculatedColumnFormula>VLOOKUP(Dados_Cursos[[#This Row],[ID]],Apoio!A1:H1001,4,0)</calculatedColumnFormula>
    </tableColumn>
    <tableColumn id="11" name="Status" dataDxfId="1042"/>
    <tableColumn id="12" name="Motivo" dataDxfId="1041"/>
    <tableColumn id="13" name="Comissão" dataDxfId="104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15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9"/>
  <sheetViews>
    <sheetView zoomScale="85" zoomScaleNormal="85" workbookViewId="0">
      <selection sqref="A1:Q5"/>
    </sheetView>
  </sheetViews>
  <sheetFormatPr defaultRowHeight="14.25" x14ac:dyDescent="0.25"/>
  <cols>
    <col min="1" max="1" width="14.28515625" customWidth="1"/>
    <col min="2" max="2" width="15.7109375" style="54" customWidth="1"/>
    <col min="3" max="3" width="15.7109375" customWidth="1"/>
    <col min="4" max="4" width="21.7109375" customWidth="1"/>
    <col min="5" max="5" width="32.85546875" customWidth="1"/>
    <col min="6" max="6" width="25.7109375" customWidth="1"/>
    <col min="7" max="7" width="30.7109375" customWidth="1"/>
    <col min="8" max="8" width="19.5703125" customWidth="1"/>
    <col min="9" max="9" width="21.42578125" customWidth="1"/>
    <col min="10" max="10" width="19.5703125" customWidth="1"/>
    <col min="11" max="12" width="25.7109375" customWidth="1"/>
    <col min="13" max="13" width="23.42578125" customWidth="1"/>
    <col min="14" max="14" width="20.42578125" customWidth="1"/>
  </cols>
  <sheetData>
    <row r="1" spans="1:17" s="3" customFormat="1" ht="9.75" customHeight="1" x14ac:dyDescent="0.2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17" s="3" customFormat="1" ht="19.5" customHeigh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</row>
    <row r="3" spans="1:17" s="3" customFormat="1" ht="19.5" customHeight="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7" s="3" customFormat="1" ht="19.5" customHeight="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</row>
    <row r="5" spans="1:17" s="3" customFormat="1" ht="9.9499999999999993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</row>
    <row r="6" spans="1:17" ht="20.100000000000001" customHeight="1" x14ac:dyDescent="0.25">
      <c r="K6" s="39"/>
      <c r="L6" s="39"/>
    </row>
    <row r="7" spans="1:17" ht="20.100000000000001" customHeight="1" x14ac:dyDescent="0.25">
      <c r="A7" s="49" t="s">
        <v>1129</v>
      </c>
      <c r="B7" s="55" t="s">
        <v>115</v>
      </c>
      <c r="C7" s="36" t="s">
        <v>1126</v>
      </c>
      <c r="D7" s="36" t="s">
        <v>29</v>
      </c>
      <c r="E7" s="36" t="s">
        <v>33</v>
      </c>
      <c r="F7" s="36" t="s">
        <v>116</v>
      </c>
      <c r="G7" s="38" t="s">
        <v>5</v>
      </c>
      <c r="H7" s="38" t="s">
        <v>1128</v>
      </c>
      <c r="I7" s="49" t="s">
        <v>1130</v>
      </c>
      <c r="J7" s="49" t="s">
        <v>1131</v>
      </c>
      <c r="K7" s="38" t="s">
        <v>108</v>
      </c>
      <c r="L7" s="38" t="s">
        <v>114</v>
      </c>
      <c r="M7" s="38" t="s">
        <v>84</v>
      </c>
    </row>
    <row r="8" spans="1:17" ht="20.100000000000001" customHeight="1" x14ac:dyDescent="0.25">
      <c r="A8" s="49">
        <v>1</v>
      </c>
      <c r="B8" s="55">
        <v>45646</v>
      </c>
      <c r="C8" s="36" t="str">
        <f>UPPER(TEXT(Dados_Cursos[[#This Row],[Data]],"mmm"))</f>
        <v>DEZ</v>
      </c>
      <c r="D8" s="52" t="s">
        <v>1135</v>
      </c>
      <c r="E8" s="49" t="str">
        <f>VLOOKUP(Dados_Cursos[[#This Row],[ID]],Apoio!A1:H1001,2,0)</f>
        <v>bruno.barbosa1@gmail.com</v>
      </c>
      <c r="F8" s="36" t="s">
        <v>117</v>
      </c>
      <c r="G8" s="36" t="s">
        <v>2667</v>
      </c>
      <c r="H8" s="38">
        <v>1200</v>
      </c>
      <c r="I8" s="49">
        <v>6</v>
      </c>
      <c r="J8" s="49" t="str">
        <f>VLOOKUP(Dados_Cursos[[#This Row],[ID]],Apoio!A1:H1001,4,0)</f>
        <v>Bié</v>
      </c>
      <c r="K8" s="37" t="s">
        <v>112</v>
      </c>
      <c r="L8" s="37" t="s">
        <v>109</v>
      </c>
      <c r="M8" s="53"/>
    </row>
    <row r="9" spans="1:17" ht="20.100000000000001" customHeight="1" x14ac:dyDescent="0.25">
      <c r="A9" s="49">
        <v>2</v>
      </c>
      <c r="B9" s="55">
        <v>45586</v>
      </c>
      <c r="C9" s="36" t="str">
        <f>UPPER(TEXT(Dados_Cursos[[#This Row],[Data]],"mmm"))</f>
        <v>OUT</v>
      </c>
      <c r="D9" s="52" t="s">
        <v>1138</v>
      </c>
      <c r="E9" s="49" t="str">
        <f>VLOOKUP(Dados_Cursos[[#This Row],[ID]],Apoio!A2:H1002,2,0)</f>
        <v>paulo.pinto2@gmail.com</v>
      </c>
      <c r="F9" s="36" t="s">
        <v>118</v>
      </c>
      <c r="G9" s="36" t="s">
        <v>2666</v>
      </c>
      <c r="H9" s="38">
        <v>1500</v>
      </c>
      <c r="I9" s="49">
        <v>2</v>
      </c>
      <c r="J9" s="49" t="str">
        <f>VLOOKUP(Dados_Cursos[[#This Row],[ID]],Apoio!A2:H1002,4,0)</f>
        <v>Huíla</v>
      </c>
      <c r="K9" s="37" t="s">
        <v>112</v>
      </c>
      <c r="L9" s="37" t="s">
        <v>109</v>
      </c>
      <c r="M9" s="53"/>
    </row>
    <row r="10" spans="1:17" ht="20.100000000000001" customHeight="1" x14ac:dyDescent="0.25">
      <c r="A10" s="49">
        <v>3</v>
      </c>
      <c r="B10" s="55">
        <v>45390</v>
      </c>
      <c r="C10" s="36" t="str">
        <f>UPPER(TEXT(Dados_Cursos[[#This Row],[Data]],"mmm"))</f>
        <v>ABR</v>
      </c>
      <c r="D10" s="52" t="s">
        <v>1141</v>
      </c>
      <c r="E10" s="49" t="str">
        <f>VLOOKUP(Dados_Cursos[[#This Row],[ID]],Apoio!A3:H1003,2,0)</f>
        <v>fátima.fernandes3@gmail.com</v>
      </c>
      <c r="F10" s="36" t="s">
        <v>119</v>
      </c>
      <c r="G10" s="36" t="s">
        <v>2667</v>
      </c>
      <c r="H10" s="38">
        <v>1200</v>
      </c>
      <c r="I10" s="49">
        <v>13</v>
      </c>
      <c r="J10" s="49" t="str">
        <f>VLOOKUP(Dados_Cursos[[#This Row],[ID]],Apoio!A3:H1003,4,0)</f>
        <v>Icolo e Bengo</v>
      </c>
      <c r="K10" s="37" t="s">
        <v>113</v>
      </c>
      <c r="L10" s="37" t="s">
        <v>110</v>
      </c>
      <c r="M10" s="53"/>
    </row>
    <row r="11" spans="1:17" ht="20.100000000000001" customHeight="1" x14ac:dyDescent="0.25">
      <c r="A11" s="49">
        <v>4</v>
      </c>
      <c r="B11" s="55">
        <v>45490</v>
      </c>
      <c r="C11" s="36" t="str">
        <f>UPPER(TEXT(Dados_Cursos[[#This Row],[Data]],"mmm"))</f>
        <v>JUL</v>
      </c>
      <c r="D11" s="52" t="s">
        <v>1144</v>
      </c>
      <c r="E11" s="49" t="str">
        <f>VLOOKUP(Dados_Cursos[[#This Row],[ID]],Apoio!A4:H1004,2,0)</f>
        <v>samuel.monteiro4@gmail.com</v>
      </c>
      <c r="F11" s="36" t="s">
        <v>120</v>
      </c>
      <c r="G11" s="36" t="s">
        <v>2666</v>
      </c>
      <c r="H11" s="38">
        <v>800</v>
      </c>
      <c r="I11" s="49">
        <v>16</v>
      </c>
      <c r="J11" s="49" t="str">
        <f>VLOOKUP(Dados_Cursos[[#This Row],[ID]],Apoio!A4:H1004,4,0)</f>
        <v>Malanje</v>
      </c>
      <c r="K11" s="37" t="s">
        <v>113</v>
      </c>
      <c r="L11" s="37" t="s">
        <v>111</v>
      </c>
      <c r="M11" s="53"/>
    </row>
    <row r="12" spans="1:17" ht="20.100000000000001" customHeight="1" x14ac:dyDescent="0.25">
      <c r="A12" s="49">
        <v>5</v>
      </c>
      <c r="B12" s="55">
        <v>45539</v>
      </c>
      <c r="C12" s="36" t="str">
        <f>UPPER(TEXT(Dados_Cursos[[#This Row],[Data]],"mmm"))</f>
        <v>SET</v>
      </c>
      <c r="D12" s="52" t="s">
        <v>1147</v>
      </c>
      <c r="E12" s="49" t="str">
        <f>VLOOKUP(Dados_Cursos[[#This Row],[ID]],Apoio!A5:H1005,2,0)</f>
        <v>joaquim.lopes5@gmail.com</v>
      </c>
      <c r="F12" s="36" t="s">
        <v>121</v>
      </c>
      <c r="G12" s="36" t="s">
        <v>2667</v>
      </c>
      <c r="H12" s="38">
        <v>1200</v>
      </c>
      <c r="I12" s="49">
        <v>11</v>
      </c>
      <c r="J12" s="49" t="str">
        <f>VLOOKUP(Dados_Cursos[[#This Row],[ID]],Apoio!A5:H1005,4,0)</f>
        <v>Namibe</v>
      </c>
      <c r="K12" s="37" t="s">
        <v>113</v>
      </c>
      <c r="L12" s="37" t="s">
        <v>111</v>
      </c>
      <c r="M12" s="53"/>
    </row>
    <row r="13" spans="1:17" ht="20.100000000000001" customHeight="1" x14ac:dyDescent="0.25">
      <c r="A13" s="49">
        <v>6</v>
      </c>
      <c r="B13" s="55">
        <v>45482</v>
      </c>
      <c r="C13" s="36" t="str">
        <f>UPPER(TEXT(Dados_Cursos[[#This Row],[Data]],"mmm"))</f>
        <v>JUL</v>
      </c>
      <c r="D13" s="52" t="s">
        <v>1150</v>
      </c>
      <c r="E13" s="49" t="str">
        <f>VLOOKUP(Dados_Cursos[[#This Row],[ID]],Apoio!A6:H1006,2,0)</f>
        <v>manuel.almeida6@gmail.com</v>
      </c>
      <c r="F13" s="36" t="s">
        <v>122</v>
      </c>
      <c r="G13" s="36" t="s">
        <v>2667</v>
      </c>
      <c r="H13" s="38">
        <v>1200</v>
      </c>
      <c r="I13" s="49">
        <v>13</v>
      </c>
      <c r="J13" s="49" t="str">
        <f>VLOOKUP(Dados_Cursos[[#This Row],[ID]],Apoio!A6:H1006,4,0)</f>
        <v>Lunda Sul</v>
      </c>
      <c r="K13" s="37" t="s">
        <v>113</v>
      </c>
      <c r="L13" s="37" t="s">
        <v>110</v>
      </c>
      <c r="M13" s="53"/>
    </row>
    <row r="14" spans="1:17" ht="20.100000000000001" customHeight="1" x14ac:dyDescent="0.25">
      <c r="A14" s="49">
        <v>7</v>
      </c>
      <c r="B14" s="55">
        <v>45518</v>
      </c>
      <c r="C14" s="36" t="str">
        <f>UPPER(TEXT(Dados_Cursos[[#This Row],[Data]],"mmm"))</f>
        <v>AGO</v>
      </c>
      <c r="D14" s="52" t="s">
        <v>1153</v>
      </c>
      <c r="E14" s="49" t="str">
        <f>VLOOKUP(Dados_Cursos[[#This Row],[ID]],Apoio!A7:H1007,2,0)</f>
        <v>samuel.david7@gmail.com</v>
      </c>
      <c r="F14" s="36" t="s">
        <v>123</v>
      </c>
      <c r="G14" s="36" t="s">
        <v>2666</v>
      </c>
      <c r="H14" s="38">
        <v>1500</v>
      </c>
      <c r="I14" s="49">
        <v>17</v>
      </c>
      <c r="J14" s="49" t="str">
        <f>VLOOKUP(Dados_Cursos[[#This Row],[ID]],Apoio!A7:H1007,4,0)</f>
        <v>Moxico Leste</v>
      </c>
      <c r="K14" s="37" t="s">
        <v>113</v>
      </c>
      <c r="L14" s="37" t="s">
        <v>110</v>
      </c>
      <c r="M14" s="53"/>
    </row>
    <row r="15" spans="1:17" ht="20.100000000000001" customHeight="1" x14ac:dyDescent="0.25">
      <c r="A15" s="49">
        <v>8</v>
      </c>
      <c r="B15" s="55">
        <v>45403</v>
      </c>
      <c r="C15" s="36" t="str">
        <f>UPPER(TEXT(Dados_Cursos[[#This Row],[Data]],"mmm"))</f>
        <v>ABR</v>
      </c>
      <c r="D15" s="52" t="s">
        <v>1156</v>
      </c>
      <c r="E15" s="49" t="str">
        <f>VLOOKUP(Dados_Cursos[[#This Row],[ID]],Apoio!A8:H1008,2,0)</f>
        <v>antónio.gomes8@gmail.com</v>
      </c>
      <c r="F15" s="36" t="s">
        <v>124</v>
      </c>
      <c r="G15" s="36" t="s">
        <v>2667</v>
      </c>
      <c r="H15" s="38">
        <v>1200</v>
      </c>
      <c r="I15" s="49">
        <v>5</v>
      </c>
      <c r="J15" s="49" t="str">
        <f>VLOOKUP(Dados_Cursos[[#This Row],[ID]],Apoio!A8:H1008,4,0)</f>
        <v>Uíge</v>
      </c>
      <c r="K15" s="37" t="s">
        <v>113</v>
      </c>
      <c r="L15" s="37" t="s">
        <v>110</v>
      </c>
      <c r="M15" s="53"/>
    </row>
    <row r="16" spans="1:17" ht="20.100000000000001" customHeight="1" x14ac:dyDescent="0.25">
      <c r="A16" s="49">
        <v>9</v>
      </c>
      <c r="B16" s="55">
        <v>45322</v>
      </c>
      <c r="C16" s="36" t="str">
        <f>UPPER(TEXT(Dados_Cursos[[#This Row],[Data]],"mmm"))</f>
        <v>JAN</v>
      </c>
      <c r="D16" s="52" t="s">
        <v>1159</v>
      </c>
      <c r="E16" s="49" t="str">
        <f>VLOOKUP(Dados_Cursos[[#This Row],[ID]],Apoio!A9:H1009,2,0)</f>
        <v>antónio.fernandes9@gmail.com</v>
      </c>
      <c r="F16" s="36" t="s">
        <v>125</v>
      </c>
      <c r="G16" s="36" t="s">
        <v>2666</v>
      </c>
      <c r="H16" s="38">
        <v>800</v>
      </c>
      <c r="I16" s="49">
        <v>8</v>
      </c>
      <c r="J16" s="49" t="str">
        <f>VLOOKUP(Dados_Cursos[[#This Row],[ID]],Apoio!A9:H1009,4,0)</f>
        <v>Moxico</v>
      </c>
      <c r="K16" s="37" t="s">
        <v>112</v>
      </c>
      <c r="L16" s="37" t="s">
        <v>109</v>
      </c>
      <c r="M16" s="53"/>
    </row>
    <row r="17" spans="1:13" ht="20.100000000000001" customHeight="1" x14ac:dyDescent="0.25">
      <c r="A17" s="49">
        <v>10</v>
      </c>
      <c r="B17" s="55">
        <v>45547</v>
      </c>
      <c r="C17" s="36" t="str">
        <f>UPPER(TEXT(Dados_Cursos[[#This Row],[Data]],"mmm"))</f>
        <v>SET</v>
      </c>
      <c r="D17" s="52" t="s">
        <v>1162</v>
      </c>
      <c r="E17" s="49" t="str">
        <f>VLOOKUP(Dados_Cursos[[#This Row],[ID]],Apoio!A10:H1010,2,0)</f>
        <v>benedito.barbosa10@gmail.com</v>
      </c>
      <c r="F17" s="36" t="s">
        <v>126</v>
      </c>
      <c r="G17" s="36" t="s">
        <v>2666</v>
      </c>
      <c r="H17" s="38">
        <v>800</v>
      </c>
      <c r="I17" s="49">
        <v>13</v>
      </c>
      <c r="J17" s="49" t="str">
        <f>VLOOKUP(Dados_Cursos[[#This Row],[ID]],Apoio!A10:H1010,4,0)</f>
        <v>Icolo e Bengo</v>
      </c>
      <c r="K17" s="37" t="s">
        <v>113</v>
      </c>
      <c r="L17" s="37" t="s">
        <v>110</v>
      </c>
      <c r="M17" s="53"/>
    </row>
    <row r="18" spans="1:13" ht="20.100000000000001" customHeight="1" x14ac:dyDescent="0.25">
      <c r="A18" s="49">
        <v>11</v>
      </c>
      <c r="B18" s="55">
        <v>45506</v>
      </c>
      <c r="C18" s="36" t="str">
        <f>UPPER(TEXT(Dados_Cursos[[#This Row],[Data]],"mmm"))</f>
        <v>AGO</v>
      </c>
      <c r="D18" s="52" t="s">
        <v>1164</v>
      </c>
      <c r="E18" s="49" t="str">
        <f>VLOOKUP(Dados_Cursos[[#This Row],[ID]],Apoio!A11:H1011,2,0)</f>
        <v>carlos.lukeba11@gmail.com</v>
      </c>
      <c r="F18" s="36" t="s">
        <v>127</v>
      </c>
      <c r="G18" s="36" t="s">
        <v>2666</v>
      </c>
      <c r="H18" s="38">
        <v>1500</v>
      </c>
      <c r="I18" s="49">
        <v>13</v>
      </c>
      <c r="J18" s="49" t="str">
        <f>VLOOKUP(Dados_Cursos[[#This Row],[ID]],Apoio!A11:H1011,4,0)</f>
        <v>Benguela</v>
      </c>
      <c r="K18" s="37" t="s">
        <v>112</v>
      </c>
      <c r="L18" s="37" t="s">
        <v>109</v>
      </c>
      <c r="M18" s="53"/>
    </row>
    <row r="19" spans="1:13" ht="20.100000000000001" customHeight="1" x14ac:dyDescent="0.25">
      <c r="A19" s="49">
        <v>12</v>
      </c>
      <c r="B19" s="55">
        <v>45399</v>
      </c>
      <c r="C19" s="36" t="str">
        <f>UPPER(TEXT(Dados_Cursos[[#This Row],[Data]],"mmm"))</f>
        <v>ABR</v>
      </c>
      <c r="D19" s="52" t="s">
        <v>1167</v>
      </c>
      <c r="E19" s="49" t="str">
        <f>VLOOKUP(Dados_Cursos[[#This Row],[ID]],Apoio!A12:H1012,2,0)</f>
        <v>david.santos12@gmail.com</v>
      </c>
      <c r="F19" s="36" t="s">
        <v>128</v>
      </c>
      <c r="G19" s="36" t="s">
        <v>2666</v>
      </c>
      <c r="H19" s="38">
        <v>800</v>
      </c>
      <c r="I19" s="49">
        <v>14</v>
      </c>
      <c r="J19" s="49" t="str">
        <f>VLOOKUP(Dados_Cursos[[#This Row],[ID]],Apoio!A12:H1012,4,0)</f>
        <v>Lunda Sul</v>
      </c>
      <c r="K19" s="37" t="s">
        <v>113</v>
      </c>
      <c r="L19" s="37" t="s">
        <v>111</v>
      </c>
      <c r="M19" s="53"/>
    </row>
    <row r="20" spans="1:13" ht="20.100000000000001" customHeight="1" x14ac:dyDescent="0.25">
      <c r="A20" s="49">
        <v>13</v>
      </c>
      <c r="B20" s="55">
        <v>45579</v>
      </c>
      <c r="C20" s="36" t="str">
        <f>UPPER(TEXT(Dados_Cursos[[#This Row],[Data]],"mmm"))</f>
        <v>OUT</v>
      </c>
      <c r="D20" s="52" t="s">
        <v>1169</v>
      </c>
      <c r="E20" s="49" t="str">
        <f>VLOOKUP(Dados_Cursos[[#This Row],[ID]],Apoio!A13:H1013,2,0)</f>
        <v>pedro.lopes13@gmail.com</v>
      </c>
      <c r="F20" s="36" t="s">
        <v>129</v>
      </c>
      <c r="G20" s="36" t="s">
        <v>2666</v>
      </c>
      <c r="H20" s="38">
        <v>800</v>
      </c>
      <c r="I20" s="49">
        <v>4</v>
      </c>
      <c r="J20" s="49" t="str">
        <f>VLOOKUP(Dados_Cursos[[#This Row],[ID]],Apoio!A13:H1013,4,0)</f>
        <v>Huambo</v>
      </c>
      <c r="K20" s="37" t="s">
        <v>112</v>
      </c>
      <c r="L20" s="37" t="s">
        <v>109</v>
      </c>
      <c r="M20" s="53"/>
    </row>
    <row r="21" spans="1:13" ht="20.100000000000001" customHeight="1" x14ac:dyDescent="0.25">
      <c r="A21" s="49">
        <v>14</v>
      </c>
      <c r="B21" s="55">
        <v>45541</v>
      </c>
      <c r="C21" s="36" t="str">
        <f>UPPER(TEXT(Dados_Cursos[[#This Row],[Data]],"mmm"))</f>
        <v>SET</v>
      </c>
      <c r="D21" s="52" t="s">
        <v>1172</v>
      </c>
      <c r="E21" s="49" t="str">
        <f>VLOOKUP(Dados_Cursos[[#This Row],[ID]],Apoio!A14:H1014,2,0)</f>
        <v>marta.miguel14@gmail.com</v>
      </c>
      <c r="F21" s="36" t="s">
        <v>130</v>
      </c>
      <c r="G21" s="36" t="s">
        <v>2666</v>
      </c>
      <c r="H21" s="38">
        <v>800</v>
      </c>
      <c r="I21" s="49">
        <v>4</v>
      </c>
      <c r="J21" s="49" t="str">
        <f>VLOOKUP(Dados_Cursos[[#This Row],[ID]],Apoio!A14:H1014,4,0)</f>
        <v>Zaire</v>
      </c>
      <c r="K21" s="37" t="s">
        <v>113</v>
      </c>
      <c r="L21" s="37" t="s">
        <v>2649</v>
      </c>
      <c r="M21" s="53"/>
    </row>
    <row r="22" spans="1:13" ht="20.100000000000001" customHeight="1" x14ac:dyDescent="0.25">
      <c r="A22" s="49">
        <v>15</v>
      </c>
      <c r="B22" s="55">
        <v>45653</v>
      </c>
      <c r="C22" s="36" t="str">
        <f>UPPER(TEXT(Dados_Cursos[[#This Row],[Data]],"mmm"))</f>
        <v>DEZ</v>
      </c>
      <c r="D22" s="52" t="s">
        <v>1175</v>
      </c>
      <c r="E22" s="49" t="str">
        <f>VLOOKUP(Dados_Cursos[[#This Row],[ID]],Apoio!A15:H1015,2,0)</f>
        <v>helena.miguel15@gmail.com</v>
      </c>
      <c r="F22" s="36" t="s">
        <v>131</v>
      </c>
      <c r="G22" s="36" t="s">
        <v>2667</v>
      </c>
      <c r="H22" s="62">
        <v>1200</v>
      </c>
      <c r="I22" s="49">
        <v>9</v>
      </c>
      <c r="J22" s="49" t="str">
        <f>VLOOKUP(Dados_Cursos[[#This Row],[ID]],Apoio!A15:H1015,4,0)</f>
        <v>Zaire</v>
      </c>
      <c r="K22" s="37" t="s">
        <v>113</v>
      </c>
      <c r="L22" s="37" t="s">
        <v>2649</v>
      </c>
      <c r="M22" s="53"/>
    </row>
    <row r="23" spans="1:13" ht="20.100000000000001" customHeight="1" x14ac:dyDescent="0.25">
      <c r="A23" s="49">
        <v>16</v>
      </c>
      <c r="B23" s="55">
        <v>45528</v>
      </c>
      <c r="C23" s="36" t="str">
        <f>UPPER(TEXT(Dados_Cursos[[#This Row],[Data]],"mmm"))</f>
        <v>AGO</v>
      </c>
      <c r="D23" s="52" t="s">
        <v>1177</v>
      </c>
      <c r="E23" s="49" t="str">
        <f>VLOOKUP(Dados_Cursos[[#This Row],[ID]],Apoio!A16:H1016,2,0)</f>
        <v>luís.fernandes16@gmail.com</v>
      </c>
      <c r="F23" s="36" t="s">
        <v>132</v>
      </c>
      <c r="G23" s="36" t="s">
        <v>2666</v>
      </c>
      <c r="H23" s="62">
        <v>800</v>
      </c>
      <c r="I23" s="49">
        <v>10</v>
      </c>
      <c r="J23" s="49" t="str">
        <f>VLOOKUP(Dados_Cursos[[#This Row],[ID]],Apoio!A16:H1016,4,0)</f>
        <v>Huíla</v>
      </c>
      <c r="K23" s="37" t="s">
        <v>113</v>
      </c>
      <c r="L23" s="37" t="s">
        <v>110</v>
      </c>
      <c r="M23" s="53"/>
    </row>
    <row r="24" spans="1:13" ht="20.100000000000001" customHeight="1" x14ac:dyDescent="0.25">
      <c r="A24" s="49">
        <v>17</v>
      </c>
      <c r="B24" s="55">
        <v>45543</v>
      </c>
      <c r="C24" s="36" t="str">
        <f>UPPER(TEXT(Dados_Cursos[[#This Row],[Data]],"mmm"))</f>
        <v>SET</v>
      </c>
      <c r="D24" s="52" t="s">
        <v>1179</v>
      </c>
      <c r="E24" s="49" t="str">
        <f>VLOOKUP(Dados_Cursos[[#This Row],[ID]],Apoio!A17:H1017,2,0)</f>
        <v>bruno.lopes17@gmail.com</v>
      </c>
      <c r="F24" s="36" t="s">
        <v>133</v>
      </c>
      <c r="G24" s="36" t="s">
        <v>2667</v>
      </c>
      <c r="H24" s="62">
        <v>1200</v>
      </c>
      <c r="I24" s="49">
        <v>3</v>
      </c>
      <c r="J24" s="49" t="str">
        <f>VLOOKUP(Dados_Cursos[[#This Row],[ID]],Apoio!A17:H1017,4,0)</f>
        <v>Lunda Sul</v>
      </c>
      <c r="K24" s="37" t="s">
        <v>113</v>
      </c>
      <c r="L24" s="37" t="s">
        <v>110</v>
      </c>
      <c r="M24" s="53"/>
    </row>
    <row r="25" spans="1:13" ht="20.100000000000001" customHeight="1" x14ac:dyDescent="0.25">
      <c r="A25" s="49">
        <v>18</v>
      </c>
      <c r="B25" s="55">
        <v>45577</v>
      </c>
      <c r="C25" s="36" t="str">
        <f>UPPER(TEXT(Dados_Cursos[[#This Row],[Data]],"mmm"))</f>
        <v>OUT</v>
      </c>
      <c r="D25" s="52" t="s">
        <v>1181</v>
      </c>
      <c r="E25" s="49" t="str">
        <f>VLOOKUP(Dados_Cursos[[#This Row],[ID]],Apoio!A18:H1018,2,0)</f>
        <v>benedito.david18@gmail.com</v>
      </c>
      <c r="F25" s="36" t="s">
        <v>134</v>
      </c>
      <c r="G25" s="36" t="s">
        <v>2666</v>
      </c>
      <c r="H25" s="62">
        <v>800</v>
      </c>
      <c r="I25" s="49">
        <v>8</v>
      </c>
      <c r="J25" s="49" t="str">
        <f>VLOOKUP(Dados_Cursos[[#This Row],[ID]],Apoio!A18:H1018,4,0)</f>
        <v>Huíla</v>
      </c>
      <c r="K25" s="37" t="s">
        <v>113</v>
      </c>
      <c r="L25" s="37" t="s">
        <v>110</v>
      </c>
      <c r="M25" s="53"/>
    </row>
    <row r="26" spans="1:13" ht="20.100000000000001" customHeight="1" x14ac:dyDescent="0.25">
      <c r="A26" s="49">
        <v>19</v>
      </c>
      <c r="B26" s="55">
        <v>45477</v>
      </c>
      <c r="C26" s="36" t="str">
        <f>UPPER(TEXT(Dados_Cursos[[#This Row],[Data]],"mmm"))</f>
        <v>JUL</v>
      </c>
      <c r="D26" s="52" t="s">
        <v>1183</v>
      </c>
      <c r="E26" s="49" t="str">
        <f>VLOOKUP(Dados_Cursos[[#This Row],[ID]],Apoio!A19:H1019,2,0)</f>
        <v>sofia.costa19@gmail.com</v>
      </c>
      <c r="F26" s="36" t="s">
        <v>135</v>
      </c>
      <c r="G26" s="36" t="s">
        <v>2666</v>
      </c>
      <c r="H26" s="62">
        <v>800</v>
      </c>
      <c r="I26" s="49">
        <v>20</v>
      </c>
      <c r="J26" s="49" t="str">
        <f>VLOOKUP(Dados_Cursos[[#This Row],[ID]],Apoio!A19:H1019,4,0)</f>
        <v>Moxico Leste</v>
      </c>
      <c r="K26" s="37" t="s">
        <v>113</v>
      </c>
      <c r="L26" s="37" t="s">
        <v>2649</v>
      </c>
      <c r="M26" s="53"/>
    </row>
    <row r="27" spans="1:13" ht="20.100000000000001" customHeight="1" x14ac:dyDescent="0.25">
      <c r="A27" s="49">
        <v>20</v>
      </c>
      <c r="B27" s="55">
        <v>45413</v>
      </c>
      <c r="C27" s="36" t="str">
        <f>UPPER(TEXT(Dados_Cursos[[#This Row],[Data]],"mmm"))</f>
        <v>MAI</v>
      </c>
      <c r="D27" s="52" t="s">
        <v>1185</v>
      </c>
      <c r="E27" s="49" t="str">
        <f>VLOOKUP(Dados_Cursos[[#This Row],[ID]],Apoio!A20:H1020,2,0)</f>
        <v>isabel.andrade20@gmail.com</v>
      </c>
      <c r="F27" s="36" t="s">
        <v>136</v>
      </c>
      <c r="G27" s="36" t="s">
        <v>2666</v>
      </c>
      <c r="H27" s="62">
        <v>800</v>
      </c>
      <c r="I27" s="49">
        <v>18</v>
      </c>
      <c r="J27" s="49" t="str">
        <f>VLOOKUP(Dados_Cursos[[#This Row],[ID]],Apoio!A20:H1020,4,0)</f>
        <v>Lunda Norte</v>
      </c>
      <c r="K27" s="37" t="s">
        <v>112</v>
      </c>
      <c r="L27" s="37" t="s">
        <v>109</v>
      </c>
      <c r="M27" s="53"/>
    </row>
    <row r="28" spans="1:13" ht="20.100000000000001" customHeight="1" x14ac:dyDescent="0.25">
      <c r="A28" s="49">
        <v>21</v>
      </c>
      <c r="B28" s="55">
        <v>45391</v>
      </c>
      <c r="C28" s="36" t="str">
        <f>UPPER(TEXT(Dados_Cursos[[#This Row],[Data]],"mmm"))</f>
        <v>ABR</v>
      </c>
      <c r="D28" s="52" t="s">
        <v>1188</v>
      </c>
      <c r="E28" s="49" t="str">
        <f>VLOOKUP(Dados_Cursos[[#This Row],[ID]],Apoio!A21:H1021,2,0)</f>
        <v>antónio.soares21@gmail.com</v>
      </c>
      <c r="F28" s="36" t="s">
        <v>137</v>
      </c>
      <c r="G28" s="36" t="s">
        <v>2667</v>
      </c>
      <c r="H28" s="62">
        <v>1200</v>
      </c>
      <c r="I28" s="49">
        <v>3</v>
      </c>
      <c r="J28" s="49" t="str">
        <f>VLOOKUP(Dados_Cursos[[#This Row],[ID]],Apoio!A21:H1021,4,0)</f>
        <v>Bié</v>
      </c>
      <c r="K28" s="37" t="s">
        <v>113</v>
      </c>
      <c r="L28" s="37" t="s">
        <v>2649</v>
      </c>
      <c r="M28" s="53"/>
    </row>
    <row r="29" spans="1:13" ht="20.100000000000001" customHeight="1" x14ac:dyDescent="0.25">
      <c r="A29" s="49">
        <v>22</v>
      </c>
      <c r="B29" s="55">
        <v>45636</v>
      </c>
      <c r="C29" s="36" t="str">
        <f>UPPER(TEXT(Dados_Cursos[[#This Row],[Data]],"mmm"))</f>
        <v>DEZ</v>
      </c>
      <c r="D29" s="52" t="s">
        <v>1190</v>
      </c>
      <c r="E29" s="49" t="str">
        <f>VLOOKUP(Dados_Cursos[[#This Row],[ID]],Apoio!A22:H1022,2,0)</f>
        <v>daniel.pinto22@gmail.com</v>
      </c>
      <c r="F29" s="36" t="s">
        <v>138</v>
      </c>
      <c r="G29" s="36" t="s">
        <v>2667</v>
      </c>
      <c r="H29" s="62">
        <v>1200</v>
      </c>
      <c r="I29" s="49">
        <v>6</v>
      </c>
      <c r="J29" s="49" t="str">
        <f>VLOOKUP(Dados_Cursos[[#This Row],[ID]],Apoio!A22:H1022,4,0)</f>
        <v>Luanda</v>
      </c>
      <c r="K29" s="37" t="s">
        <v>112</v>
      </c>
      <c r="L29" s="37" t="s">
        <v>109</v>
      </c>
      <c r="M29" s="53"/>
    </row>
    <row r="30" spans="1:13" ht="20.100000000000001" customHeight="1" x14ac:dyDescent="0.25">
      <c r="A30" s="49">
        <v>23</v>
      </c>
      <c r="B30" s="55">
        <v>45308</v>
      </c>
      <c r="C30" s="36" t="str">
        <f>UPPER(TEXT(Dados_Cursos[[#This Row],[Data]],"mmm"))</f>
        <v>JAN</v>
      </c>
      <c r="D30" s="52" t="s">
        <v>1193</v>
      </c>
      <c r="E30" s="49" t="str">
        <f>VLOOKUP(Dados_Cursos[[#This Row],[ID]],Apoio!A23:H1023,2,0)</f>
        <v>maria.fernandes23@gmail.com</v>
      </c>
      <c r="F30" s="36" t="s">
        <v>139</v>
      </c>
      <c r="G30" s="36" t="s">
        <v>2667</v>
      </c>
      <c r="H30" s="62">
        <v>1200</v>
      </c>
      <c r="I30" s="49">
        <v>6</v>
      </c>
      <c r="J30" s="49" t="str">
        <f>VLOOKUP(Dados_Cursos[[#This Row],[ID]],Apoio!A23:H1023,4,0)</f>
        <v>Icolo e Bengo</v>
      </c>
      <c r="K30" s="37" t="s">
        <v>112</v>
      </c>
      <c r="L30" s="37" t="s">
        <v>109</v>
      </c>
      <c r="M30" s="53"/>
    </row>
    <row r="31" spans="1:13" ht="20.100000000000001" customHeight="1" x14ac:dyDescent="0.25">
      <c r="A31" s="49">
        <v>24</v>
      </c>
      <c r="B31" s="55">
        <v>45633</v>
      </c>
      <c r="C31" s="36" t="str">
        <f>UPPER(TEXT(Dados_Cursos[[#This Row],[Data]],"mmm"))</f>
        <v>DEZ</v>
      </c>
      <c r="D31" s="52" t="s">
        <v>1153</v>
      </c>
      <c r="E31" s="49" t="str">
        <f>VLOOKUP(Dados_Cursos[[#This Row],[ID]],Apoio!A24:H1024,2,0)</f>
        <v>samuel.david24@gmail.com</v>
      </c>
      <c r="F31" s="36" t="s">
        <v>140</v>
      </c>
      <c r="G31" s="36" t="s">
        <v>2666</v>
      </c>
      <c r="H31" s="62">
        <v>800</v>
      </c>
      <c r="I31" s="49">
        <v>7</v>
      </c>
      <c r="J31" s="49" t="str">
        <f>VLOOKUP(Dados_Cursos[[#This Row],[ID]],Apoio!A24:H1024,4,0)</f>
        <v>Moxico</v>
      </c>
      <c r="K31" s="37" t="s">
        <v>113</v>
      </c>
      <c r="L31" s="37" t="s">
        <v>111</v>
      </c>
      <c r="M31" s="53"/>
    </row>
    <row r="32" spans="1:13" ht="20.100000000000001" customHeight="1" x14ac:dyDescent="0.25">
      <c r="A32" s="49">
        <v>25</v>
      </c>
      <c r="B32" s="55">
        <v>45564</v>
      </c>
      <c r="C32" s="36" t="str">
        <f>UPPER(TEXT(Dados_Cursos[[#This Row],[Data]],"mmm"))</f>
        <v>SET</v>
      </c>
      <c r="D32" s="52" t="s">
        <v>1196</v>
      </c>
      <c r="E32" s="49" t="str">
        <f>VLOOKUP(Dados_Cursos[[#This Row],[ID]],Apoio!A25:H1025,2,0)</f>
        <v>rui.tavares25@gmail.com</v>
      </c>
      <c r="F32" s="36" t="s">
        <v>141</v>
      </c>
      <c r="G32" s="36" t="s">
        <v>2667</v>
      </c>
      <c r="H32" s="62">
        <v>1200</v>
      </c>
      <c r="I32" s="49">
        <v>16</v>
      </c>
      <c r="J32" s="49" t="str">
        <f>VLOOKUP(Dados_Cursos[[#This Row],[ID]],Apoio!A25:H1025,4,0)</f>
        <v>Cabinda</v>
      </c>
      <c r="K32" s="37" t="s">
        <v>113</v>
      </c>
      <c r="L32" s="37" t="s">
        <v>111</v>
      </c>
      <c r="M32" s="53"/>
    </row>
    <row r="33" spans="1:13" ht="20.100000000000001" customHeight="1" x14ac:dyDescent="0.25">
      <c r="A33" s="49">
        <v>26</v>
      </c>
      <c r="B33" s="55">
        <v>45634</v>
      </c>
      <c r="C33" s="36" t="str">
        <f>UPPER(TEXT(Dados_Cursos[[#This Row],[Data]],"mmm"))</f>
        <v>DEZ</v>
      </c>
      <c r="D33" s="52" t="s">
        <v>1199</v>
      </c>
      <c r="E33" s="49" t="str">
        <f>VLOOKUP(Dados_Cursos[[#This Row],[ID]],Apoio!A26:H1026,2,0)</f>
        <v>rui.domingues26@gmail.com</v>
      </c>
      <c r="F33" s="36" t="s">
        <v>142</v>
      </c>
      <c r="G33" s="36" t="s">
        <v>2666</v>
      </c>
      <c r="H33" s="62">
        <v>800</v>
      </c>
      <c r="I33" s="49">
        <v>9</v>
      </c>
      <c r="J33" s="49" t="str">
        <f>VLOOKUP(Dados_Cursos[[#This Row],[ID]],Apoio!A26:H1026,4,0)</f>
        <v>Cubango</v>
      </c>
      <c r="K33" s="37" t="s">
        <v>113</v>
      </c>
      <c r="L33" s="37" t="s">
        <v>110</v>
      </c>
      <c r="M33" s="53"/>
    </row>
    <row r="34" spans="1:13" ht="20.100000000000001" customHeight="1" x14ac:dyDescent="0.25">
      <c r="A34" s="49">
        <v>27</v>
      </c>
      <c r="B34" s="55">
        <v>45431</v>
      </c>
      <c r="C34" s="36" t="str">
        <f>UPPER(TEXT(Dados_Cursos[[#This Row],[Data]],"mmm"))</f>
        <v>MAI</v>
      </c>
      <c r="D34" s="52" t="s">
        <v>1202</v>
      </c>
      <c r="E34" s="49" t="str">
        <f>VLOOKUP(Dados_Cursos[[#This Row],[ID]],Apoio!A27:H1027,2,0)</f>
        <v>isabel.pinto27@gmail.com</v>
      </c>
      <c r="F34" s="36" t="s">
        <v>143</v>
      </c>
      <c r="G34" s="36" t="s">
        <v>2666</v>
      </c>
      <c r="H34" s="62">
        <v>1500</v>
      </c>
      <c r="I34" s="49">
        <v>20</v>
      </c>
      <c r="J34" s="49" t="str">
        <f>VLOOKUP(Dados_Cursos[[#This Row],[ID]],Apoio!A27:H1027,4,0)</f>
        <v>Huíla</v>
      </c>
      <c r="K34" s="37" t="s">
        <v>113</v>
      </c>
      <c r="L34" s="37" t="s">
        <v>2649</v>
      </c>
      <c r="M34" s="53"/>
    </row>
    <row r="35" spans="1:13" ht="20.100000000000001" customHeight="1" x14ac:dyDescent="0.25">
      <c r="A35" s="49">
        <v>28</v>
      </c>
      <c r="B35" s="55">
        <v>45509</v>
      </c>
      <c r="C35" s="36" t="str">
        <f>UPPER(TEXT(Dados_Cursos[[#This Row],[Data]],"mmm"))</f>
        <v>AGO</v>
      </c>
      <c r="D35" s="52" t="s">
        <v>1204</v>
      </c>
      <c r="E35" s="49" t="str">
        <f>VLOOKUP(Dados_Cursos[[#This Row],[ID]],Apoio!A28:H1028,2,0)</f>
        <v>fátima.rodrigues28@gmail.com</v>
      </c>
      <c r="F35" s="36" t="s">
        <v>144</v>
      </c>
      <c r="G35" s="36" t="s">
        <v>2666</v>
      </c>
      <c r="H35" s="62">
        <v>1500</v>
      </c>
      <c r="I35" s="49">
        <v>12</v>
      </c>
      <c r="J35" s="49" t="str">
        <f>VLOOKUP(Dados_Cursos[[#This Row],[ID]],Apoio!A28:H1028,4,0)</f>
        <v>Uíge</v>
      </c>
      <c r="K35" s="37" t="s">
        <v>113</v>
      </c>
      <c r="L35" s="37" t="s">
        <v>110</v>
      </c>
      <c r="M35" s="53"/>
    </row>
    <row r="36" spans="1:13" ht="20.100000000000001" customHeight="1" x14ac:dyDescent="0.25">
      <c r="A36" s="49">
        <v>29</v>
      </c>
      <c r="B36" s="55">
        <v>45349</v>
      </c>
      <c r="C36" s="36" t="str">
        <f>UPPER(TEXT(Dados_Cursos[[#This Row],[Data]],"mmm"))</f>
        <v>FEV</v>
      </c>
      <c r="D36" s="52" t="s">
        <v>1206</v>
      </c>
      <c r="E36" s="49" t="str">
        <f>VLOOKUP(Dados_Cursos[[#This Row],[ID]],Apoio!A29:H1029,2,0)</f>
        <v>antónio.david29@gmail.com</v>
      </c>
      <c r="F36" s="36" t="s">
        <v>145</v>
      </c>
      <c r="G36" s="36" t="s">
        <v>2666</v>
      </c>
      <c r="H36" s="62">
        <v>800</v>
      </c>
      <c r="I36" s="49">
        <v>9</v>
      </c>
      <c r="J36" s="49" t="str">
        <f>VLOOKUP(Dados_Cursos[[#This Row],[ID]],Apoio!A29:H1029,4,0)</f>
        <v>Namibe</v>
      </c>
      <c r="K36" s="37" t="s">
        <v>113</v>
      </c>
      <c r="L36" s="37" t="s">
        <v>111</v>
      </c>
      <c r="M36" s="53"/>
    </row>
    <row r="37" spans="1:13" ht="20.100000000000001" customHeight="1" x14ac:dyDescent="0.25">
      <c r="A37" s="49">
        <v>30</v>
      </c>
      <c r="B37" s="55">
        <v>45599</v>
      </c>
      <c r="C37" s="36" t="str">
        <f>UPPER(TEXT(Dados_Cursos[[#This Row],[Data]],"mmm"))</f>
        <v>NOV</v>
      </c>
      <c r="D37" s="52" t="s">
        <v>1208</v>
      </c>
      <c r="E37" s="49" t="str">
        <f>VLOOKUP(Dados_Cursos[[#This Row],[ID]],Apoio!A30:H1030,2,0)</f>
        <v>pedro.lukeba30@gmail.com</v>
      </c>
      <c r="F37" s="36" t="s">
        <v>146</v>
      </c>
      <c r="G37" s="36" t="s">
        <v>2667</v>
      </c>
      <c r="H37" s="62">
        <v>1200</v>
      </c>
      <c r="I37" s="49">
        <v>11</v>
      </c>
      <c r="J37" s="49" t="str">
        <f>VLOOKUP(Dados_Cursos[[#This Row],[ID]],Apoio!A30:H1030,4,0)</f>
        <v>Malanje</v>
      </c>
      <c r="K37" s="37" t="s">
        <v>112</v>
      </c>
      <c r="L37" s="37" t="s">
        <v>109</v>
      </c>
      <c r="M37" s="53"/>
    </row>
    <row r="38" spans="1:13" ht="20.100000000000001" customHeight="1" x14ac:dyDescent="0.25">
      <c r="A38" s="49">
        <v>31</v>
      </c>
      <c r="B38" s="55">
        <v>45435</v>
      </c>
      <c r="C38" s="36" t="str">
        <f>UPPER(TEXT(Dados_Cursos[[#This Row],[Data]],"mmm"))</f>
        <v>MAI</v>
      </c>
      <c r="D38" s="52" t="s">
        <v>1210</v>
      </c>
      <c r="E38" s="49" t="str">
        <f>VLOOKUP(Dados_Cursos[[#This Row],[ID]],Apoio!A31:H1031,2,0)</f>
        <v>maria.monteiro31@gmail.com</v>
      </c>
      <c r="F38" s="36" t="s">
        <v>147</v>
      </c>
      <c r="G38" s="36" t="s">
        <v>2666</v>
      </c>
      <c r="H38" s="62">
        <v>800</v>
      </c>
      <c r="I38" s="49">
        <v>18</v>
      </c>
      <c r="J38" s="49" t="str">
        <f>VLOOKUP(Dados_Cursos[[#This Row],[ID]],Apoio!A31:H1031,4,0)</f>
        <v>Bié</v>
      </c>
      <c r="K38" s="37" t="s">
        <v>112</v>
      </c>
      <c r="L38" s="37" t="s">
        <v>109</v>
      </c>
      <c r="M38" s="53"/>
    </row>
    <row r="39" spans="1:13" ht="20.100000000000001" customHeight="1" x14ac:dyDescent="0.25">
      <c r="A39" s="49">
        <v>32</v>
      </c>
      <c r="B39" s="55">
        <v>45295</v>
      </c>
      <c r="C39" s="36" t="str">
        <f>UPPER(TEXT(Dados_Cursos[[#This Row],[Data]],"mmm"))</f>
        <v>JAN</v>
      </c>
      <c r="D39" s="52" t="s">
        <v>1212</v>
      </c>
      <c r="E39" s="49" t="str">
        <f>VLOOKUP(Dados_Cursos[[#This Row],[ID]],Apoio!A32:H1032,2,0)</f>
        <v>ana.gomes32@gmail.com</v>
      </c>
      <c r="F39" s="36" t="s">
        <v>148</v>
      </c>
      <c r="G39" s="36" t="s">
        <v>2666</v>
      </c>
      <c r="H39" s="38">
        <v>1500</v>
      </c>
      <c r="I39" s="49">
        <v>18</v>
      </c>
      <c r="J39" s="49" t="str">
        <f>VLOOKUP(Dados_Cursos[[#This Row],[ID]],Apoio!A32:H1032,4,0)</f>
        <v>Lunda Norte</v>
      </c>
      <c r="K39" s="37" t="s">
        <v>113</v>
      </c>
      <c r="L39" s="37" t="s">
        <v>110</v>
      </c>
      <c r="M39" s="53"/>
    </row>
    <row r="40" spans="1:13" ht="20.100000000000001" customHeight="1" x14ac:dyDescent="0.25">
      <c r="A40" s="49">
        <v>33</v>
      </c>
      <c r="B40" s="55">
        <v>45625</v>
      </c>
      <c r="C40" s="36" t="str">
        <f>UPPER(TEXT(Dados_Cursos[[#This Row],[Data]],"mmm"))</f>
        <v>NOV</v>
      </c>
      <c r="D40" s="52" t="s">
        <v>1214</v>
      </c>
      <c r="E40" s="49" t="str">
        <f>VLOOKUP(Dados_Cursos[[#This Row],[ID]],Apoio!A33:H1033,2,0)</f>
        <v>samuel.martins33@gmail.com</v>
      </c>
      <c r="F40" s="36" t="s">
        <v>149</v>
      </c>
      <c r="G40" s="36" t="s">
        <v>2666</v>
      </c>
      <c r="H40" s="38">
        <v>800</v>
      </c>
      <c r="I40" s="49">
        <v>10</v>
      </c>
      <c r="J40" s="49" t="str">
        <f>VLOOKUP(Dados_Cursos[[#This Row],[ID]],Apoio!A33:H1033,4,0)</f>
        <v>Huíla</v>
      </c>
      <c r="K40" s="37" t="s">
        <v>113</v>
      </c>
      <c r="L40" s="37" t="s">
        <v>2649</v>
      </c>
      <c r="M40" s="53"/>
    </row>
    <row r="41" spans="1:13" ht="20.100000000000001" customHeight="1" x14ac:dyDescent="0.25">
      <c r="A41" s="49">
        <v>34</v>
      </c>
      <c r="B41" s="55">
        <v>45634</v>
      </c>
      <c r="C41" s="36" t="str">
        <f>UPPER(TEXT(Dados_Cursos[[#This Row],[Data]],"mmm"))</f>
        <v>DEZ</v>
      </c>
      <c r="D41" s="52" t="s">
        <v>1216</v>
      </c>
      <c r="E41" s="49" t="str">
        <f>VLOOKUP(Dados_Cursos[[#This Row],[ID]],Apoio!A34:H1034,2,0)</f>
        <v>josé.david34@gmail.com</v>
      </c>
      <c r="F41" s="36" t="s">
        <v>150</v>
      </c>
      <c r="G41" s="36" t="s">
        <v>2666</v>
      </c>
      <c r="H41" s="38">
        <v>800</v>
      </c>
      <c r="I41" s="49">
        <v>5</v>
      </c>
      <c r="J41" s="49" t="str">
        <f>VLOOKUP(Dados_Cursos[[#This Row],[ID]],Apoio!A34:H1034,4,0)</f>
        <v>Cuanza Norte</v>
      </c>
      <c r="K41" s="37" t="s">
        <v>113</v>
      </c>
      <c r="L41" s="37" t="s">
        <v>111</v>
      </c>
      <c r="M41" s="53"/>
    </row>
    <row r="42" spans="1:13" ht="20.100000000000001" customHeight="1" x14ac:dyDescent="0.25">
      <c r="A42" s="49">
        <v>35</v>
      </c>
      <c r="B42" s="55">
        <v>45654</v>
      </c>
      <c r="C42" s="36" t="str">
        <f>UPPER(TEXT(Dados_Cursos[[#This Row],[Data]],"mmm"))</f>
        <v>DEZ</v>
      </c>
      <c r="D42" s="52" t="s">
        <v>1219</v>
      </c>
      <c r="E42" s="49" t="str">
        <f>VLOOKUP(Dados_Cursos[[#This Row],[ID]],Apoio!A35:H1035,2,0)</f>
        <v>paulo.martins35@gmail.com</v>
      </c>
      <c r="F42" s="36" t="s">
        <v>151</v>
      </c>
      <c r="G42" s="36" t="s">
        <v>2666</v>
      </c>
      <c r="H42" s="38">
        <v>1500</v>
      </c>
      <c r="I42" s="49">
        <v>4</v>
      </c>
      <c r="J42" s="49" t="str">
        <f>VLOOKUP(Dados_Cursos[[#This Row],[ID]],Apoio!A35:H1035,4,0)</f>
        <v>Malanje</v>
      </c>
      <c r="K42" s="37" t="s">
        <v>113</v>
      </c>
      <c r="L42" s="37" t="s">
        <v>110</v>
      </c>
      <c r="M42" s="53"/>
    </row>
    <row r="43" spans="1:13" ht="20.100000000000001" customHeight="1" x14ac:dyDescent="0.25">
      <c r="A43" s="49">
        <v>36</v>
      </c>
      <c r="B43" s="55">
        <v>45429</v>
      </c>
      <c r="C43" s="36" t="str">
        <f>UPPER(TEXT(Dados_Cursos[[#This Row],[Data]],"mmm"))</f>
        <v>MAI</v>
      </c>
      <c r="D43" s="52" t="s">
        <v>1221</v>
      </c>
      <c r="E43" s="49" t="str">
        <f>VLOOKUP(Dados_Cursos[[#This Row],[ID]],Apoio!A36:H1036,2,0)</f>
        <v>fátima.pinto36@gmail.com</v>
      </c>
      <c r="F43" s="36" t="s">
        <v>152</v>
      </c>
      <c r="G43" s="36" t="s">
        <v>2666</v>
      </c>
      <c r="H43" s="38">
        <v>1500</v>
      </c>
      <c r="I43" s="49">
        <v>4</v>
      </c>
      <c r="J43" s="49" t="str">
        <f>VLOOKUP(Dados_Cursos[[#This Row],[ID]],Apoio!A36:H1036,4,0)</f>
        <v>Icolo e Bengo</v>
      </c>
      <c r="K43" s="37" t="s">
        <v>113</v>
      </c>
      <c r="L43" s="37" t="s">
        <v>110</v>
      </c>
      <c r="M43" s="53"/>
    </row>
    <row r="44" spans="1:13" ht="20.100000000000001" customHeight="1" x14ac:dyDescent="0.25">
      <c r="A44" s="49">
        <v>37</v>
      </c>
      <c r="B44" s="55">
        <v>45376</v>
      </c>
      <c r="C44" s="36" t="str">
        <f>UPPER(TEXT(Dados_Cursos[[#This Row],[Data]],"mmm"))</f>
        <v>MAR</v>
      </c>
      <c r="D44" s="52" t="s">
        <v>1223</v>
      </c>
      <c r="E44" s="49" t="str">
        <f>VLOOKUP(Dados_Cursos[[#This Row],[ID]],Apoio!A37:H1037,2,0)</f>
        <v>francisco.soares37@gmail.com</v>
      </c>
      <c r="F44" s="36" t="s">
        <v>153</v>
      </c>
      <c r="G44" s="36" t="s">
        <v>2666</v>
      </c>
      <c r="H44" s="38">
        <v>1500</v>
      </c>
      <c r="I44" s="49">
        <v>7</v>
      </c>
      <c r="J44" s="49" t="str">
        <f>VLOOKUP(Dados_Cursos[[#This Row],[ID]],Apoio!A37:H1037,4,0)</f>
        <v>Zaire</v>
      </c>
      <c r="K44" s="37" t="s">
        <v>113</v>
      </c>
      <c r="L44" s="37" t="s">
        <v>110</v>
      </c>
      <c r="M44" s="53"/>
    </row>
    <row r="45" spans="1:13" ht="20.100000000000001" customHeight="1" x14ac:dyDescent="0.25">
      <c r="A45" s="49">
        <v>38</v>
      </c>
      <c r="B45" s="55">
        <v>45472</v>
      </c>
      <c r="C45" s="36" t="str">
        <f>UPPER(TEXT(Dados_Cursos[[#This Row],[Data]],"mmm"))</f>
        <v>JUN</v>
      </c>
      <c r="D45" s="52" t="s">
        <v>1225</v>
      </c>
      <c r="E45" s="49" t="str">
        <f>VLOOKUP(Dados_Cursos[[#This Row],[ID]],Apoio!A38:H1038,2,0)</f>
        <v>adriano.rodrigues38@gmail.com</v>
      </c>
      <c r="F45" s="36" t="s">
        <v>154</v>
      </c>
      <c r="G45" s="36" t="s">
        <v>2667</v>
      </c>
      <c r="H45" s="38">
        <v>1200</v>
      </c>
      <c r="I45" s="49">
        <v>2</v>
      </c>
      <c r="J45" s="49" t="str">
        <f>VLOOKUP(Dados_Cursos[[#This Row],[ID]],Apoio!A38:H1038,4,0)</f>
        <v>Cubango</v>
      </c>
      <c r="K45" s="37" t="s">
        <v>113</v>
      </c>
      <c r="L45" s="37" t="s">
        <v>111</v>
      </c>
      <c r="M45" s="53"/>
    </row>
    <row r="46" spans="1:13" ht="20.100000000000001" customHeight="1" x14ac:dyDescent="0.25">
      <c r="A46" s="49">
        <v>39</v>
      </c>
      <c r="B46" s="55">
        <v>45395</v>
      </c>
      <c r="C46" s="36" t="str">
        <f>UPPER(TEXT(Dados_Cursos[[#This Row],[Data]],"mmm"))</f>
        <v>ABR</v>
      </c>
      <c r="D46" s="52" t="s">
        <v>1227</v>
      </c>
      <c r="E46" s="49" t="str">
        <f>VLOOKUP(Dados_Cursos[[#This Row],[ID]],Apoio!A39:H1039,2,0)</f>
        <v>manuel.andrade39@gmail.com</v>
      </c>
      <c r="F46" s="36" t="s">
        <v>155</v>
      </c>
      <c r="G46" s="36" t="s">
        <v>2666</v>
      </c>
      <c r="H46" s="38">
        <v>800</v>
      </c>
      <c r="I46" s="49">
        <v>12</v>
      </c>
      <c r="J46" s="49" t="str">
        <f>VLOOKUP(Dados_Cursos[[#This Row],[ID]],Apoio!A39:H1039,4,0)</f>
        <v>Bengo</v>
      </c>
      <c r="K46" s="37" t="s">
        <v>113</v>
      </c>
      <c r="L46" s="37" t="s">
        <v>110</v>
      </c>
      <c r="M46" s="53"/>
    </row>
    <row r="47" spans="1:13" ht="20.100000000000001" customHeight="1" x14ac:dyDescent="0.25">
      <c r="A47" s="49">
        <v>40</v>
      </c>
      <c r="B47" s="55">
        <v>45412</v>
      </c>
      <c r="C47" s="36" t="str">
        <f>UPPER(TEXT(Dados_Cursos[[#This Row],[Data]],"mmm"))</f>
        <v>ABR</v>
      </c>
      <c r="D47" s="52" t="s">
        <v>1230</v>
      </c>
      <c r="E47" s="49" t="str">
        <f>VLOOKUP(Dados_Cursos[[#This Row],[ID]],Apoio!A40:H1040,2,0)</f>
        <v>sofia.pereira40@gmail.com</v>
      </c>
      <c r="F47" s="36" t="s">
        <v>156</v>
      </c>
      <c r="G47" s="36" t="s">
        <v>2666</v>
      </c>
      <c r="H47" s="38">
        <v>1500</v>
      </c>
      <c r="I47" s="49">
        <v>6</v>
      </c>
      <c r="J47" s="49" t="str">
        <f>VLOOKUP(Dados_Cursos[[#This Row],[ID]],Apoio!A40:H1040,4,0)</f>
        <v>Bié</v>
      </c>
      <c r="K47" s="37" t="s">
        <v>113</v>
      </c>
      <c r="L47" s="37" t="s">
        <v>2649</v>
      </c>
      <c r="M47" s="53"/>
    </row>
    <row r="48" spans="1:13" ht="20.100000000000001" customHeight="1" x14ac:dyDescent="0.25">
      <c r="A48" s="49">
        <v>41</v>
      </c>
      <c r="B48" s="55">
        <v>45544</v>
      </c>
      <c r="C48" s="36" t="str">
        <f>UPPER(TEXT(Dados_Cursos[[#This Row],[Data]],"mmm"))</f>
        <v>SET</v>
      </c>
      <c r="D48" s="52" t="s">
        <v>1232</v>
      </c>
      <c r="E48" s="49" t="str">
        <f>VLOOKUP(Dados_Cursos[[#This Row],[ID]],Apoio!A41:H1041,2,0)</f>
        <v>antónio.santos41@gmail.com</v>
      </c>
      <c r="F48" s="36" t="s">
        <v>157</v>
      </c>
      <c r="G48" s="36" t="s">
        <v>2666</v>
      </c>
      <c r="H48" s="38">
        <v>800</v>
      </c>
      <c r="I48" s="49">
        <v>4</v>
      </c>
      <c r="J48" s="49" t="str">
        <f>VLOOKUP(Dados_Cursos[[#This Row],[ID]],Apoio!A41:H1041,4,0)</f>
        <v>Lunda Norte</v>
      </c>
      <c r="K48" s="37" t="s">
        <v>113</v>
      </c>
      <c r="L48" s="37" t="s">
        <v>2649</v>
      </c>
      <c r="M48" s="53"/>
    </row>
    <row r="49" spans="1:13" ht="20.100000000000001" customHeight="1" x14ac:dyDescent="0.25">
      <c r="A49" s="49">
        <v>42</v>
      </c>
      <c r="B49" s="55">
        <v>45516</v>
      </c>
      <c r="C49" s="36" t="str">
        <f>UPPER(TEXT(Dados_Cursos[[#This Row],[Data]],"mmm"))</f>
        <v>AGO</v>
      </c>
      <c r="D49" s="52" t="s">
        <v>1234</v>
      </c>
      <c r="E49" s="49" t="str">
        <f>VLOOKUP(Dados_Cursos[[#This Row],[ID]],Apoio!A42:H1042,2,0)</f>
        <v>mateus.pereira42@gmail.com</v>
      </c>
      <c r="F49" s="36" t="s">
        <v>158</v>
      </c>
      <c r="G49" s="36" t="s">
        <v>2667</v>
      </c>
      <c r="H49" s="38">
        <v>1200</v>
      </c>
      <c r="I49" s="49">
        <v>8</v>
      </c>
      <c r="J49" s="49" t="str">
        <f>VLOOKUP(Dados_Cursos[[#This Row],[ID]],Apoio!A42:H1042,4,0)</f>
        <v>Moxico</v>
      </c>
      <c r="K49" s="37" t="s">
        <v>113</v>
      </c>
      <c r="L49" s="37" t="s">
        <v>111</v>
      </c>
      <c r="M49" s="53"/>
    </row>
    <row r="50" spans="1:13" ht="20.100000000000001" customHeight="1" x14ac:dyDescent="0.25">
      <c r="A50" s="49">
        <v>43</v>
      </c>
      <c r="B50" s="55">
        <v>45376</v>
      </c>
      <c r="C50" s="36" t="str">
        <f>UPPER(TEXT(Dados_Cursos[[#This Row],[Data]],"mmm"))</f>
        <v>MAR</v>
      </c>
      <c r="D50" s="52" t="s">
        <v>1236</v>
      </c>
      <c r="E50" s="49" t="str">
        <f>VLOOKUP(Dados_Cursos[[#This Row],[ID]],Apoio!A43:H1043,2,0)</f>
        <v>ana.tavares43@gmail.com</v>
      </c>
      <c r="F50" s="36" t="s">
        <v>159</v>
      </c>
      <c r="G50" s="36" t="s">
        <v>2666</v>
      </c>
      <c r="H50" s="38">
        <v>1500</v>
      </c>
      <c r="I50" s="49">
        <v>4</v>
      </c>
      <c r="J50" s="49" t="str">
        <f>VLOOKUP(Dados_Cursos[[#This Row],[ID]],Apoio!A43:H1043,4,0)</f>
        <v>Malanje</v>
      </c>
      <c r="K50" s="37" t="s">
        <v>113</v>
      </c>
      <c r="L50" s="37" t="s">
        <v>2649</v>
      </c>
      <c r="M50" s="53"/>
    </row>
    <row r="51" spans="1:13" ht="20.100000000000001" customHeight="1" x14ac:dyDescent="0.25">
      <c r="A51" s="49">
        <v>44</v>
      </c>
      <c r="B51" s="55">
        <v>45400</v>
      </c>
      <c r="C51" s="36" t="str">
        <f>UPPER(TEXT(Dados_Cursos[[#This Row],[Data]],"mmm"))</f>
        <v>ABR</v>
      </c>
      <c r="D51" s="52" t="s">
        <v>1238</v>
      </c>
      <c r="E51" s="49" t="str">
        <f>VLOOKUP(Dados_Cursos[[#This Row],[ID]],Apoio!A44:H1044,2,0)</f>
        <v>benedito.santos44@gmail.com</v>
      </c>
      <c r="F51" s="36" t="s">
        <v>160</v>
      </c>
      <c r="G51" s="36" t="s">
        <v>2666</v>
      </c>
      <c r="H51" s="38">
        <v>800</v>
      </c>
      <c r="I51" s="49">
        <v>2</v>
      </c>
      <c r="J51" s="49" t="str">
        <f>VLOOKUP(Dados_Cursos[[#This Row],[ID]],Apoio!A44:H1044,4,0)</f>
        <v>Cuanza Sul</v>
      </c>
      <c r="K51" s="37" t="s">
        <v>112</v>
      </c>
      <c r="L51" s="37" t="s">
        <v>109</v>
      </c>
      <c r="M51" s="53"/>
    </row>
    <row r="52" spans="1:13" ht="20.100000000000001" customHeight="1" x14ac:dyDescent="0.25">
      <c r="A52" s="49">
        <v>45</v>
      </c>
      <c r="B52" s="55">
        <v>45656</v>
      </c>
      <c r="C52" s="36" t="str">
        <f>UPPER(TEXT(Dados_Cursos[[#This Row],[Data]],"mmm"))</f>
        <v>DEZ</v>
      </c>
      <c r="D52" s="52" t="s">
        <v>1241</v>
      </c>
      <c r="E52" s="49" t="str">
        <f>VLOOKUP(Dados_Cursos[[#This Row],[ID]],Apoio!A45:H1045,2,0)</f>
        <v>cláudia.fernandes45@gmail.com</v>
      </c>
      <c r="F52" s="36" t="s">
        <v>161</v>
      </c>
      <c r="G52" s="36" t="s">
        <v>2667</v>
      </c>
      <c r="H52" s="38">
        <v>1200</v>
      </c>
      <c r="I52" s="49">
        <v>3</v>
      </c>
      <c r="J52" s="49" t="str">
        <f>VLOOKUP(Dados_Cursos[[#This Row],[ID]],Apoio!A45:H1045,4,0)</f>
        <v>Uíge</v>
      </c>
      <c r="K52" s="37" t="s">
        <v>113</v>
      </c>
      <c r="L52" s="37" t="s">
        <v>111</v>
      </c>
      <c r="M52" s="53"/>
    </row>
    <row r="53" spans="1:13" ht="20.100000000000001" customHeight="1" x14ac:dyDescent="0.25">
      <c r="A53" s="49">
        <v>46</v>
      </c>
      <c r="B53" s="55">
        <v>45657</v>
      </c>
      <c r="C53" s="36" t="str">
        <f>UPPER(TEXT(Dados_Cursos[[#This Row],[Data]],"mmm"))</f>
        <v>DEZ</v>
      </c>
      <c r="D53" s="52" t="s">
        <v>1243</v>
      </c>
      <c r="E53" s="49" t="str">
        <f>VLOOKUP(Dados_Cursos[[#This Row],[ID]],Apoio!A46:H1046,2,0)</f>
        <v>paulo.pereira46@gmail.com</v>
      </c>
      <c r="F53" s="36" t="s">
        <v>162</v>
      </c>
      <c r="G53" s="36" t="s">
        <v>2666</v>
      </c>
      <c r="H53" s="38">
        <v>1500</v>
      </c>
      <c r="I53" s="49">
        <v>15</v>
      </c>
      <c r="J53" s="49" t="str">
        <f>VLOOKUP(Dados_Cursos[[#This Row],[ID]],Apoio!A46:H1046,4,0)</f>
        <v>Bengo</v>
      </c>
      <c r="K53" s="37" t="s">
        <v>113</v>
      </c>
      <c r="L53" s="37" t="s">
        <v>110</v>
      </c>
      <c r="M53" s="53"/>
    </row>
    <row r="54" spans="1:13" ht="20.100000000000001" customHeight="1" x14ac:dyDescent="0.25">
      <c r="A54" s="49">
        <v>47</v>
      </c>
      <c r="B54" s="55">
        <v>45493</v>
      </c>
      <c r="C54" s="36" t="str">
        <f>UPPER(TEXT(Dados_Cursos[[#This Row],[Data]],"mmm"))</f>
        <v>JUL</v>
      </c>
      <c r="D54" s="52" t="s">
        <v>1245</v>
      </c>
      <c r="E54" s="49" t="str">
        <f>VLOOKUP(Dados_Cursos[[#This Row],[ID]],Apoio!A47:H1047,2,0)</f>
        <v>josé.lopes47@gmail.com</v>
      </c>
      <c r="F54" s="36" t="s">
        <v>163</v>
      </c>
      <c r="G54" s="36" t="s">
        <v>2666</v>
      </c>
      <c r="H54" s="38">
        <v>1500</v>
      </c>
      <c r="I54" s="49">
        <v>15</v>
      </c>
      <c r="J54" s="49" t="str">
        <f>VLOOKUP(Dados_Cursos[[#This Row],[ID]],Apoio!A47:H1047,4,0)</f>
        <v>Lunda Sul</v>
      </c>
      <c r="K54" s="37" t="s">
        <v>112</v>
      </c>
      <c r="L54" s="37" t="s">
        <v>109</v>
      </c>
      <c r="M54" s="53"/>
    </row>
    <row r="55" spans="1:13" ht="20.100000000000001" customHeight="1" x14ac:dyDescent="0.25">
      <c r="A55" s="49">
        <v>48</v>
      </c>
      <c r="B55" s="55">
        <v>45309</v>
      </c>
      <c r="C55" s="36" t="str">
        <f>UPPER(TEXT(Dados_Cursos[[#This Row],[Data]],"mmm"))</f>
        <v>JAN</v>
      </c>
      <c r="D55" s="52" t="s">
        <v>1247</v>
      </c>
      <c r="E55" s="49" t="str">
        <f>VLOOKUP(Dados_Cursos[[#This Row],[ID]],Apoio!A48:H1048,2,0)</f>
        <v>joaquim.tavares48@gmail.com</v>
      </c>
      <c r="F55" s="36" t="s">
        <v>164</v>
      </c>
      <c r="G55" s="36" t="s">
        <v>2666</v>
      </c>
      <c r="H55" s="38">
        <v>800</v>
      </c>
      <c r="I55" s="49">
        <v>17</v>
      </c>
      <c r="J55" s="49" t="str">
        <f>VLOOKUP(Dados_Cursos[[#This Row],[ID]],Apoio!A48:H1048,4,0)</f>
        <v>Zaire</v>
      </c>
      <c r="K55" s="37" t="s">
        <v>113</v>
      </c>
      <c r="L55" s="37" t="s">
        <v>2649</v>
      </c>
      <c r="M55" s="53"/>
    </row>
    <row r="56" spans="1:13" ht="20.100000000000001" customHeight="1" x14ac:dyDescent="0.25">
      <c r="A56" s="49">
        <v>49</v>
      </c>
      <c r="B56" s="55">
        <v>45310</v>
      </c>
      <c r="C56" s="36" t="str">
        <f>UPPER(TEXT(Dados_Cursos[[#This Row],[Data]],"mmm"))</f>
        <v>JAN</v>
      </c>
      <c r="D56" s="52" t="s">
        <v>1249</v>
      </c>
      <c r="E56" s="49" t="str">
        <f>VLOOKUP(Dados_Cursos[[#This Row],[ID]],Apoio!A49:H1049,2,0)</f>
        <v>benedito.lukeba49@gmail.com</v>
      </c>
      <c r="F56" s="36" t="s">
        <v>165</v>
      </c>
      <c r="G56" s="36" t="s">
        <v>2667</v>
      </c>
      <c r="H56" s="38">
        <v>1200</v>
      </c>
      <c r="I56" s="49">
        <v>3</v>
      </c>
      <c r="J56" s="49" t="str">
        <f>VLOOKUP(Dados_Cursos[[#This Row],[ID]],Apoio!A49:H1049,4,0)</f>
        <v>Icolo e Bengo</v>
      </c>
      <c r="K56" s="37" t="s">
        <v>112</v>
      </c>
      <c r="L56" s="37" t="s">
        <v>109</v>
      </c>
      <c r="M56" s="53"/>
    </row>
    <row r="57" spans="1:13" ht="20.100000000000001" customHeight="1" x14ac:dyDescent="0.25">
      <c r="A57" s="49">
        <v>50</v>
      </c>
      <c r="B57" s="55">
        <v>45454</v>
      </c>
      <c r="C57" s="36" t="str">
        <f>UPPER(TEXT(Dados_Cursos[[#This Row],[Data]],"mmm"))</f>
        <v>JUN</v>
      </c>
      <c r="D57" s="52" t="s">
        <v>1251</v>
      </c>
      <c r="E57" s="49" t="str">
        <f>VLOOKUP(Dados_Cursos[[#This Row],[ID]],Apoio!A50:H1050,2,0)</f>
        <v>teresa.soares50@gmail.com</v>
      </c>
      <c r="F57" s="36" t="s">
        <v>166</v>
      </c>
      <c r="G57" s="36" t="s">
        <v>2666</v>
      </c>
      <c r="H57" s="38">
        <v>1500</v>
      </c>
      <c r="I57" s="49">
        <v>10</v>
      </c>
      <c r="J57" s="49" t="str">
        <f>VLOOKUP(Dados_Cursos[[#This Row],[ID]],Apoio!A50:H1050,4,0)</f>
        <v>Cabinda</v>
      </c>
      <c r="K57" s="37" t="s">
        <v>113</v>
      </c>
      <c r="L57" s="37" t="s">
        <v>111</v>
      </c>
      <c r="M57" s="53"/>
    </row>
    <row r="58" spans="1:13" ht="20.100000000000001" customHeight="1" x14ac:dyDescent="0.25">
      <c r="A58" s="49">
        <v>51</v>
      </c>
      <c r="B58" s="55">
        <v>45384</v>
      </c>
      <c r="C58" s="36" t="str">
        <f>UPPER(TEXT(Dados_Cursos[[#This Row],[Data]],"mmm"))</f>
        <v>ABR</v>
      </c>
      <c r="D58" s="52" t="s">
        <v>1253</v>
      </c>
      <c r="E58" s="49" t="str">
        <f>VLOOKUP(Dados_Cursos[[#This Row],[ID]],Apoio!A51:H1051,2,0)</f>
        <v>carlos.martins51@gmail.com</v>
      </c>
      <c r="F58" s="36" t="s">
        <v>167</v>
      </c>
      <c r="G58" s="36" t="s">
        <v>2666</v>
      </c>
      <c r="H58" s="38">
        <v>1500</v>
      </c>
      <c r="I58" s="49">
        <v>6</v>
      </c>
      <c r="J58" s="49" t="str">
        <f>VLOOKUP(Dados_Cursos[[#This Row],[ID]],Apoio!A51:H1051,4,0)</f>
        <v>Cubango</v>
      </c>
      <c r="K58" s="37" t="s">
        <v>112</v>
      </c>
      <c r="L58" s="37" t="s">
        <v>109</v>
      </c>
      <c r="M58" s="53"/>
    </row>
    <row r="59" spans="1:13" ht="20.100000000000001" customHeight="1" x14ac:dyDescent="0.25">
      <c r="A59" s="49">
        <v>52</v>
      </c>
      <c r="B59" s="55">
        <v>45438</v>
      </c>
      <c r="C59" s="36" t="str">
        <f>UPPER(TEXT(Dados_Cursos[[#This Row],[Data]],"mmm"))</f>
        <v>MAI</v>
      </c>
      <c r="D59" s="52" t="s">
        <v>1255</v>
      </c>
      <c r="E59" s="49" t="str">
        <f>VLOOKUP(Dados_Cursos[[#This Row],[ID]],Apoio!A52:H1052,2,0)</f>
        <v>maria.martins52@gmail.com</v>
      </c>
      <c r="F59" s="36" t="s">
        <v>168</v>
      </c>
      <c r="G59" s="36" t="s">
        <v>2667</v>
      </c>
      <c r="H59" s="38">
        <v>1200</v>
      </c>
      <c r="I59" s="49">
        <v>15</v>
      </c>
      <c r="J59" s="49" t="str">
        <f>VLOOKUP(Dados_Cursos[[#This Row],[ID]],Apoio!A52:H1052,4,0)</f>
        <v>Namibe</v>
      </c>
      <c r="K59" s="37" t="s">
        <v>113</v>
      </c>
      <c r="L59" s="37" t="s">
        <v>2649</v>
      </c>
      <c r="M59" s="53"/>
    </row>
    <row r="60" spans="1:13" ht="20.100000000000001" customHeight="1" x14ac:dyDescent="0.25">
      <c r="A60" s="49">
        <v>53</v>
      </c>
      <c r="B60" s="55">
        <v>45568</v>
      </c>
      <c r="C60" s="36" t="str">
        <f>UPPER(TEXT(Dados_Cursos[[#This Row],[Data]],"mmm"))</f>
        <v>OUT</v>
      </c>
      <c r="D60" s="52" t="s">
        <v>1185</v>
      </c>
      <c r="E60" s="49" t="str">
        <f>VLOOKUP(Dados_Cursos[[#This Row],[ID]],Apoio!A53:H1053,2,0)</f>
        <v>isabel.andrade53@gmail.com</v>
      </c>
      <c r="F60" s="36" t="s">
        <v>169</v>
      </c>
      <c r="G60" s="36" t="s">
        <v>2667</v>
      </c>
      <c r="H60" s="38">
        <v>1200</v>
      </c>
      <c r="I60" s="49">
        <v>12</v>
      </c>
      <c r="J60" s="49" t="str">
        <f>VLOOKUP(Dados_Cursos[[#This Row],[ID]],Apoio!A53:H1053,4,0)</f>
        <v>Bié</v>
      </c>
      <c r="K60" s="37" t="s">
        <v>113</v>
      </c>
      <c r="L60" s="37" t="s">
        <v>111</v>
      </c>
      <c r="M60" s="53"/>
    </row>
    <row r="61" spans="1:13" ht="20.100000000000001" customHeight="1" x14ac:dyDescent="0.25">
      <c r="A61" s="49">
        <v>54</v>
      </c>
      <c r="B61" s="55">
        <v>45597</v>
      </c>
      <c r="C61" s="36" t="str">
        <f>UPPER(TEXT(Dados_Cursos[[#This Row],[Data]],"mmm"))</f>
        <v>NOV</v>
      </c>
      <c r="D61" s="52" t="s">
        <v>1258</v>
      </c>
      <c r="E61" s="49" t="str">
        <f>VLOOKUP(Dados_Cursos[[#This Row],[ID]],Apoio!A54:H1054,2,0)</f>
        <v>pedro.pereira54@gmail.com</v>
      </c>
      <c r="F61" s="36" t="s">
        <v>170</v>
      </c>
      <c r="G61" s="36" t="s">
        <v>2667</v>
      </c>
      <c r="H61" s="38">
        <v>1200</v>
      </c>
      <c r="I61" s="49">
        <v>13</v>
      </c>
      <c r="J61" s="49" t="str">
        <f>VLOOKUP(Dados_Cursos[[#This Row],[ID]],Apoio!A54:H1054,4,0)</f>
        <v>Lunda Norte</v>
      </c>
      <c r="K61" s="37" t="s">
        <v>112</v>
      </c>
      <c r="L61" s="37" t="s">
        <v>109</v>
      </c>
      <c r="M61" s="53"/>
    </row>
    <row r="62" spans="1:13" ht="20.100000000000001" customHeight="1" x14ac:dyDescent="0.25">
      <c r="A62" s="49">
        <v>55</v>
      </c>
      <c r="B62" s="55">
        <v>45421</v>
      </c>
      <c r="C62" s="36" t="str">
        <f>UPPER(TEXT(Dados_Cursos[[#This Row],[Data]],"mmm"))</f>
        <v>MAI</v>
      </c>
      <c r="D62" s="52" t="s">
        <v>1260</v>
      </c>
      <c r="E62" s="49" t="str">
        <f>VLOOKUP(Dados_Cursos[[#This Row],[ID]],Apoio!A55:H1055,2,0)</f>
        <v>helena.silva55@gmail.com</v>
      </c>
      <c r="F62" s="36" t="s">
        <v>171</v>
      </c>
      <c r="G62" s="36" t="s">
        <v>2666</v>
      </c>
      <c r="H62" s="38">
        <v>1500</v>
      </c>
      <c r="I62" s="49">
        <v>5</v>
      </c>
      <c r="J62" s="49" t="str">
        <f>VLOOKUP(Dados_Cursos[[#This Row],[ID]],Apoio!A55:H1055,4,0)</f>
        <v>Cunene</v>
      </c>
      <c r="K62" s="37" t="s">
        <v>113</v>
      </c>
      <c r="L62" s="37" t="s">
        <v>110</v>
      </c>
      <c r="M62" s="53"/>
    </row>
    <row r="63" spans="1:13" ht="20.100000000000001" customHeight="1" x14ac:dyDescent="0.25">
      <c r="A63" s="49">
        <v>56</v>
      </c>
      <c r="B63" s="55">
        <v>45608</v>
      </c>
      <c r="C63" s="36" t="str">
        <f>UPPER(TEXT(Dados_Cursos[[#This Row],[Data]],"mmm"))</f>
        <v>NOV</v>
      </c>
      <c r="D63" s="52" t="s">
        <v>1263</v>
      </c>
      <c r="E63" s="49" t="str">
        <f>VLOOKUP(Dados_Cursos[[#This Row],[ID]],Apoio!A56:H1056,2,0)</f>
        <v>benedito.gomes56@gmail.com</v>
      </c>
      <c r="F63" s="36" t="s">
        <v>172</v>
      </c>
      <c r="G63" s="36" t="s">
        <v>2666</v>
      </c>
      <c r="H63" s="38">
        <v>1500</v>
      </c>
      <c r="I63" s="49">
        <v>16</v>
      </c>
      <c r="J63" s="49" t="str">
        <f>VLOOKUP(Dados_Cursos[[#This Row],[ID]],Apoio!A56:H1056,4,0)</f>
        <v>Namibe</v>
      </c>
      <c r="K63" s="37" t="s">
        <v>113</v>
      </c>
      <c r="L63" s="37" t="s">
        <v>111</v>
      </c>
      <c r="M63" s="53"/>
    </row>
    <row r="64" spans="1:13" ht="20.100000000000001" customHeight="1" x14ac:dyDescent="0.25">
      <c r="A64" s="49">
        <v>57</v>
      </c>
      <c r="B64" s="55">
        <v>45395</v>
      </c>
      <c r="C64" s="36" t="str">
        <f>UPPER(TEXT(Dados_Cursos[[#This Row],[Data]],"mmm"))</f>
        <v>ABR</v>
      </c>
      <c r="D64" s="52" t="s">
        <v>1265</v>
      </c>
      <c r="E64" s="49" t="str">
        <f>VLOOKUP(Dados_Cursos[[#This Row],[ID]],Apoio!A57:H1057,2,0)</f>
        <v>manuel.costa57@gmail.com</v>
      </c>
      <c r="F64" s="36" t="s">
        <v>173</v>
      </c>
      <c r="G64" s="36" t="s">
        <v>2667</v>
      </c>
      <c r="H64" s="38">
        <v>1200</v>
      </c>
      <c r="I64" s="49">
        <v>19</v>
      </c>
      <c r="J64" s="49" t="str">
        <f>VLOOKUP(Dados_Cursos[[#This Row],[ID]],Apoio!A57:H1057,4,0)</f>
        <v>Malanje</v>
      </c>
      <c r="K64" s="37" t="s">
        <v>113</v>
      </c>
      <c r="L64" s="37" t="s">
        <v>111</v>
      </c>
      <c r="M64" s="53"/>
    </row>
    <row r="65" spans="1:13" ht="20.100000000000001" customHeight="1" x14ac:dyDescent="0.25">
      <c r="A65" s="49">
        <v>58</v>
      </c>
      <c r="B65" s="55">
        <v>45545</v>
      </c>
      <c r="C65" s="36" t="str">
        <f>UPPER(TEXT(Dados_Cursos[[#This Row],[Data]],"mmm"))</f>
        <v>SET</v>
      </c>
      <c r="D65" s="52" t="s">
        <v>1267</v>
      </c>
      <c r="E65" s="49" t="str">
        <f>VLOOKUP(Dados_Cursos[[#This Row],[ID]],Apoio!A58:H1058,2,0)</f>
        <v>domingos.fernandes58@gmail.com</v>
      </c>
      <c r="F65" s="36" t="s">
        <v>174</v>
      </c>
      <c r="G65" s="36" t="s">
        <v>2666</v>
      </c>
      <c r="H65" s="38">
        <v>1500</v>
      </c>
      <c r="I65" s="49">
        <v>20</v>
      </c>
      <c r="J65" s="49" t="str">
        <f>VLOOKUP(Dados_Cursos[[#This Row],[ID]],Apoio!A58:H1058,4,0)</f>
        <v>Lunda Norte</v>
      </c>
      <c r="K65" s="37" t="s">
        <v>113</v>
      </c>
      <c r="L65" s="37" t="s">
        <v>110</v>
      </c>
      <c r="M65" s="53"/>
    </row>
    <row r="66" spans="1:13" ht="20.100000000000001" customHeight="1" x14ac:dyDescent="0.25">
      <c r="A66" s="49">
        <v>59</v>
      </c>
      <c r="B66" s="55">
        <v>45483</v>
      </c>
      <c r="C66" s="36" t="str">
        <f>UPPER(TEXT(Dados_Cursos[[#This Row],[Data]],"mmm"))</f>
        <v>JUL</v>
      </c>
      <c r="D66" s="52" t="s">
        <v>1267</v>
      </c>
      <c r="E66" s="49" t="str">
        <f>VLOOKUP(Dados_Cursos[[#This Row],[ID]],Apoio!A59:H1059,2,0)</f>
        <v>domingos.fernandes59@gmail.com</v>
      </c>
      <c r="F66" s="36" t="s">
        <v>175</v>
      </c>
      <c r="G66" s="36" t="s">
        <v>2666</v>
      </c>
      <c r="H66" s="38">
        <v>1500</v>
      </c>
      <c r="I66" s="49">
        <v>4</v>
      </c>
      <c r="J66" s="49" t="str">
        <f>VLOOKUP(Dados_Cursos[[#This Row],[ID]],Apoio!A59:H1059,4,0)</f>
        <v>Namibe</v>
      </c>
      <c r="K66" s="37" t="s">
        <v>112</v>
      </c>
      <c r="L66" s="37" t="s">
        <v>109</v>
      </c>
      <c r="M66" s="53"/>
    </row>
    <row r="67" spans="1:13" ht="20.100000000000001" customHeight="1" x14ac:dyDescent="0.25">
      <c r="A67" s="49">
        <v>60</v>
      </c>
      <c r="B67" s="55">
        <v>45607</v>
      </c>
      <c r="C67" s="36" t="str">
        <f>UPPER(TEXT(Dados_Cursos[[#This Row],[Data]],"mmm"))</f>
        <v>NOV</v>
      </c>
      <c r="D67" s="52" t="s">
        <v>1270</v>
      </c>
      <c r="E67" s="49" t="str">
        <f>VLOOKUP(Dados_Cursos[[#This Row],[ID]],Apoio!A60:H1060,2,0)</f>
        <v>nelson.silva60@gmail.com</v>
      </c>
      <c r="F67" s="36" t="s">
        <v>176</v>
      </c>
      <c r="G67" s="36" t="s">
        <v>2667</v>
      </c>
      <c r="H67" s="38">
        <v>1200</v>
      </c>
      <c r="I67" s="49">
        <v>3</v>
      </c>
      <c r="J67" s="49" t="str">
        <f>VLOOKUP(Dados_Cursos[[#This Row],[ID]],Apoio!A60:H1060,4,0)</f>
        <v>Bengo</v>
      </c>
      <c r="K67" s="37" t="s">
        <v>113</v>
      </c>
      <c r="L67" s="37" t="s">
        <v>2649</v>
      </c>
      <c r="M67" s="53"/>
    </row>
    <row r="68" spans="1:13" ht="20.100000000000001" customHeight="1" x14ac:dyDescent="0.25">
      <c r="A68" s="49">
        <v>61</v>
      </c>
      <c r="B68" s="55">
        <v>45354</v>
      </c>
      <c r="C68" s="36" t="str">
        <f>UPPER(TEXT(Dados_Cursos[[#This Row],[Data]],"mmm"))</f>
        <v>MAR</v>
      </c>
      <c r="D68" s="52" t="s">
        <v>1272</v>
      </c>
      <c r="E68" s="49" t="str">
        <f>VLOOKUP(Dados_Cursos[[#This Row],[ID]],Apoio!A61:H1061,2,0)</f>
        <v>teresa.almeida61@gmail.com</v>
      </c>
      <c r="F68" s="36" t="s">
        <v>177</v>
      </c>
      <c r="G68" s="36" t="s">
        <v>2667</v>
      </c>
      <c r="H68" s="38">
        <v>1200</v>
      </c>
      <c r="I68" s="49">
        <v>19</v>
      </c>
      <c r="J68" s="49" t="str">
        <f>VLOOKUP(Dados_Cursos[[#This Row],[ID]],Apoio!A61:H1061,4,0)</f>
        <v>Huíla</v>
      </c>
      <c r="K68" s="37" t="s">
        <v>112</v>
      </c>
      <c r="L68" s="37" t="s">
        <v>109</v>
      </c>
      <c r="M68" s="53"/>
    </row>
    <row r="69" spans="1:13" ht="20.100000000000001" customHeight="1" x14ac:dyDescent="0.25">
      <c r="A69" s="49">
        <v>62</v>
      </c>
      <c r="B69" s="55">
        <v>45493</v>
      </c>
      <c r="C69" s="36" t="str">
        <f>UPPER(TEXT(Dados_Cursos[[#This Row],[Data]],"mmm"))</f>
        <v>JUL</v>
      </c>
      <c r="D69" s="52" t="s">
        <v>1274</v>
      </c>
      <c r="E69" s="49" t="str">
        <f>VLOOKUP(Dados_Cursos[[#This Row],[ID]],Apoio!A62:H1062,2,0)</f>
        <v>mateus.lopes62@gmail.com</v>
      </c>
      <c r="F69" s="36" t="s">
        <v>178</v>
      </c>
      <c r="G69" s="36" t="s">
        <v>2666</v>
      </c>
      <c r="H69" s="38">
        <v>1500</v>
      </c>
      <c r="I69" s="49">
        <v>14</v>
      </c>
      <c r="J69" s="49" t="str">
        <f>VLOOKUP(Dados_Cursos[[#This Row],[ID]],Apoio!A62:H1062,4,0)</f>
        <v>Icolo e Bengo</v>
      </c>
      <c r="K69" s="37" t="s">
        <v>113</v>
      </c>
      <c r="L69" s="37" t="s">
        <v>111</v>
      </c>
      <c r="M69" s="53"/>
    </row>
    <row r="70" spans="1:13" ht="20.100000000000001" customHeight="1" x14ac:dyDescent="0.25">
      <c r="A70" s="49">
        <v>63</v>
      </c>
      <c r="B70" s="55">
        <v>45350</v>
      </c>
      <c r="C70" s="36" t="str">
        <f>UPPER(TEXT(Dados_Cursos[[#This Row],[Data]],"mmm"))</f>
        <v>FEV</v>
      </c>
      <c r="D70" s="52" t="s">
        <v>1276</v>
      </c>
      <c r="E70" s="49" t="str">
        <f>VLOOKUP(Dados_Cursos[[#This Row],[ID]],Apoio!A63:H1063,2,0)</f>
        <v>adriano.pinto63@gmail.com</v>
      </c>
      <c r="F70" s="36" t="s">
        <v>179</v>
      </c>
      <c r="G70" s="36" t="s">
        <v>2667</v>
      </c>
      <c r="H70" s="38">
        <v>1200</v>
      </c>
      <c r="I70" s="49">
        <v>7</v>
      </c>
      <c r="J70" s="49" t="str">
        <f>VLOOKUP(Dados_Cursos[[#This Row],[ID]],Apoio!A63:H1063,4,0)</f>
        <v>Icolo e Bengo</v>
      </c>
      <c r="K70" s="37" t="s">
        <v>113</v>
      </c>
      <c r="L70" s="37" t="s">
        <v>2649</v>
      </c>
      <c r="M70" s="53"/>
    </row>
    <row r="71" spans="1:13" ht="20.100000000000001" customHeight="1" x14ac:dyDescent="0.25">
      <c r="A71" s="49">
        <v>64</v>
      </c>
      <c r="B71" s="55">
        <v>45565</v>
      </c>
      <c r="C71" s="36" t="str">
        <f>UPPER(TEXT(Dados_Cursos[[#This Row],[Data]],"mmm"))</f>
        <v>SET</v>
      </c>
      <c r="D71" s="52" t="s">
        <v>1196</v>
      </c>
      <c r="E71" s="49" t="str">
        <f>VLOOKUP(Dados_Cursos[[#This Row],[ID]],Apoio!A64:H1064,2,0)</f>
        <v>rui.tavares64@gmail.com</v>
      </c>
      <c r="F71" s="36" t="s">
        <v>180</v>
      </c>
      <c r="G71" s="36" t="s">
        <v>2666</v>
      </c>
      <c r="H71" s="38">
        <v>1500</v>
      </c>
      <c r="I71" s="49">
        <v>15</v>
      </c>
      <c r="J71" s="49" t="str">
        <f>VLOOKUP(Dados_Cursos[[#This Row],[ID]],Apoio!A64:H1064,4,0)</f>
        <v>Icolo e Bengo</v>
      </c>
      <c r="K71" s="37" t="s">
        <v>113</v>
      </c>
      <c r="L71" s="37" t="s">
        <v>110</v>
      </c>
      <c r="M71" s="53"/>
    </row>
    <row r="72" spans="1:13" ht="20.100000000000001" customHeight="1" x14ac:dyDescent="0.25">
      <c r="A72" s="49">
        <v>65</v>
      </c>
      <c r="B72" s="55">
        <v>45625</v>
      </c>
      <c r="C72" s="36" t="str">
        <f>UPPER(TEXT(Dados_Cursos[[#This Row],[Data]],"mmm"))</f>
        <v>NOV</v>
      </c>
      <c r="D72" s="52" t="s">
        <v>1279</v>
      </c>
      <c r="E72" s="49" t="str">
        <f>VLOOKUP(Dados_Cursos[[#This Row],[ID]],Apoio!A65:H1065,2,0)</f>
        <v>paulo.fernandes65@gmail.com</v>
      </c>
      <c r="F72" s="36" t="s">
        <v>181</v>
      </c>
      <c r="G72" s="36" t="s">
        <v>2667</v>
      </c>
      <c r="H72" s="38">
        <v>1200</v>
      </c>
      <c r="I72" s="49">
        <v>9</v>
      </c>
      <c r="J72" s="49" t="str">
        <f>VLOOKUP(Dados_Cursos[[#This Row],[ID]],Apoio!A65:H1065,4,0)</f>
        <v>Cuanza Norte</v>
      </c>
      <c r="K72" s="37" t="s">
        <v>112</v>
      </c>
      <c r="L72" s="37" t="s">
        <v>109</v>
      </c>
      <c r="M72" s="53"/>
    </row>
    <row r="73" spans="1:13" ht="20.100000000000001" customHeight="1" x14ac:dyDescent="0.25">
      <c r="A73" s="49">
        <v>66</v>
      </c>
      <c r="B73" s="55">
        <v>45334</v>
      </c>
      <c r="C73" s="36" t="str">
        <f>UPPER(TEXT(Dados_Cursos[[#This Row],[Data]],"mmm"))</f>
        <v>FEV</v>
      </c>
      <c r="D73" s="52" t="s">
        <v>1281</v>
      </c>
      <c r="E73" s="49" t="str">
        <f>VLOOKUP(Dados_Cursos[[#This Row],[ID]],Apoio!A66:H1066,2,0)</f>
        <v>adriano.santos66@gmail.com</v>
      </c>
      <c r="F73" s="36" t="s">
        <v>182</v>
      </c>
      <c r="G73" s="36" t="s">
        <v>2666</v>
      </c>
      <c r="H73" s="38">
        <v>1500</v>
      </c>
      <c r="I73" s="49">
        <v>8</v>
      </c>
      <c r="J73" s="49" t="str">
        <f>VLOOKUP(Dados_Cursos[[#This Row],[ID]],Apoio!A66:H1066,4,0)</f>
        <v>Moxico Leste</v>
      </c>
      <c r="K73" s="37" t="s">
        <v>112</v>
      </c>
      <c r="L73" s="37" t="s">
        <v>109</v>
      </c>
      <c r="M73" s="53"/>
    </row>
    <row r="74" spans="1:13" ht="20.100000000000001" customHeight="1" x14ac:dyDescent="0.25">
      <c r="A74" s="49">
        <v>67</v>
      </c>
      <c r="B74" s="55">
        <v>45554</v>
      </c>
      <c r="C74" s="36" t="str">
        <f>UPPER(TEXT(Dados_Cursos[[#This Row],[Data]],"mmm"))</f>
        <v>SET</v>
      </c>
      <c r="D74" s="52" t="s">
        <v>1283</v>
      </c>
      <c r="E74" s="49" t="str">
        <f>VLOOKUP(Dados_Cursos[[#This Row],[ID]],Apoio!A67:H1067,2,0)</f>
        <v>daniel.soares67@gmail.com</v>
      </c>
      <c r="F74" s="36" t="s">
        <v>183</v>
      </c>
      <c r="G74" s="36" t="s">
        <v>2666</v>
      </c>
      <c r="H74" s="38">
        <v>1500</v>
      </c>
      <c r="I74" s="49">
        <v>13</v>
      </c>
      <c r="J74" s="49" t="str">
        <f>VLOOKUP(Dados_Cursos[[#This Row],[ID]],Apoio!A67:H1067,4,0)</f>
        <v>Huíla</v>
      </c>
      <c r="K74" s="37" t="s">
        <v>113</v>
      </c>
      <c r="L74" s="37" t="s">
        <v>111</v>
      </c>
      <c r="M74" s="53"/>
    </row>
    <row r="75" spans="1:13" ht="20.100000000000001" customHeight="1" x14ac:dyDescent="0.25">
      <c r="A75" s="49">
        <v>68</v>
      </c>
      <c r="B75" s="55">
        <v>45443</v>
      </c>
      <c r="C75" s="36" t="str">
        <f>UPPER(TEXT(Dados_Cursos[[#This Row],[Data]],"mmm"))</f>
        <v>MAI</v>
      </c>
      <c r="D75" s="52" t="s">
        <v>1285</v>
      </c>
      <c r="E75" s="49" t="str">
        <f>VLOOKUP(Dados_Cursos[[#This Row],[ID]],Apoio!A68:H1068,2,0)</f>
        <v>antónio.costa68@gmail.com</v>
      </c>
      <c r="F75" s="36" t="s">
        <v>184</v>
      </c>
      <c r="G75" s="36" t="s">
        <v>2666</v>
      </c>
      <c r="H75" s="38">
        <v>800</v>
      </c>
      <c r="I75" s="49">
        <v>1</v>
      </c>
      <c r="J75" s="49" t="str">
        <f>VLOOKUP(Dados_Cursos[[#This Row],[ID]],Apoio!A68:H1068,4,0)</f>
        <v>Cunene</v>
      </c>
      <c r="K75" s="37" t="s">
        <v>113</v>
      </c>
      <c r="L75" s="37" t="s">
        <v>110</v>
      </c>
      <c r="M75" s="53"/>
    </row>
    <row r="76" spans="1:13" ht="20.100000000000001" customHeight="1" x14ac:dyDescent="0.25">
      <c r="A76" s="49">
        <v>69</v>
      </c>
      <c r="B76" s="55">
        <v>45395</v>
      </c>
      <c r="C76" s="36" t="str">
        <f>UPPER(TEXT(Dados_Cursos[[#This Row],[Data]],"mmm"))</f>
        <v>ABR</v>
      </c>
      <c r="D76" s="52" t="s">
        <v>1287</v>
      </c>
      <c r="E76" s="49" t="str">
        <f>VLOOKUP(Dados_Cursos[[#This Row],[ID]],Apoio!A69:H1069,2,0)</f>
        <v>luís.monteiro69@gmail.com</v>
      </c>
      <c r="F76" s="36" t="s">
        <v>185</v>
      </c>
      <c r="G76" s="36" t="s">
        <v>2666</v>
      </c>
      <c r="H76" s="38">
        <v>800</v>
      </c>
      <c r="I76" s="49">
        <v>9</v>
      </c>
      <c r="J76" s="49" t="str">
        <f>VLOOKUP(Dados_Cursos[[#This Row],[ID]],Apoio!A69:H1069,4,0)</f>
        <v>Cunene</v>
      </c>
      <c r="K76" s="37" t="s">
        <v>113</v>
      </c>
      <c r="L76" s="37" t="s">
        <v>111</v>
      </c>
      <c r="M76" s="53"/>
    </row>
    <row r="77" spans="1:13" ht="20.100000000000001" customHeight="1" x14ac:dyDescent="0.25">
      <c r="A77" s="49">
        <v>70</v>
      </c>
      <c r="B77" s="55">
        <v>45340</v>
      </c>
      <c r="C77" s="36" t="str">
        <f>UPPER(TEXT(Dados_Cursos[[#This Row],[Data]],"mmm"))</f>
        <v>FEV</v>
      </c>
      <c r="D77" s="52" t="s">
        <v>1289</v>
      </c>
      <c r="E77" s="49" t="str">
        <f>VLOOKUP(Dados_Cursos[[#This Row],[ID]],Apoio!A70:H1070,2,0)</f>
        <v>isabel.david70@gmail.com</v>
      </c>
      <c r="F77" s="36" t="s">
        <v>186</v>
      </c>
      <c r="G77" s="36" t="s">
        <v>2666</v>
      </c>
      <c r="H77" s="38">
        <v>800</v>
      </c>
      <c r="I77" s="49">
        <v>17</v>
      </c>
      <c r="J77" s="49" t="str">
        <f>VLOOKUP(Dados_Cursos[[#This Row],[ID]],Apoio!A70:H1070,4,0)</f>
        <v>Bié</v>
      </c>
      <c r="K77" s="37" t="s">
        <v>113</v>
      </c>
      <c r="L77" s="37" t="s">
        <v>110</v>
      </c>
      <c r="M77" s="53"/>
    </row>
    <row r="78" spans="1:13" ht="20.100000000000001" customHeight="1" x14ac:dyDescent="0.25">
      <c r="A78" s="49">
        <v>71</v>
      </c>
      <c r="B78" s="55">
        <v>45524</v>
      </c>
      <c r="C78" s="36" t="str">
        <f>UPPER(TEXT(Dados_Cursos[[#This Row],[Data]],"mmm"))</f>
        <v>AGO</v>
      </c>
      <c r="D78" s="52" t="s">
        <v>1291</v>
      </c>
      <c r="E78" s="49" t="str">
        <f>VLOOKUP(Dados_Cursos[[#This Row],[ID]],Apoio!A71:H1071,2,0)</f>
        <v>adriano.soares71@gmail.com</v>
      </c>
      <c r="F78" s="36" t="s">
        <v>187</v>
      </c>
      <c r="G78" s="36" t="s">
        <v>2666</v>
      </c>
      <c r="H78" s="38">
        <v>800</v>
      </c>
      <c r="I78" s="49">
        <v>2</v>
      </c>
      <c r="J78" s="49" t="str">
        <f>VLOOKUP(Dados_Cursos[[#This Row],[ID]],Apoio!A71:H1071,4,0)</f>
        <v>Cuanza Sul</v>
      </c>
      <c r="K78" s="37" t="s">
        <v>113</v>
      </c>
      <c r="L78" s="37" t="s">
        <v>2649</v>
      </c>
      <c r="M78" s="53"/>
    </row>
    <row r="79" spans="1:13" ht="20.100000000000001" customHeight="1" x14ac:dyDescent="0.25">
      <c r="A79" s="49">
        <v>72</v>
      </c>
      <c r="B79" s="55">
        <v>45513</v>
      </c>
      <c r="C79" s="36" t="str">
        <f>UPPER(TEXT(Dados_Cursos[[#This Row],[Data]],"mmm"))</f>
        <v>AGO</v>
      </c>
      <c r="D79" s="52" t="s">
        <v>1293</v>
      </c>
      <c r="E79" s="49" t="str">
        <f>VLOOKUP(Dados_Cursos[[#This Row],[ID]],Apoio!A72:H1072,2,0)</f>
        <v>cláudia.costa72@gmail.com</v>
      </c>
      <c r="F79" s="36" t="s">
        <v>188</v>
      </c>
      <c r="G79" s="36" t="s">
        <v>2666</v>
      </c>
      <c r="H79" s="38">
        <v>1500</v>
      </c>
      <c r="I79" s="49">
        <v>18</v>
      </c>
      <c r="J79" s="49" t="str">
        <f>VLOOKUP(Dados_Cursos[[#This Row],[ID]],Apoio!A72:H1072,4,0)</f>
        <v>Moxico Leste</v>
      </c>
      <c r="K79" s="37" t="s">
        <v>113</v>
      </c>
      <c r="L79" s="37" t="s">
        <v>2649</v>
      </c>
      <c r="M79" s="53"/>
    </row>
    <row r="80" spans="1:13" ht="20.100000000000001" customHeight="1" x14ac:dyDescent="0.25">
      <c r="A80" s="49">
        <v>73</v>
      </c>
      <c r="B80" s="55">
        <v>45350</v>
      </c>
      <c r="C80" s="36" t="str">
        <f>UPPER(TEXT(Dados_Cursos[[#This Row],[Data]],"mmm"))</f>
        <v>FEV</v>
      </c>
      <c r="D80" s="52" t="s">
        <v>1295</v>
      </c>
      <c r="E80" s="49" t="str">
        <f>VLOOKUP(Dados_Cursos[[#This Row],[ID]],Apoio!A73:H1073,2,0)</f>
        <v>daniel.domingues73@gmail.com</v>
      </c>
      <c r="F80" s="36" t="s">
        <v>189</v>
      </c>
      <c r="G80" s="36" t="s">
        <v>2667</v>
      </c>
      <c r="H80" s="38">
        <v>1200</v>
      </c>
      <c r="I80" s="49">
        <v>3</v>
      </c>
      <c r="J80" s="49" t="str">
        <f>VLOOKUP(Dados_Cursos[[#This Row],[ID]],Apoio!A73:H1073,4,0)</f>
        <v>Cuanza Norte</v>
      </c>
      <c r="K80" s="37" t="s">
        <v>113</v>
      </c>
      <c r="L80" s="37" t="s">
        <v>111</v>
      </c>
      <c r="M80" s="53"/>
    </row>
    <row r="81" spans="1:13" ht="20.100000000000001" customHeight="1" x14ac:dyDescent="0.25">
      <c r="A81" s="49">
        <v>74</v>
      </c>
      <c r="B81" s="55">
        <v>45625</v>
      </c>
      <c r="C81" s="36" t="str">
        <f>UPPER(TEXT(Dados_Cursos[[#This Row],[Data]],"mmm"))</f>
        <v>NOV</v>
      </c>
      <c r="D81" s="52" t="s">
        <v>1297</v>
      </c>
      <c r="E81" s="49" t="str">
        <f>VLOOKUP(Dados_Cursos[[#This Row],[ID]],Apoio!A74:H1074,2,0)</f>
        <v>joão.gomes74@gmail.com</v>
      </c>
      <c r="F81" s="36" t="s">
        <v>190</v>
      </c>
      <c r="G81" s="36" t="s">
        <v>2666</v>
      </c>
      <c r="H81" s="38">
        <v>1500</v>
      </c>
      <c r="I81" s="49">
        <v>12</v>
      </c>
      <c r="J81" s="49" t="str">
        <f>VLOOKUP(Dados_Cursos[[#This Row],[ID]],Apoio!A74:H1074,4,0)</f>
        <v>Moxico Leste</v>
      </c>
      <c r="K81" s="37" t="s">
        <v>113</v>
      </c>
      <c r="L81" s="37" t="s">
        <v>111</v>
      </c>
      <c r="M81" s="53"/>
    </row>
    <row r="82" spans="1:13" ht="20.100000000000001" customHeight="1" x14ac:dyDescent="0.25">
      <c r="A82" s="49">
        <v>75</v>
      </c>
      <c r="B82" s="55">
        <v>45515</v>
      </c>
      <c r="C82" s="36" t="str">
        <f>UPPER(TEXT(Dados_Cursos[[#This Row],[Data]],"mmm"))</f>
        <v>AGO</v>
      </c>
      <c r="D82" s="52" t="s">
        <v>1299</v>
      </c>
      <c r="E82" s="49" t="str">
        <f>VLOOKUP(Dados_Cursos[[#This Row],[ID]],Apoio!A75:H1075,2,0)</f>
        <v>fátima.silva75@gmail.com</v>
      </c>
      <c r="F82" s="36" t="s">
        <v>191</v>
      </c>
      <c r="G82" s="36" t="s">
        <v>2666</v>
      </c>
      <c r="H82" s="38">
        <v>800</v>
      </c>
      <c r="I82" s="49">
        <v>9</v>
      </c>
      <c r="J82" s="49" t="str">
        <f>VLOOKUP(Dados_Cursos[[#This Row],[ID]],Apoio!A75:H1075,4,0)</f>
        <v>Icolo e Bengo</v>
      </c>
      <c r="K82" s="37" t="s">
        <v>113</v>
      </c>
      <c r="L82" s="37" t="s">
        <v>111</v>
      </c>
      <c r="M82" s="53"/>
    </row>
    <row r="83" spans="1:13" ht="20.100000000000001" customHeight="1" x14ac:dyDescent="0.25">
      <c r="A83" s="49">
        <v>76</v>
      </c>
      <c r="B83" s="55">
        <v>45458</v>
      </c>
      <c r="C83" s="36" t="str">
        <f>UPPER(TEXT(Dados_Cursos[[#This Row],[Data]],"mmm"))</f>
        <v>JUN</v>
      </c>
      <c r="D83" s="52" t="s">
        <v>1301</v>
      </c>
      <c r="E83" s="49" t="str">
        <f>VLOOKUP(Dados_Cursos[[#This Row],[ID]],Apoio!A76:H1076,2,0)</f>
        <v>manuel.david76@gmail.com</v>
      </c>
      <c r="F83" s="36" t="s">
        <v>192</v>
      </c>
      <c r="G83" s="36" t="s">
        <v>2666</v>
      </c>
      <c r="H83" s="38">
        <v>1500</v>
      </c>
      <c r="I83" s="49">
        <v>12</v>
      </c>
      <c r="J83" s="49" t="str">
        <f>VLOOKUP(Dados_Cursos[[#This Row],[ID]],Apoio!A76:H1076,4,0)</f>
        <v>Huíla</v>
      </c>
      <c r="K83" s="37" t="s">
        <v>113</v>
      </c>
      <c r="L83" s="37" t="s">
        <v>111</v>
      </c>
      <c r="M83" s="53"/>
    </row>
    <row r="84" spans="1:13" ht="20.100000000000001" customHeight="1" x14ac:dyDescent="0.25">
      <c r="A84" s="49">
        <v>77</v>
      </c>
      <c r="B84" s="55">
        <v>45620</v>
      </c>
      <c r="C84" s="36" t="str">
        <f>UPPER(TEXT(Dados_Cursos[[#This Row],[Data]],"mmm"))</f>
        <v>NOV</v>
      </c>
      <c r="D84" s="52" t="s">
        <v>1303</v>
      </c>
      <c r="E84" s="49" t="str">
        <f>VLOOKUP(Dados_Cursos[[#This Row],[ID]],Apoio!A77:H1077,2,0)</f>
        <v>antónio.pereira77@gmail.com</v>
      </c>
      <c r="F84" s="36" t="s">
        <v>193</v>
      </c>
      <c r="G84" s="36" t="s">
        <v>2667</v>
      </c>
      <c r="H84" s="38">
        <v>1200</v>
      </c>
      <c r="I84" s="49">
        <v>6</v>
      </c>
      <c r="J84" s="49" t="str">
        <f>VLOOKUP(Dados_Cursos[[#This Row],[ID]],Apoio!A77:H1077,4,0)</f>
        <v>Cabinda</v>
      </c>
      <c r="K84" s="37" t="s">
        <v>113</v>
      </c>
      <c r="L84" s="37" t="s">
        <v>111</v>
      </c>
      <c r="M84" s="53"/>
    </row>
    <row r="85" spans="1:13" ht="20.100000000000001" customHeight="1" x14ac:dyDescent="0.25">
      <c r="A85" s="49">
        <v>78</v>
      </c>
      <c r="B85" s="55">
        <v>45657</v>
      </c>
      <c r="C85" s="36" t="str">
        <f>UPPER(TEXT(Dados_Cursos[[#This Row],[Data]],"mmm"))</f>
        <v>DEZ</v>
      </c>
      <c r="D85" s="52" t="s">
        <v>1305</v>
      </c>
      <c r="E85" s="49" t="str">
        <f>VLOOKUP(Dados_Cursos[[#This Row],[ID]],Apoio!A78:H1078,2,0)</f>
        <v>isabel.monteiro78@gmail.com</v>
      </c>
      <c r="F85" s="36" t="s">
        <v>194</v>
      </c>
      <c r="G85" s="36" t="s">
        <v>2666</v>
      </c>
      <c r="H85" s="38">
        <v>800</v>
      </c>
      <c r="I85" s="49">
        <v>16</v>
      </c>
      <c r="J85" s="49" t="str">
        <f>VLOOKUP(Dados_Cursos[[#This Row],[ID]],Apoio!A78:H1078,4,0)</f>
        <v>Huambo</v>
      </c>
      <c r="K85" s="37" t="s">
        <v>113</v>
      </c>
      <c r="L85" s="37" t="s">
        <v>2649</v>
      </c>
      <c r="M85" s="53"/>
    </row>
    <row r="86" spans="1:13" ht="20.100000000000001" customHeight="1" x14ac:dyDescent="0.25">
      <c r="A86" s="49">
        <v>79</v>
      </c>
      <c r="B86" s="55">
        <v>45320</v>
      </c>
      <c r="C86" s="36" t="str">
        <f>UPPER(TEXT(Dados_Cursos[[#This Row],[Data]],"mmm"))</f>
        <v>JAN</v>
      </c>
      <c r="D86" s="52" t="s">
        <v>1307</v>
      </c>
      <c r="E86" s="49" t="str">
        <f>VLOOKUP(Dados_Cursos[[#This Row],[ID]],Apoio!A79:H1079,2,0)</f>
        <v>paulo.lopes79@gmail.com</v>
      </c>
      <c r="F86" s="36" t="s">
        <v>195</v>
      </c>
      <c r="G86" s="36" t="s">
        <v>2667</v>
      </c>
      <c r="H86" s="38">
        <v>1200</v>
      </c>
      <c r="I86" s="49">
        <v>19</v>
      </c>
      <c r="J86" s="49" t="str">
        <f>VLOOKUP(Dados_Cursos[[#This Row],[ID]],Apoio!A79:H1079,4,0)</f>
        <v>Cabinda</v>
      </c>
      <c r="K86" s="37" t="s">
        <v>112</v>
      </c>
      <c r="L86" s="37" t="s">
        <v>109</v>
      </c>
      <c r="M86" s="53"/>
    </row>
    <row r="87" spans="1:13" ht="20.100000000000001" customHeight="1" x14ac:dyDescent="0.25">
      <c r="A87" s="49">
        <v>80</v>
      </c>
      <c r="B87" s="55">
        <v>45646</v>
      </c>
      <c r="C87" s="36" t="str">
        <f>UPPER(TEXT(Dados_Cursos[[#This Row],[Data]],"mmm"))</f>
        <v>DEZ</v>
      </c>
      <c r="D87" s="52" t="s">
        <v>1309</v>
      </c>
      <c r="E87" s="49" t="str">
        <f>VLOOKUP(Dados_Cursos[[#This Row],[ID]],Apoio!A80:H1080,2,0)</f>
        <v>manuel.santos80@gmail.com</v>
      </c>
      <c r="F87" s="36" t="s">
        <v>196</v>
      </c>
      <c r="G87" s="36" t="s">
        <v>2667</v>
      </c>
      <c r="H87" s="38">
        <v>1200</v>
      </c>
      <c r="I87" s="49">
        <v>5</v>
      </c>
      <c r="J87" s="49" t="str">
        <f>VLOOKUP(Dados_Cursos[[#This Row],[ID]],Apoio!A80:H1080,4,0)</f>
        <v>Bié</v>
      </c>
      <c r="K87" s="37" t="s">
        <v>113</v>
      </c>
      <c r="L87" s="37" t="s">
        <v>2649</v>
      </c>
      <c r="M87" s="53"/>
    </row>
    <row r="88" spans="1:13" ht="20.100000000000001" customHeight="1" x14ac:dyDescent="0.25">
      <c r="A88" s="49">
        <v>81</v>
      </c>
      <c r="B88" s="55">
        <v>45390</v>
      </c>
      <c r="C88" s="36" t="str">
        <f>UPPER(TEXT(Dados_Cursos[[#This Row],[Data]],"mmm"))</f>
        <v>ABR</v>
      </c>
      <c r="D88" s="52" t="s">
        <v>1311</v>
      </c>
      <c r="E88" s="49" t="str">
        <f>VLOOKUP(Dados_Cursos[[#This Row],[ID]],Apoio!A81:H1081,2,0)</f>
        <v>adriano.martins81@gmail.com</v>
      </c>
      <c r="F88" s="36" t="s">
        <v>197</v>
      </c>
      <c r="G88" s="36" t="s">
        <v>2666</v>
      </c>
      <c r="H88" s="38">
        <v>800</v>
      </c>
      <c r="I88" s="49">
        <v>10</v>
      </c>
      <c r="J88" s="49" t="str">
        <f>VLOOKUP(Dados_Cursos[[#This Row],[ID]],Apoio!A81:H1081,4,0)</f>
        <v>Uíge</v>
      </c>
      <c r="K88" s="37" t="s">
        <v>113</v>
      </c>
      <c r="L88" s="37" t="s">
        <v>2649</v>
      </c>
      <c r="M88" s="53"/>
    </row>
    <row r="89" spans="1:13" ht="20.100000000000001" customHeight="1" x14ac:dyDescent="0.25">
      <c r="A89" s="49">
        <v>82</v>
      </c>
      <c r="B89" s="55">
        <v>45357</v>
      </c>
      <c r="C89" s="36" t="str">
        <f>UPPER(TEXT(Dados_Cursos[[#This Row],[Data]],"mmm"))</f>
        <v>MAR</v>
      </c>
      <c r="D89" s="52" t="s">
        <v>1313</v>
      </c>
      <c r="E89" s="49" t="str">
        <f>VLOOKUP(Dados_Cursos[[#This Row],[ID]],Apoio!A82:H1082,2,0)</f>
        <v>joão.silva82@gmail.com</v>
      </c>
      <c r="F89" s="36" t="s">
        <v>198</v>
      </c>
      <c r="G89" s="36" t="s">
        <v>2666</v>
      </c>
      <c r="H89" s="38">
        <v>800</v>
      </c>
      <c r="I89" s="49">
        <v>7</v>
      </c>
      <c r="J89" s="49" t="str">
        <f>VLOOKUP(Dados_Cursos[[#This Row],[ID]],Apoio!A82:H1082,4,0)</f>
        <v>Cuanza Sul</v>
      </c>
      <c r="K89" s="37" t="s">
        <v>113</v>
      </c>
      <c r="L89" s="37" t="s">
        <v>110</v>
      </c>
      <c r="M89" s="53"/>
    </row>
    <row r="90" spans="1:13" ht="20.100000000000001" customHeight="1" x14ac:dyDescent="0.25">
      <c r="A90" s="49">
        <v>83</v>
      </c>
      <c r="B90" s="55">
        <v>45416</v>
      </c>
      <c r="C90" s="36" t="str">
        <f>UPPER(TEXT(Dados_Cursos[[#This Row],[Data]],"mmm"))</f>
        <v>MAI</v>
      </c>
      <c r="D90" s="52" t="s">
        <v>1315</v>
      </c>
      <c r="E90" s="49" t="str">
        <f>VLOOKUP(Dados_Cursos[[#This Row],[ID]],Apoio!A83:H1083,2,0)</f>
        <v>david.tavares83@gmail.com</v>
      </c>
      <c r="F90" s="36" t="s">
        <v>199</v>
      </c>
      <c r="G90" s="36" t="s">
        <v>2667</v>
      </c>
      <c r="H90" s="38">
        <v>1200</v>
      </c>
      <c r="I90" s="49">
        <v>5</v>
      </c>
      <c r="J90" s="49" t="str">
        <f>VLOOKUP(Dados_Cursos[[#This Row],[ID]],Apoio!A83:H1083,4,0)</f>
        <v>Huambo</v>
      </c>
      <c r="K90" s="37" t="s">
        <v>113</v>
      </c>
      <c r="L90" s="37" t="s">
        <v>110</v>
      </c>
      <c r="M90" s="53"/>
    </row>
    <row r="91" spans="1:13" ht="20.100000000000001" customHeight="1" x14ac:dyDescent="0.25">
      <c r="A91" s="49">
        <v>84</v>
      </c>
      <c r="B91" s="55">
        <v>45627</v>
      </c>
      <c r="C91" s="36" t="str">
        <f>UPPER(TEXT(Dados_Cursos[[#This Row],[Data]],"mmm"))</f>
        <v>DEZ</v>
      </c>
      <c r="D91" s="52" t="s">
        <v>1317</v>
      </c>
      <c r="E91" s="49" t="str">
        <f>VLOOKUP(Dados_Cursos[[#This Row],[ID]],Apoio!A84:H1084,2,0)</f>
        <v>cláudia.gomes84@gmail.com</v>
      </c>
      <c r="F91" s="36" t="s">
        <v>200</v>
      </c>
      <c r="G91" s="36" t="s">
        <v>2666</v>
      </c>
      <c r="H91" s="38">
        <v>1500</v>
      </c>
      <c r="I91" s="49">
        <v>8</v>
      </c>
      <c r="J91" s="49" t="str">
        <f>VLOOKUP(Dados_Cursos[[#This Row],[ID]],Apoio!A84:H1084,4,0)</f>
        <v>Lunda Norte</v>
      </c>
      <c r="K91" s="37" t="s">
        <v>112</v>
      </c>
      <c r="L91" s="37" t="s">
        <v>109</v>
      </c>
      <c r="M91" s="53"/>
    </row>
    <row r="92" spans="1:13" ht="20.100000000000001" customHeight="1" x14ac:dyDescent="0.25">
      <c r="A92" s="49">
        <v>85</v>
      </c>
      <c r="B92" s="55">
        <v>45396</v>
      </c>
      <c r="C92" s="36" t="str">
        <f>UPPER(TEXT(Dados_Cursos[[#This Row],[Data]],"mmm"))</f>
        <v>ABR</v>
      </c>
      <c r="D92" s="52" t="s">
        <v>1319</v>
      </c>
      <c r="E92" s="49" t="str">
        <f>VLOOKUP(Dados_Cursos[[#This Row],[ID]],Apoio!A85:H1085,2,0)</f>
        <v>antónio.almeida85@gmail.com</v>
      </c>
      <c r="F92" s="36" t="s">
        <v>201</v>
      </c>
      <c r="G92" s="36" t="s">
        <v>2666</v>
      </c>
      <c r="H92" s="38">
        <v>1500</v>
      </c>
      <c r="I92" s="49">
        <v>9</v>
      </c>
      <c r="J92" s="49" t="str">
        <f>VLOOKUP(Dados_Cursos[[#This Row],[ID]],Apoio!A85:H1085,4,0)</f>
        <v>Cabinda</v>
      </c>
      <c r="K92" s="37" t="s">
        <v>113</v>
      </c>
      <c r="L92" s="37" t="s">
        <v>111</v>
      </c>
      <c r="M92" s="53"/>
    </row>
    <row r="93" spans="1:13" ht="20.100000000000001" customHeight="1" x14ac:dyDescent="0.25">
      <c r="A93" s="49">
        <v>86</v>
      </c>
      <c r="B93" s="55">
        <v>45500</v>
      </c>
      <c r="C93" s="36" t="str">
        <f>UPPER(TEXT(Dados_Cursos[[#This Row],[Data]],"mmm"))</f>
        <v>JUL</v>
      </c>
      <c r="D93" s="52" t="s">
        <v>1321</v>
      </c>
      <c r="E93" s="49" t="str">
        <f>VLOOKUP(Dados_Cursos[[#This Row],[ID]],Apoio!A86:H1086,2,0)</f>
        <v>bruno.pinto86@gmail.com</v>
      </c>
      <c r="F93" s="36" t="s">
        <v>202</v>
      </c>
      <c r="G93" s="36" t="s">
        <v>2667</v>
      </c>
      <c r="H93" s="38">
        <v>1200</v>
      </c>
      <c r="I93" s="49">
        <v>18</v>
      </c>
      <c r="J93" s="49" t="str">
        <f>VLOOKUP(Dados_Cursos[[#This Row],[ID]],Apoio!A86:H1086,4,0)</f>
        <v>Malanje</v>
      </c>
      <c r="K93" s="37" t="s">
        <v>113</v>
      </c>
      <c r="L93" s="37" t="s">
        <v>111</v>
      </c>
      <c r="M93" s="53"/>
    </row>
    <row r="94" spans="1:13" ht="20.100000000000001" customHeight="1" x14ac:dyDescent="0.25">
      <c r="A94" s="49">
        <v>87</v>
      </c>
      <c r="B94" s="55">
        <v>45585</v>
      </c>
      <c r="C94" s="36" t="str">
        <f>UPPER(TEXT(Dados_Cursos[[#This Row],[Data]],"mmm"))</f>
        <v>OUT</v>
      </c>
      <c r="D94" s="52" t="s">
        <v>1323</v>
      </c>
      <c r="E94" s="49" t="str">
        <f>VLOOKUP(Dados_Cursos[[#This Row],[ID]],Apoio!A87:H1087,2,0)</f>
        <v>antónio.martins87@gmail.com</v>
      </c>
      <c r="F94" s="36" t="s">
        <v>203</v>
      </c>
      <c r="G94" s="36" t="s">
        <v>2666</v>
      </c>
      <c r="H94" s="38">
        <v>800</v>
      </c>
      <c r="I94" s="49">
        <v>19</v>
      </c>
      <c r="J94" s="49" t="str">
        <f>VLOOKUP(Dados_Cursos[[#This Row],[ID]],Apoio!A87:H1087,4,0)</f>
        <v>Cuanza Sul</v>
      </c>
      <c r="K94" s="37" t="s">
        <v>113</v>
      </c>
      <c r="L94" s="37" t="s">
        <v>111</v>
      </c>
      <c r="M94" s="53"/>
    </row>
    <row r="95" spans="1:13" ht="20.100000000000001" customHeight="1" x14ac:dyDescent="0.25">
      <c r="A95" s="49">
        <v>88</v>
      </c>
      <c r="B95" s="55">
        <v>45306</v>
      </c>
      <c r="C95" s="36" t="str">
        <f>UPPER(TEXT(Dados_Cursos[[#This Row],[Data]],"mmm"))</f>
        <v>JAN</v>
      </c>
      <c r="D95" s="52" t="s">
        <v>1325</v>
      </c>
      <c r="E95" s="49" t="str">
        <f>VLOOKUP(Dados_Cursos[[#This Row],[ID]],Apoio!A88:H1088,2,0)</f>
        <v>manuel.miguel88@gmail.com</v>
      </c>
      <c r="F95" s="36" t="s">
        <v>204</v>
      </c>
      <c r="G95" s="36" t="s">
        <v>2667</v>
      </c>
      <c r="H95" s="38">
        <v>1200</v>
      </c>
      <c r="I95" s="49">
        <v>5</v>
      </c>
      <c r="J95" s="49" t="str">
        <f>VLOOKUP(Dados_Cursos[[#This Row],[ID]],Apoio!A88:H1088,4,0)</f>
        <v>Huíla</v>
      </c>
      <c r="K95" s="37" t="s">
        <v>113</v>
      </c>
      <c r="L95" s="37" t="s">
        <v>2649</v>
      </c>
      <c r="M95" s="53"/>
    </row>
    <row r="96" spans="1:13" ht="20.100000000000001" customHeight="1" x14ac:dyDescent="0.25">
      <c r="A96" s="49">
        <v>89</v>
      </c>
      <c r="B96" s="55">
        <v>45436</v>
      </c>
      <c r="C96" s="36" t="str">
        <f>UPPER(TEXT(Dados_Cursos[[#This Row],[Data]],"mmm"))</f>
        <v>MAI</v>
      </c>
      <c r="D96" s="52" t="s">
        <v>1327</v>
      </c>
      <c r="E96" s="49" t="str">
        <f>VLOOKUP(Dados_Cursos[[#This Row],[ID]],Apoio!A89:H1089,2,0)</f>
        <v>manuel.martins89@gmail.com</v>
      </c>
      <c r="F96" s="36" t="s">
        <v>205</v>
      </c>
      <c r="G96" s="36" t="s">
        <v>2666</v>
      </c>
      <c r="H96" s="38">
        <v>1500</v>
      </c>
      <c r="I96" s="49">
        <v>13</v>
      </c>
      <c r="J96" s="49" t="str">
        <f>VLOOKUP(Dados_Cursos[[#This Row],[ID]],Apoio!A89:H1089,4,0)</f>
        <v>Luanda</v>
      </c>
      <c r="K96" s="37" t="s">
        <v>113</v>
      </c>
      <c r="L96" s="37" t="s">
        <v>2649</v>
      </c>
      <c r="M96" s="53"/>
    </row>
    <row r="97" spans="1:13" ht="20.100000000000001" customHeight="1" x14ac:dyDescent="0.25">
      <c r="A97" s="49">
        <v>90</v>
      </c>
      <c r="B97" s="55">
        <v>45477</v>
      </c>
      <c r="C97" s="36" t="str">
        <f>UPPER(TEXT(Dados_Cursos[[#This Row],[Data]],"mmm"))</f>
        <v>JUL</v>
      </c>
      <c r="D97" s="52" t="s">
        <v>1329</v>
      </c>
      <c r="E97" s="49" t="str">
        <f>VLOOKUP(Dados_Cursos[[#This Row],[ID]],Apoio!A90:H1090,2,0)</f>
        <v>nelson.tavares90@gmail.com</v>
      </c>
      <c r="F97" s="36" t="s">
        <v>206</v>
      </c>
      <c r="G97" s="36" t="s">
        <v>2667</v>
      </c>
      <c r="H97" s="38">
        <v>1200</v>
      </c>
      <c r="I97" s="49">
        <v>11</v>
      </c>
      <c r="J97" s="49" t="str">
        <f>VLOOKUP(Dados_Cursos[[#This Row],[ID]],Apoio!A90:H1090,4,0)</f>
        <v>Cunene</v>
      </c>
      <c r="K97" s="37" t="s">
        <v>113</v>
      </c>
      <c r="L97" s="37" t="s">
        <v>2649</v>
      </c>
      <c r="M97" s="53"/>
    </row>
    <row r="98" spans="1:13" ht="20.100000000000001" customHeight="1" x14ac:dyDescent="0.25">
      <c r="A98" s="49">
        <v>91</v>
      </c>
      <c r="B98" s="55">
        <v>45392</v>
      </c>
      <c r="C98" s="36" t="str">
        <f>UPPER(TEXT(Dados_Cursos[[#This Row],[Data]],"mmm"))</f>
        <v>ABR</v>
      </c>
      <c r="D98" s="52" t="s">
        <v>1331</v>
      </c>
      <c r="E98" s="49" t="str">
        <f>VLOOKUP(Dados_Cursos[[#This Row],[ID]],Apoio!A91:H1091,2,0)</f>
        <v>adriano.pereira91@gmail.com</v>
      </c>
      <c r="F98" s="36" t="s">
        <v>207</v>
      </c>
      <c r="G98" s="36" t="s">
        <v>2667</v>
      </c>
      <c r="H98" s="38">
        <v>1200</v>
      </c>
      <c r="I98" s="49">
        <v>10</v>
      </c>
      <c r="J98" s="49" t="str">
        <f>VLOOKUP(Dados_Cursos[[#This Row],[ID]],Apoio!A91:H1091,4,0)</f>
        <v>Malanje</v>
      </c>
      <c r="K98" s="37" t="s">
        <v>113</v>
      </c>
      <c r="L98" s="37" t="s">
        <v>111</v>
      </c>
      <c r="M98" s="53"/>
    </row>
    <row r="99" spans="1:13" ht="20.100000000000001" customHeight="1" x14ac:dyDescent="0.25">
      <c r="A99" s="49">
        <v>92</v>
      </c>
      <c r="B99" s="55">
        <v>45641</v>
      </c>
      <c r="C99" s="36" t="str">
        <f>UPPER(TEXT(Dados_Cursos[[#This Row],[Data]],"mmm"))</f>
        <v>DEZ</v>
      </c>
      <c r="D99" s="52" t="s">
        <v>1333</v>
      </c>
      <c r="E99" s="49" t="str">
        <f>VLOOKUP(Dados_Cursos[[#This Row],[ID]],Apoio!A92:H1092,2,0)</f>
        <v>bruno.costa92@gmail.com</v>
      </c>
      <c r="F99" s="36" t="s">
        <v>208</v>
      </c>
      <c r="G99" s="36" t="s">
        <v>2667</v>
      </c>
      <c r="H99" s="38">
        <v>1200</v>
      </c>
      <c r="I99" s="49">
        <v>19</v>
      </c>
      <c r="J99" s="49" t="str">
        <f>VLOOKUP(Dados_Cursos[[#This Row],[ID]],Apoio!A92:H1092,4,0)</f>
        <v>Uíge</v>
      </c>
      <c r="K99" s="37" t="s">
        <v>113</v>
      </c>
      <c r="L99" s="37" t="s">
        <v>111</v>
      </c>
      <c r="M99" s="53"/>
    </row>
    <row r="100" spans="1:13" ht="20.100000000000001" customHeight="1" x14ac:dyDescent="0.25">
      <c r="A100" s="49">
        <v>93</v>
      </c>
      <c r="B100" s="55">
        <v>45368</v>
      </c>
      <c r="C100" s="36" t="str">
        <f>UPPER(TEXT(Dados_Cursos[[#This Row],[Data]],"mmm"))</f>
        <v>MAR</v>
      </c>
      <c r="D100" s="52" t="s">
        <v>1335</v>
      </c>
      <c r="E100" s="49" t="str">
        <f>VLOOKUP(Dados_Cursos[[#This Row],[ID]],Apoio!A93:H1093,2,0)</f>
        <v>rosa.barbosa93@gmail.com</v>
      </c>
      <c r="F100" s="36" t="s">
        <v>209</v>
      </c>
      <c r="G100" s="36" t="s">
        <v>2667</v>
      </c>
      <c r="H100" s="38">
        <v>1200</v>
      </c>
      <c r="I100" s="49">
        <v>17</v>
      </c>
      <c r="J100" s="49" t="str">
        <f>VLOOKUP(Dados_Cursos[[#This Row],[ID]],Apoio!A93:H1093,4,0)</f>
        <v>Cuanza Sul</v>
      </c>
      <c r="K100" s="37" t="s">
        <v>112</v>
      </c>
      <c r="L100" s="37" t="s">
        <v>109</v>
      </c>
      <c r="M100" s="53"/>
    </row>
    <row r="101" spans="1:13" ht="20.100000000000001" customHeight="1" x14ac:dyDescent="0.25">
      <c r="A101" s="49">
        <v>94</v>
      </c>
      <c r="B101" s="55">
        <v>45562</v>
      </c>
      <c r="C101" s="36" t="str">
        <f>UPPER(TEXT(Dados_Cursos[[#This Row],[Data]],"mmm"))</f>
        <v>SET</v>
      </c>
      <c r="D101" s="52" t="s">
        <v>1337</v>
      </c>
      <c r="E101" s="49" t="str">
        <f>VLOOKUP(Dados_Cursos[[#This Row],[ID]],Apoio!A94:H1094,2,0)</f>
        <v>sofia.lopes94@gmail.com</v>
      </c>
      <c r="F101" s="36" t="s">
        <v>210</v>
      </c>
      <c r="G101" s="36" t="s">
        <v>2666</v>
      </c>
      <c r="H101" s="38">
        <v>800</v>
      </c>
      <c r="I101" s="49">
        <v>4</v>
      </c>
      <c r="J101" s="49" t="str">
        <f>VLOOKUP(Dados_Cursos[[#This Row],[ID]],Apoio!A94:H1094,4,0)</f>
        <v>Cuanza Sul</v>
      </c>
      <c r="K101" s="37" t="s">
        <v>112</v>
      </c>
      <c r="L101" s="37" t="s">
        <v>109</v>
      </c>
      <c r="M101" s="53"/>
    </row>
    <row r="102" spans="1:13" ht="20.100000000000001" customHeight="1" x14ac:dyDescent="0.25">
      <c r="A102" s="49">
        <v>95</v>
      </c>
      <c r="B102" s="55">
        <v>45546</v>
      </c>
      <c r="C102" s="36" t="str">
        <f>UPPER(TEXT(Dados_Cursos[[#This Row],[Data]],"mmm"))</f>
        <v>SET</v>
      </c>
      <c r="D102" s="52" t="s">
        <v>1221</v>
      </c>
      <c r="E102" s="49" t="str">
        <f>VLOOKUP(Dados_Cursos[[#This Row],[ID]],Apoio!A95:H1095,2,0)</f>
        <v>fátima.pinto95@gmail.com</v>
      </c>
      <c r="F102" s="36" t="s">
        <v>211</v>
      </c>
      <c r="G102" s="36" t="s">
        <v>2666</v>
      </c>
      <c r="H102" s="38">
        <v>1500</v>
      </c>
      <c r="I102" s="49">
        <v>5</v>
      </c>
      <c r="J102" s="49" t="str">
        <f>VLOOKUP(Dados_Cursos[[#This Row],[ID]],Apoio!A95:H1095,4,0)</f>
        <v>Cubango</v>
      </c>
      <c r="K102" s="37" t="s">
        <v>113</v>
      </c>
      <c r="L102" s="37" t="s">
        <v>2649</v>
      </c>
      <c r="M102" s="53"/>
    </row>
    <row r="103" spans="1:13" ht="20.100000000000001" customHeight="1" x14ac:dyDescent="0.25">
      <c r="A103" s="49">
        <v>96</v>
      </c>
      <c r="B103" s="55">
        <v>45426</v>
      </c>
      <c r="C103" s="36" t="str">
        <f>UPPER(TEXT(Dados_Cursos[[#This Row],[Data]],"mmm"))</f>
        <v>MAI</v>
      </c>
      <c r="D103" s="52" t="s">
        <v>1340</v>
      </c>
      <c r="E103" s="49" t="str">
        <f>VLOOKUP(Dados_Cursos[[#This Row],[ID]],Apoio!A96:H1096,2,0)</f>
        <v>josé.silva96@gmail.com</v>
      </c>
      <c r="F103" s="36" t="s">
        <v>212</v>
      </c>
      <c r="G103" s="36" t="s">
        <v>2666</v>
      </c>
      <c r="H103" s="38">
        <v>800</v>
      </c>
      <c r="I103" s="49">
        <v>8</v>
      </c>
      <c r="J103" s="49" t="str">
        <f>VLOOKUP(Dados_Cursos[[#This Row],[ID]],Apoio!A96:H1096,4,0)</f>
        <v>Cuando</v>
      </c>
      <c r="K103" s="37" t="s">
        <v>112</v>
      </c>
      <c r="L103" s="37" t="s">
        <v>109</v>
      </c>
      <c r="M103" s="53"/>
    </row>
    <row r="104" spans="1:13" ht="20.100000000000001" customHeight="1" x14ac:dyDescent="0.25">
      <c r="A104" s="49">
        <v>97</v>
      </c>
      <c r="B104" s="55">
        <v>45361</v>
      </c>
      <c r="C104" s="36" t="str">
        <f>UPPER(TEXT(Dados_Cursos[[#This Row],[Data]],"mmm"))</f>
        <v>MAR</v>
      </c>
      <c r="D104" s="52" t="s">
        <v>1343</v>
      </c>
      <c r="E104" s="49" t="str">
        <f>VLOOKUP(Dados_Cursos[[#This Row],[ID]],Apoio!A97:H1097,2,0)</f>
        <v>rosa.tavares97@gmail.com</v>
      </c>
      <c r="F104" s="36" t="s">
        <v>213</v>
      </c>
      <c r="G104" s="36" t="s">
        <v>2666</v>
      </c>
      <c r="H104" s="38">
        <v>800</v>
      </c>
      <c r="I104" s="49">
        <v>11</v>
      </c>
      <c r="J104" s="49" t="str">
        <f>VLOOKUP(Dados_Cursos[[#This Row],[ID]],Apoio!A97:H1097,4,0)</f>
        <v>Cabinda</v>
      </c>
      <c r="K104" s="37" t="s">
        <v>112</v>
      </c>
      <c r="L104" s="37" t="s">
        <v>109</v>
      </c>
      <c r="M104" s="53"/>
    </row>
    <row r="105" spans="1:13" ht="20.100000000000001" customHeight="1" x14ac:dyDescent="0.25">
      <c r="A105" s="49">
        <v>98</v>
      </c>
      <c r="B105" s="55">
        <v>45346</v>
      </c>
      <c r="C105" s="36" t="str">
        <f>UPPER(TEXT(Dados_Cursos[[#This Row],[Data]],"mmm"))</f>
        <v>FEV</v>
      </c>
      <c r="D105" s="52" t="s">
        <v>1345</v>
      </c>
      <c r="E105" s="49" t="str">
        <f>VLOOKUP(Dados_Cursos[[#This Row],[ID]],Apoio!A98:H1098,2,0)</f>
        <v>pedro.martins98@gmail.com</v>
      </c>
      <c r="F105" s="36" t="s">
        <v>214</v>
      </c>
      <c r="G105" s="36" t="s">
        <v>2667</v>
      </c>
      <c r="H105" s="38">
        <v>1200</v>
      </c>
      <c r="I105" s="49">
        <v>14</v>
      </c>
      <c r="J105" s="49" t="str">
        <f>VLOOKUP(Dados_Cursos[[#This Row],[ID]],Apoio!A98:H1098,4,0)</f>
        <v>Benguela</v>
      </c>
      <c r="K105" s="37" t="s">
        <v>113</v>
      </c>
      <c r="L105" s="37" t="s">
        <v>111</v>
      </c>
      <c r="M105" s="53"/>
    </row>
    <row r="106" spans="1:13" ht="20.100000000000001" customHeight="1" x14ac:dyDescent="0.25">
      <c r="A106" s="49">
        <v>99</v>
      </c>
      <c r="B106" s="55">
        <v>45636</v>
      </c>
      <c r="C106" s="36" t="str">
        <f>UPPER(TEXT(Dados_Cursos[[#This Row],[Data]],"mmm"))</f>
        <v>DEZ</v>
      </c>
      <c r="D106" s="52" t="s">
        <v>1347</v>
      </c>
      <c r="E106" s="49" t="str">
        <f>VLOOKUP(Dados_Cursos[[#This Row],[ID]],Apoio!A99:H1099,2,0)</f>
        <v>carlos.soares99@gmail.com</v>
      </c>
      <c r="F106" s="36" t="s">
        <v>215</v>
      </c>
      <c r="G106" s="36" t="s">
        <v>2666</v>
      </c>
      <c r="H106" s="38">
        <v>800</v>
      </c>
      <c r="I106" s="49">
        <v>10</v>
      </c>
      <c r="J106" s="49" t="str">
        <f>VLOOKUP(Dados_Cursos[[#This Row],[ID]],Apoio!A99:H1099,4,0)</f>
        <v>Namibe</v>
      </c>
      <c r="K106" s="37" t="s">
        <v>112</v>
      </c>
      <c r="L106" s="37" t="s">
        <v>109</v>
      </c>
      <c r="M106" s="53"/>
    </row>
    <row r="107" spans="1:13" ht="20.100000000000001" customHeight="1" x14ac:dyDescent="0.25">
      <c r="A107" s="49">
        <v>100</v>
      </c>
      <c r="B107" s="55">
        <v>45311</v>
      </c>
      <c r="C107" s="36" t="str">
        <f>UPPER(TEXT(Dados_Cursos[[#This Row],[Data]],"mmm"))</f>
        <v>JAN</v>
      </c>
      <c r="D107" s="52" t="s">
        <v>1349</v>
      </c>
      <c r="E107" s="49" t="str">
        <f>VLOOKUP(Dados_Cursos[[#This Row],[ID]],Apoio!A100:H1100,2,0)</f>
        <v>adriano.lopes100@gmail.com</v>
      </c>
      <c r="F107" s="36" t="s">
        <v>216</v>
      </c>
      <c r="G107" s="36" t="s">
        <v>2666</v>
      </c>
      <c r="H107" s="38">
        <v>800</v>
      </c>
      <c r="I107" s="49">
        <v>1</v>
      </c>
      <c r="J107" s="49" t="str">
        <f>VLOOKUP(Dados_Cursos[[#This Row],[ID]],Apoio!A100:H1100,4,0)</f>
        <v>Bengo</v>
      </c>
      <c r="K107" s="37" t="s">
        <v>112</v>
      </c>
      <c r="L107" s="37" t="s">
        <v>109</v>
      </c>
      <c r="M107" s="53"/>
    </row>
    <row r="108" spans="1:13" ht="20.100000000000001" customHeight="1" x14ac:dyDescent="0.25">
      <c r="A108" s="49">
        <v>101</v>
      </c>
      <c r="B108" s="55">
        <v>45354</v>
      </c>
      <c r="C108" s="36" t="str">
        <f>UPPER(TEXT(Dados_Cursos[[#This Row],[Data]],"mmm"))</f>
        <v>MAR</v>
      </c>
      <c r="D108" s="52" t="s">
        <v>1351</v>
      </c>
      <c r="E108" s="49" t="str">
        <f>VLOOKUP(Dados_Cursos[[#This Row],[ID]],Apoio!A101:H1101,2,0)</f>
        <v>daniel.miguel101@gmail.com</v>
      </c>
      <c r="F108" s="36" t="s">
        <v>217</v>
      </c>
      <c r="G108" s="36" t="s">
        <v>2666</v>
      </c>
      <c r="H108" s="38">
        <v>1500</v>
      </c>
      <c r="I108" s="49">
        <v>16</v>
      </c>
      <c r="J108" s="49" t="str">
        <f>VLOOKUP(Dados_Cursos[[#This Row],[ID]],Apoio!A101:H1101,4,0)</f>
        <v>Namibe</v>
      </c>
      <c r="K108" s="37" t="s">
        <v>113</v>
      </c>
      <c r="L108" s="37" t="s">
        <v>110</v>
      </c>
      <c r="M108" s="53"/>
    </row>
    <row r="109" spans="1:13" ht="20.100000000000001" customHeight="1" x14ac:dyDescent="0.25">
      <c r="A109" s="49">
        <v>102</v>
      </c>
      <c r="B109" s="55">
        <v>45339</v>
      </c>
      <c r="C109" s="36" t="str">
        <f>UPPER(TEXT(Dados_Cursos[[#This Row],[Data]],"mmm"))</f>
        <v>FEV</v>
      </c>
      <c r="D109" s="52" t="s">
        <v>1353</v>
      </c>
      <c r="E109" s="49" t="str">
        <f>VLOOKUP(Dados_Cursos[[#This Row],[ID]],Apoio!A102:H1102,2,0)</f>
        <v>rui.rodrigues102@gmail.com</v>
      </c>
      <c r="F109" s="36" t="s">
        <v>218</v>
      </c>
      <c r="G109" s="36" t="s">
        <v>2666</v>
      </c>
      <c r="H109" s="38">
        <v>1500</v>
      </c>
      <c r="I109" s="49">
        <v>10</v>
      </c>
      <c r="J109" s="49" t="str">
        <f>VLOOKUP(Dados_Cursos[[#This Row],[ID]],Apoio!A102:H1102,4,0)</f>
        <v>Huíla</v>
      </c>
      <c r="K109" s="37" t="s">
        <v>113</v>
      </c>
      <c r="L109" s="37" t="s">
        <v>110</v>
      </c>
      <c r="M109" s="53"/>
    </row>
    <row r="110" spans="1:13" ht="20.100000000000001" customHeight="1" x14ac:dyDescent="0.25">
      <c r="A110" s="49">
        <v>103</v>
      </c>
      <c r="B110" s="55">
        <v>45452</v>
      </c>
      <c r="C110" s="36" t="str">
        <f>UPPER(TEXT(Dados_Cursos[[#This Row],[Data]],"mmm"))</f>
        <v>JUN</v>
      </c>
      <c r="D110" s="52" t="s">
        <v>1219</v>
      </c>
      <c r="E110" s="49" t="str">
        <f>VLOOKUP(Dados_Cursos[[#This Row],[ID]],Apoio!A103:H1103,2,0)</f>
        <v>paulo.martins103@gmail.com</v>
      </c>
      <c r="F110" s="36" t="s">
        <v>219</v>
      </c>
      <c r="G110" s="36" t="s">
        <v>2666</v>
      </c>
      <c r="H110" s="38">
        <v>800</v>
      </c>
      <c r="I110" s="49">
        <v>14</v>
      </c>
      <c r="J110" s="49" t="str">
        <f>VLOOKUP(Dados_Cursos[[#This Row],[ID]],Apoio!A103:H1103,4,0)</f>
        <v>Zaire</v>
      </c>
      <c r="K110" s="37" t="s">
        <v>113</v>
      </c>
      <c r="L110" s="37" t="s">
        <v>2649</v>
      </c>
      <c r="M110" s="53"/>
    </row>
    <row r="111" spans="1:13" ht="20.100000000000001" customHeight="1" x14ac:dyDescent="0.25">
      <c r="A111" s="49">
        <v>104</v>
      </c>
      <c r="B111" s="55">
        <v>45540</v>
      </c>
      <c r="C111" s="36" t="str">
        <f>UPPER(TEXT(Dados_Cursos[[#This Row],[Data]],"mmm"))</f>
        <v>SET</v>
      </c>
      <c r="D111" s="52" t="s">
        <v>1337</v>
      </c>
      <c r="E111" s="49" t="str">
        <f>VLOOKUP(Dados_Cursos[[#This Row],[ID]],Apoio!A104:H1104,2,0)</f>
        <v>sofia.lopes104@gmail.com</v>
      </c>
      <c r="F111" s="36" t="s">
        <v>220</v>
      </c>
      <c r="G111" s="36" t="s">
        <v>2666</v>
      </c>
      <c r="H111" s="38">
        <v>800</v>
      </c>
      <c r="I111" s="49">
        <v>19</v>
      </c>
      <c r="J111" s="49" t="str">
        <f>VLOOKUP(Dados_Cursos[[#This Row],[ID]],Apoio!A104:H1104,4,0)</f>
        <v>Moxico</v>
      </c>
      <c r="K111" s="37" t="s">
        <v>113</v>
      </c>
      <c r="L111" s="37" t="s">
        <v>2649</v>
      </c>
      <c r="M111" s="53"/>
    </row>
    <row r="112" spans="1:13" ht="20.100000000000001" customHeight="1" x14ac:dyDescent="0.25">
      <c r="A112" s="49">
        <v>105</v>
      </c>
      <c r="B112" s="55">
        <v>45621</v>
      </c>
      <c r="C112" s="36" t="str">
        <f>UPPER(TEXT(Dados_Cursos[[#This Row],[Data]],"mmm"))</f>
        <v>NOV</v>
      </c>
      <c r="D112" s="52" t="s">
        <v>1179</v>
      </c>
      <c r="E112" s="49" t="str">
        <f>VLOOKUP(Dados_Cursos[[#This Row],[ID]],Apoio!A105:H1105,2,0)</f>
        <v>bruno.lopes105@gmail.com</v>
      </c>
      <c r="F112" s="36" t="s">
        <v>221</v>
      </c>
      <c r="G112" s="36" t="s">
        <v>2666</v>
      </c>
      <c r="H112" s="38">
        <v>800</v>
      </c>
      <c r="I112" s="49">
        <v>16</v>
      </c>
      <c r="J112" s="49" t="str">
        <f>VLOOKUP(Dados_Cursos[[#This Row],[ID]],Apoio!A105:H1105,4,0)</f>
        <v>Lunda Sul</v>
      </c>
      <c r="K112" s="37" t="s">
        <v>112</v>
      </c>
      <c r="L112" s="37" t="s">
        <v>109</v>
      </c>
      <c r="M112" s="53"/>
    </row>
    <row r="113" spans="1:13" ht="20.100000000000001" customHeight="1" x14ac:dyDescent="0.25">
      <c r="A113" s="49">
        <v>106</v>
      </c>
      <c r="B113" s="55">
        <v>45349</v>
      </c>
      <c r="C113" s="36" t="str">
        <f>UPPER(TEXT(Dados_Cursos[[#This Row],[Data]],"mmm"))</f>
        <v>FEV</v>
      </c>
      <c r="D113" s="52" t="s">
        <v>1358</v>
      </c>
      <c r="E113" s="49" t="str">
        <f>VLOOKUP(Dados_Cursos[[#This Row],[ID]],Apoio!A106:H1106,2,0)</f>
        <v>joão.lopes106@gmail.com</v>
      </c>
      <c r="F113" s="36" t="s">
        <v>222</v>
      </c>
      <c r="G113" s="36" t="s">
        <v>2666</v>
      </c>
      <c r="H113" s="38">
        <v>800</v>
      </c>
      <c r="I113" s="49">
        <v>16</v>
      </c>
      <c r="J113" s="49" t="str">
        <f>VLOOKUP(Dados_Cursos[[#This Row],[ID]],Apoio!A106:H1106,4,0)</f>
        <v>Moxico Leste</v>
      </c>
      <c r="K113" s="37" t="s">
        <v>112</v>
      </c>
      <c r="L113" s="37" t="s">
        <v>109</v>
      </c>
      <c r="M113" s="53"/>
    </row>
    <row r="114" spans="1:13" ht="20.100000000000001" customHeight="1" x14ac:dyDescent="0.25">
      <c r="A114" s="49">
        <v>107</v>
      </c>
      <c r="B114" s="55">
        <v>45528</v>
      </c>
      <c r="C114" s="36" t="str">
        <f>UPPER(TEXT(Dados_Cursos[[#This Row],[Data]],"mmm"))</f>
        <v>AGO</v>
      </c>
      <c r="D114" s="52" t="s">
        <v>1360</v>
      </c>
      <c r="E114" s="49" t="str">
        <f>VLOOKUP(Dados_Cursos[[#This Row],[ID]],Apoio!A107:H1107,2,0)</f>
        <v>francisco.miguel107@gmail.com</v>
      </c>
      <c r="F114" s="36" t="s">
        <v>223</v>
      </c>
      <c r="G114" s="36" t="s">
        <v>2666</v>
      </c>
      <c r="H114" s="38">
        <v>800</v>
      </c>
      <c r="I114" s="49">
        <v>5</v>
      </c>
      <c r="J114" s="49" t="str">
        <f>VLOOKUP(Dados_Cursos[[#This Row],[ID]],Apoio!A107:H1107,4,0)</f>
        <v>Cuando</v>
      </c>
      <c r="K114" s="37" t="s">
        <v>112</v>
      </c>
      <c r="L114" s="37" t="s">
        <v>109</v>
      </c>
      <c r="M114" s="53"/>
    </row>
    <row r="115" spans="1:13" ht="20.100000000000001" customHeight="1" x14ac:dyDescent="0.25">
      <c r="A115" s="49">
        <v>108</v>
      </c>
      <c r="B115" s="55">
        <v>45405</v>
      </c>
      <c r="C115" s="36" t="str">
        <f>UPPER(TEXT(Dados_Cursos[[#This Row],[Data]],"mmm"))</f>
        <v>ABR</v>
      </c>
      <c r="D115" s="52" t="s">
        <v>1265</v>
      </c>
      <c r="E115" s="49" t="str">
        <f>VLOOKUP(Dados_Cursos[[#This Row],[ID]],Apoio!A108:H1108,2,0)</f>
        <v>manuel.costa108@gmail.com</v>
      </c>
      <c r="F115" s="36" t="s">
        <v>224</v>
      </c>
      <c r="G115" s="36" t="s">
        <v>2666</v>
      </c>
      <c r="H115" s="38">
        <v>800</v>
      </c>
      <c r="I115" s="49">
        <v>19</v>
      </c>
      <c r="J115" s="49" t="str">
        <f>VLOOKUP(Dados_Cursos[[#This Row],[ID]],Apoio!A108:H1108,4,0)</f>
        <v>Lunda Norte</v>
      </c>
      <c r="K115" s="37" t="s">
        <v>113</v>
      </c>
      <c r="L115" s="37" t="s">
        <v>2649</v>
      </c>
      <c r="M115" s="53"/>
    </row>
    <row r="116" spans="1:13" ht="20.100000000000001" customHeight="1" x14ac:dyDescent="0.25">
      <c r="A116" s="49">
        <v>109</v>
      </c>
      <c r="B116" s="55">
        <v>45456</v>
      </c>
      <c r="C116" s="36" t="str">
        <f>UPPER(TEXT(Dados_Cursos[[#This Row],[Data]],"mmm"))</f>
        <v>JUN</v>
      </c>
      <c r="D116" s="52" t="s">
        <v>1363</v>
      </c>
      <c r="E116" s="49" t="str">
        <f>VLOOKUP(Dados_Cursos[[#This Row],[ID]],Apoio!A109:H1109,2,0)</f>
        <v>helena.andrade109@gmail.com</v>
      </c>
      <c r="F116" s="36" t="s">
        <v>225</v>
      </c>
      <c r="G116" s="36" t="s">
        <v>2667</v>
      </c>
      <c r="H116" s="38">
        <v>1200</v>
      </c>
      <c r="I116" s="49">
        <v>16</v>
      </c>
      <c r="J116" s="49" t="str">
        <f>VLOOKUP(Dados_Cursos[[#This Row],[ID]],Apoio!A109:H1109,4,0)</f>
        <v>Icolo e Bengo</v>
      </c>
      <c r="K116" s="37" t="s">
        <v>113</v>
      </c>
      <c r="L116" s="37" t="s">
        <v>111</v>
      </c>
      <c r="M116" s="53"/>
    </row>
    <row r="117" spans="1:13" ht="20.100000000000001" customHeight="1" x14ac:dyDescent="0.25">
      <c r="A117" s="49">
        <v>110</v>
      </c>
      <c r="B117" s="55">
        <v>45357</v>
      </c>
      <c r="C117" s="36" t="str">
        <f>UPPER(TEXT(Dados_Cursos[[#This Row],[Data]],"mmm"))</f>
        <v>MAR</v>
      </c>
      <c r="D117" s="52" t="s">
        <v>1365</v>
      </c>
      <c r="E117" s="49" t="str">
        <f>VLOOKUP(Dados_Cursos[[#This Row],[ID]],Apoio!A110:H1110,2,0)</f>
        <v>maria.silva110@gmail.com</v>
      </c>
      <c r="F117" s="36" t="s">
        <v>226</v>
      </c>
      <c r="G117" s="36" t="s">
        <v>2666</v>
      </c>
      <c r="H117" s="38">
        <v>1500</v>
      </c>
      <c r="I117" s="49">
        <v>13</v>
      </c>
      <c r="J117" s="49" t="str">
        <f>VLOOKUP(Dados_Cursos[[#This Row],[ID]],Apoio!A110:H1110,4,0)</f>
        <v>Lunda Norte</v>
      </c>
      <c r="K117" s="37" t="s">
        <v>113</v>
      </c>
      <c r="L117" s="37" t="s">
        <v>2649</v>
      </c>
      <c r="M117" s="53"/>
    </row>
    <row r="118" spans="1:13" ht="20.100000000000001" customHeight="1" x14ac:dyDescent="0.25">
      <c r="A118" s="49">
        <v>111</v>
      </c>
      <c r="B118" s="55">
        <v>45448</v>
      </c>
      <c r="C118" s="36" t="str">
        <f>UPPER(TEXT(Dados_Cursos[[#This Row],[Data]],"mmm"))</f>
        <v>JUN</v>
      </c>
      <c r="D118" s="52" t="s">
        <v>1367</v>
      </c>
      <c r="E118" s="49" t="str">
        <f>VLOOKUP(Dados_Cursos[[#This Row],[ID]],Apoio!A111:H1111,2,0)</f>
        <v>rosa.miguel111@gmail.com</v>
      </c>
      <c r="F118" s="36" t="s">
        <v>227</v>
      </c>
      <c r="G118" s="36" t="s">
        <v>2666</v>
      </c>
      <c r="H118" s="38">
        <v>1500</v>
      </c>
      <c r="I118" s="49">
        <v>12</v>
      </c>
      <c r="J118" s="49" t="str">
        <f>VLOOKUP(Dados_Cursos[[#This Row],[ID]],Apoio!A111:H1111,4,0)</f>
        <v>Cubango</v>
      </c>
      <c r="K118" s="37" t="s">
        <v>113</v>
      </c>
      <c r="L118" s="37" t="s">
        <v>2649</v>
      </c>
      <c r="M118" s="53"/>
    </row>
    <row r="119" spans="1:13" ht="20.100000000000001" customHeight="1" x14ac:dyDescent="0.25">
      <c r="A119" s="49">
        <v>112</v>
      </c>
      <c r="B119" s="55">
        <v>45362</v>
      </c>
      <c r="C119" s="36" t="str">
        <f>UPPER(TEXT(Dados_Cursos[[#This Row],[Data]],"mmm"))</f>
        <v>MAR</v>
      </c>
      <c r="D119" s="52" t="s">
        <v>1369</v>
      </c>
      <c r="E119" s="49" t="str">
        <f>VLOOKUP(Dados_Cursos[[#This Row],[ID]],Apoio!A112:H1112,2,0)</f>
        <v>joaquim.andrade112@gmail.com</v>
      </c>
      <c r="F119" s="36" t="s">
        <v>228</v>
      </c>
      <c r="G119" s="36" t="s">
        <v>2666</v>
      </c>
      <c r="H119" s="38">
        <v>800</v>
      </c>
      <c r="I119" s="49">
        <v>20</v>
      </c>
      <c r="J119" s="49" t="str">
        <f>VLOOKUP(Dados_Cursos[[#This Row],[ID]],Apoio!A112:H1112,4,0)</f>
        <v>Cubango</v>
      </c>
      <c r="K119" s="37" t="s">
        <v>113</v>
      </c>
      <c r="L119" s="37" t="s">
        <v>2649</v>
      </c>
      <c r="M119" s="53"/>
    </row>
    <row r="120" spans="1:13" ht="20.100000000000001" customHeight="1" x14ac:dyDescent="0.25">
      <c r="A120" s="49">
        <v>113</v>
      </c>
      <c r="B120" s="55">
        <v>45493</v>
      </c>
      <c r="C120" s="36" t="str">
        <f>UPPER(TEXT(Dados_Cursos[[#This Row],[Data]],"mmm"))</f>
        <v>JUL</v>
      </c>
      <c r="D120" s="52" t="s">
        <v>1371</v>
      </c>
      <c r="E120" s="49" t="str">
        <f>VLOOKUP(Dados_Cursos[[#This Row],[ID]],Apoio!A113:H1113,2,0)</f>
        <v>fátima.lopes113@gmail.com</v>
      </c>
      <c r="F120" s="36" t="s">
        <v>229</v>
      </c>
      <c r="G120" s="36" t="s">
        <v>2666</v>
      </c>
      <c r="H120" s="38">
        <v>1500</v>
      </c>
      <c r="I120" s="49">
        <v>3</v>
      </c>
      <c r="J120" s="49" t="str">
        <f>VLOOKUP(Dados_Cursos[[#This Row],[ID]],Apoio!A113:H1113,4,0)</f>
        <v>Icolo e Bengo</v>
      </c>
      <c r="K120" s="37" t="s">
        <v>113</v>
      </c>
      <c r="L120" s="37" t="s">
        <v>2649</v>
      </c>
      <c r="M120" s="53"/>
    </row>
    <row r="121" spans="1:13" ht="20.100000000000001" customHeight="1" x14ac:dyDescent="0.25">
      <c r="A121" s="49">
        <v>114</v>
      </c>
      <c r="B121" s="55">
        <v>45340</v>
      </c>
      <c r="C121" s="36" t="str">
        <f>UPPER(TEXT(Dados_Cursos[[#This Row],[Data]],"mmm"))</f>
        <v>FEV</v>
      </c>
      <c r="D121" s="52" t="s">
        <v>1373</v>
      </c>
      <c r="E121" s="49" t="str">
        <f>VLOOKUP(Dados_Cursos[[#This Row],[ID]],Apoio!A114:H1114,2,0)</f>
        <v>david.costa114@gmail.com</v>
      </c>
      <c r="F121" s="36" t="s">
        <v>230</v>
      </c>
      <c r="G121" s="36" t="s">
        <v>2666</v>
      </c>
      <c r="H121" s="38">
        <v>800</v>
      </c>
      <c r="I121" s="49">
        <v>10</v>
      </c>
      <c r="J121" s="49" t="str">
        <f>VLOOKUP(Dados_Cursos[[#This Row],[ID]],Apoio!A114:H1114,4,0)</f>
        <v>Cunene</v>
      </c>
      <c r="K121" s="37" t="s">
        <v>113</v>
      </c>
      <c r="L121" s="37" t="s">
        <v>110</v>
      </c>
      <c r="M121" s="53"/>
    </row>
    <row r="122" spans="1:13" ht="20.100000000000001" customHeight="1" x14ac:dyDescent="0.25">
      <c r="A122" s="49">
        <v>115</v>
      </c>
      <c r="B122" s="55">
        <v>45314</v>
      </c>
      <c r="C122" s="36" t="str">
        <f>UPPER(TEXT(Dados_Cursos[[#This Row],[Data]],"mmm"))</f>
        <v>JAN</v>
      </c>
      <c r="D122" s="52" t="s">
        <v>1375</v>
      </c>
      <c r="E122" s="49" t="str">
        <f>VLOOKUP(Dados_Cursos[[#This Row],[ID]],Apoio!A115:H1115,2,0)</f>
        <v>teresa.rodrigues115@gmail.com</v>
      </c>
      <c r="F122" s="36" t="s">
        <v>231</v>
      </c>
      <c r="G122" s="36" t="s">
        <v>2666</v>
      </c>
      <c r="H122" s="38">
        <v>800</v>
      </c>
      <c r="I122" s="49">
        <v>9</v>
      </c>
      <c r="J122" s="49" t="str">
        <f>VLOOKUP(Dados_Cursos[[#This Row],[ID]],Apoio!A115:H1115,4,0)</f>
        <v>Zaire</v>
      </c>
      <c r="K122" s="37" t="s">
        <v>113</v>
      </c>
      <c r="L122" s="37" t="s">
        <v>2649</v>
      </c>
      <c r="M122" s="53"/>
    </row>
    <row r="123" spans="1:13" ht="20.100000000000001" customHeight="1" x14ac:dyDescent="0.25">
      <c r="A123" s="49">
        <v>116</v>
      </c>
      <c r="B123" s="55">
        <v>45394</v>
      </c>
      <c r="C123" s="36" t="str">
        <f>UPPER(TEXT(Dados_Cursos[[#This Row],[Data]],"mmm"))</f>
        <v>ABR</v>
      </c>
      <c r="D123" s="52" t="s">
        <v>1353</v>
      </c>
      <c r="E123" s="49" t="str">
        <f>VLOOKUP(Dados_Cursos[[#This Row],[ID]],Apoio!A116:H1116,2,0)</f>
        <v>rui.rodrigues116@gmail.com</v>
      </c>
      <c r="F123" s="36" t="s">
        <v>232</v>
      </c>
      <c r="G123" s="36" t="s">
        <v>2666</v>
      </c>
      <c r="H123" s="38">
        <v>1500</v>
      </c>
      <c r="I123" s="49">
        <v>18</v>
      </c>
      <c r="J123" s="49" t="str">
        <f>VLOOKUP(Dados_Cursos[[#This Row],[ID]],Apoio!A116:H1116,4,0)</f>
        <v>Lunda Norte</v>
      </c>
      <c r="K123" s="37" t="s">
        <v>112</v>
      </c>
      <c r="L123" s="37" t="s">
        <v>109</v>
      </c>
      <c r="M123" s="53"/>
    </row>
    <row r="124" spans="1:13" ht="20.100000000000001" customHeight="1" x14ac:dyDescent="0.25">
      <c r="A124" s="49">
        <v>117</v>
      </c>
      <c r="B124" s="55">
        <v>45646</v>
      </c>
      <c r="C124" s="36" t="str">
        <f>UPPER(TEXT(Dados_Cursos[[#This Row],[Data]],"mmm"))</f>
        <v>DEZ</v>
      </c>
      <c r="D124" s="52" t="s">
        <v>1378</v>
      </c>
      <c r="E124" s="49" t="str">
        <f>VLOOKUP(Dados_Cursos[[#This Row],[ID]],Apoio!A117:H1117,2,0)</f>
        <v>domingos.silva117@gmail.com</v>
      </c>
      <c r="F124" s="36" t="s">
        <v>233</v>
      </c>
      <c r="G124" s="36" t="s">
        <v>2666</v>
      </c>
      <c r="H124" s="38">
        <v>800</v>
      </c>
      <c r="I124" s="49">
        <v>8</v>
      </c>
      <c r="J124" s="49" t="str">
        <f>VLOOKUP(Dados_Cursos[[#This Row],[ID]],Apoio!A117:H1117,4,0)</f>
        <v>Moxico</v>
      </c>
      <c r="K124" s="37" t="s">
        <v>113</v>
      </c>
      <c r="L124" s="37" t="s">
        <v>111</v>
      </c>
      <c r="M124" s="53"/>
    </row>
    <row r="125" spans="1:13" ht="20.100000000000001" customHeight="1" x14ac:dyDescent="0.25">
      <c r="A125" s="49">
        <v>118</v>
      </c>
      <c r="B125" s="55">
        <v>45426</v>
      </c>
      <c r="C125" s="36" t="str">
        <f>UPPER(TEXT(Dados_Cursos[[#This Row],[Data]],"mmm"))</f>
        <v>MAI</v>
      </c>
      <c r="D125" s="52" t="s">
        <v>1380</v>
      </c>
      <c r="E125" s="49" t="str">
        <f>VLOOKUP(Dados_Cursos[[#This Row],[ID]],Apoio!A118:H1118,2,0)</f>
        <v>benedito.lopes118@gmail.com</v>
      </c>
      <c r="F125" s="36" t="s">
        <v>234</v>
      </c>
      <c r="G125" s="36" t="s">
        <v>2666</v>
      </c>
      <c r="H125" s="38">
        <v>1500</v>
      </c>
      <c r="I125" s="49">
        <v>4</v>
      </c>
      <c r="J125" s="49" t="str">
        <f>VLOOKUP(Dados_Cursos[[#This Row],[ID]],Apoio!A118:H1118,4,0)</f>
        <v>Namibe</v>
      </c>
      <c r="K125" s="37" t="s">
        <v>113</v>
      </c>
      <c r="L125" s="37" t="s">
        <v>111</v>
      </c>
      <c r="M125" s="53"/>
    </row>
    <row r="126" spans="1:13" ht="20.100000000000001" customHeight="1" x14ac:dyDescent="0.25">
      <c r="A126" s="49">
        <v>119</v>
      </c>
      <c r="B126" s="55">
        <v>45567</v>
      </c>
      <c r="C126" s="36" t="str">
        <f>UPPER(TEXT(Dados_Cursos[[#This Row],[Data]],"mmm"))</f>
        <v>OUT</v>
      </c>
      <c r="D126" s="52" t="s">
        <v>1317</v>
      </c>
      <c r="E126" s="49" t="str">
        <f>VLOOKUP(Dados_Cursos[[#This Row],[ID]],Apoio!A119:H1119,2,0)</f>
        <v>cláudia.gomes119@gmail.com</v>
      </c>
      <c r="F126" s="36" t="s">
        <v>235</v>
      </c>
      <c r="G126" s="36" t="s">
        <v>2667</v>
      </c>
      <c r="H126" s="38">
        <v>1200</v>
      </c>
      <c r="I126" s="49">
        <v>7</v>
      </c>
      <c r="J126" s="49" t="str">
        <f>VLOOKUP(Dados_Cursos[[#This Row],[ID]],Apoio!A119:H1119,4,0)</f>
        <v>Bengo</v>
      </c>
      <c r="K126" s="37" t="s">
        <v>113</v>
      </c>
      <c r="L126" s="37" t="s">
        <v>110</v>
      </c>
      <c r="M126" s="53"/>
    </row>
    <row r="127" spans="1:13" ht="20.100000000000001" customHeight="1" x14ac:dyDescent="0.25">
      <c r="A127" s="49">
        <v>120</v>
      </c>
      <c r="B127" s="55">
        <v>45439</v>
      </c>
      <c r="C127" s="36" t="str">
        <f>UPPER(TEXT(Dados_Cursos[[#This Row],[Data]],"mmm"))</f>
        <v>MAI</v>
      </c>
      <c r="D127" s="52" t="s">
        <v>1383</v>
      </c>
      <c r="E127" s="49" t="str">
        <f>VLOOKUP(Dados_Cursos[[#This Row],[ID]],Apoio!A120:H1120,2,0)</f>
        <v>sofia.pinto120@gmail.com</v>
      </c>
      <c r="F127" s="36" t="s">
        <v>236</v>
      </c>
      <c r="G127" s="36" t="s">
        <v>2666</v>
      </c>
      <c r="H127" s="38">
        <v>1500</v>
      </c>
      <c r="I127" s="49">
        <v>12</v>
      </c>
      <c r="J127" s="49" t="str">
        <f>VLOOKUP(Dados_Cursos[[#This Row],[ID]],Apoio!A120:H1120,4,0)</f>
        <v>Uíge</v>
      </c>
      <c r="K127" s="37" t="s">
        <v>113</v>
      </c>
      <c r="L127" s="37" t="s">
        <v>111</v>
      </c>
      <c r="M127" s="53"/>
    </row>
    <row r="128" spans="1:13" ht="20.100000000000001" customHeight="1" x14ac:dyDescent="0.25">
      <c r="A128" s="49">
        <v>121</v>
      </c>
      <c r="B128" s="55">
        <v>45647</v>
      </c>
      <c r="C128" s="36" t="str">
        <f>UPPER(TEXT(Dados_Cursos[[#This Row],[Data]],"mmm"))</f>
        <v>DEZ</v>
      </c>
      <c r="D128" s="52" t="s">
        <v>1214</v>
      </c>
      <c r="E128" s="49" t="str">
        <f>VLOOKUP(Dados_Cursos[[#This Row],[ID]],Apoio!A121:H1121,2,0)</f>
        <v>samuel.martins121@gmail.com</v>
      </c>
      <c r="F128" s="36" t="s">
        <v>237</v>
      </c>
      <c r="G128" s="36" t="s">
        <v>2666</v>
      </c>
      <c r="H128" s="38">
        <v>1500</v>
      </c>
      <c r="I128" s="49">
        <v>17</v>
      </c>
      <c r="J128" s="49" t="str">
        <f>VLOOKUP(Dados_Cursos[[#This Row],[ID]],Apoio!A121:H1121,4,0)</f>
        <v>Benguela</v>
      </c>
      <c r="K128" s="37" t="s">
        <v>113</v>
      </c>
      <c r="L128" s="37" t="s">
        <v>110</v>
      </c>
      <c r="M128" s="53"/>
    </row>
    <row r="129" spans="1:13" ht="20.100000000000001" customHeight="1" x14ac:dyDescent="0.25">
      <c r="A129" s="49">
        <v>122</v>
      </c>
      <c r="B129" s="55">
        <v>45542</v>
      </c>
      <c r="C129" s="36" t="str">
        <f>UPPER(TEXT(Dados_Cursos[[#This Row],[Data]],"mmm"))</f>
        <v>SET</v>
      </c>
      <c r="D129" s="52" t="s">
        <v>1386</v>
      </c>
      <c r="E129" s="49" t="str">
        <f>VLOOKUP(Dados_Cursos[[#This Row],[ID]],Apoio!A122:H1122,2,0)</f>
        <v>joão.monteiro122@gmail.com</v>
      </c>
      <c r="F129" s="36" t="s">
        <v>238</v>
      </c>
      <c r="G129" s="36" t="s">
        <v>2666</v>
      </c>
      <c r="H129" s="38">
        <v>800</v>
      </c>
      <c r="I129" s="49">
        <v>19</v>
      </c>
      <c r="J129" s="49" t="str">
        <f>VLOOKUP(Dados_Cursos[[#This Row],[ID]],Apoio!A122:H1122,4,0)</f>
        <v>Zaire</v>
      </c>
      <c r="K129" s="37" t="s">
        <v>113</v>
      </c>
      <c r="L129" s="37" t="s">
        <v>2649</v>
      </c>
      <c r="M129" s="53"/>
    </row>
    <row r="130" spans="1:13" ht="20.100000000000001" customHeight="1" x14ac:dyDescent="0.25">
      <c r="A130" s="49">
        <v>123</v>
      </c>
      <c r="B130" s="55">
        <v>45617</v>
      </c>
      <c r="C130" s="36" t="str">
        <f>UPPER(TEXT(Dados_Cursos[[#This Row],[Data]],"mmm"))</f>
        <v>NOV</v>
      </c>
      <c r="D130" s="52" t="s">
        <v>1388</v>
      </c>
      <c r="E130" s="49" t="str">
        <f>VLOOKUP(Dados_Cursos[[#This Row],[ID]],Apoio!A123:H1123,2,0)</f>
        <v>teresa.monteiro123@gmail.com</v>
      </c>
      <c r="F130" s="36" t="s">
        <v>239</v>
      </c>
      <c r="G130" s="36" t="s">
        <v>2666</v>
      </c>
      <c r="H130" s="38">
        <v>1500</v>
      </c>
      <c r="I130" s="49">
        <v>13</v>
      </c>
      <c r="J130" s="49" t="str">
        <f>VLOOKUP(Dados_Cursos[[#This Row],[ID]],Apoio!A123:H1123,4,0)</f>
        <v>Bengo</v>
      </c>
      <c r="K130" s="37" t="s">
        <v>112</v>
      </c>
      <c r="L130" s="37" t="s">
        <v>109</v>
      </c>
      <c r="M130" s="53"/>
    </row>
    <row r="131" spans="1:13" ht="20.100000000000001" customHeight="1" x14ac:dyDescent="0.25">
      <c r="A131" s="49">
        <v>124</v>
      </c>
      <c r="B131" s="55">
        <v>45590</v>
      </c>
      <c r="C131" s="36" t="str">
        <f>UPPER(TEXT(Dados_Cursos[[#This Row],[Data]],"mmm"))</f>
        <v>OUT</v>
      </c>
      <c r="D131" s="52" t="s">
        <v>1390</v>
      </c>
      <c r="E131" s="49" t="str">
        <f>VLOOKUP(Dados_Cursos[[#This Row],[ID]],Apoio!A124:H1124,2,0)</f>
        <v>luís.pinto124@gmail.com</v>
      </c>
      <c r="F131" s="36" t="s">
        <v>240</v>
      </c>
      <c r="G131" s="36" t="s">
        <v>2666</v>
      </c>
      <c r="H131" s="38">
        <v>1500</v>
      </c>
      <c r="I131" s="49">
        <v>14</v>
      </c>
      <c r="J131" s="49" t="str">
        <f>VLOOKUP(Dados_Cursos[[#This Row],[ID]],Apoio!A124:H1124,4,0)</f>
        <v>Zaire</v>
      </c>
      <c r="K131" s="37" t="s">
        <v>113</v>
      </c>
      <c r="L131" s="37" t="s">
        <v>2649</v>
      </c>
      <c r="M131" s="53"/>
    </row>
    <row r="132" spans="1:13" ht="20.100000000000001" customHeight="1" x14ac:dyDescent="0.25">
      <c r="A132" s="49">
        <v>125</v>
      </c>
      <c r="B132" s="55">
        <v>45381</v>
      </c>
      <c r="C132" s="36" t="str">
        <f>UPPER(TEXT(Dados_Cursos[[#This Row],[Data]],"mmm"))</f>
        <v>MAR</v>
      </c>
      <c r="D132" s="52" t="s">
        <v>1392</v>
      </c>
      <c r="E132" s="49" t="str">
        <f>VLOOKUP(Dados_Cursos[[#This Row],[ID]],Apoio!A125:H1125,2,0)</f>
        <v>helena.gomes125@gmail.com</v>
      </c>
      <c r="F132" s="36" t="s">
        <v>241</v>
      </c>
      <c r="G132" s="36" t="s">
        <v>2666</v>
      </c>
      <c r="H132" s="38">
        <v>800</v>
      </c>
      <c r="I132" s="49">
        <v>18</v>
      </c>
      <c r="J132" s="49" t="str">
        <f>VLOOKUP(Dados_Cursos[[#This Row],[ID]],Apoio!A125:H1125,4,0)</f>
        <v>Lunda Norte</v>
      </c>
      <c r="K132" s="37" t="s">
        <v>112</v>
      </c>
      <c r="L132" s="37" t="s">
        <v>109</v>
      </c>
      <c r="M132" s="53"/>
    </row>
    <row r="133" spans="1:13" ht="20.100000000000001" customHeight="1" x14ac:dyDescent="0.25">
      <c r="A133" s="49">
        <v>126</v>
      </c>
      <c r="B133" s="55">
        <v>45611</v>
      </c>
      <c r="C133" s="36" t="str">
        <f>UPPER(TEXT(Dados_Cursos[[#This Row],[Data]],"mmm"))</f>
        <v>NOV</v>
      </c>
      <c r="D133" s="52" t="s">
        <v>1394</v>
      </c>
      <c r="E133" s="49" t="str">
        <f>VLOOKUP(Dados_Cursos[[#This Row],[ID]],Apoio!A126:H1126,2,0)</f>
        <v>helena.pinto126@gmail.com</v>
      </c>
      <c r="F133" s="36" t="s">
        <v>242</v>
      </c>
      <c r="G133" s="36" t="s">
        <v>2666</v>
      </c>
      <c r="H133" s="38">
        <v>800</v>
      </c>
      <c r="I133" s="49">
        <v>12</v>
      </c>
      <c r="J133" s="49" t="str">
        <f>VLOOKUP(Dados_Cursos[[#This Row],[ID]],Apoio!A126:H1126,4,0)</f>
        <v>Icolo e Bengo</v>
      </c>
      <c r="K133" s="37" t="s">
        <v>113</v>
      </c>
      <c r="L133" s="37" t="s">
        <v>110</v>
      </c>
      <c r="M133" s="53"/>
    </row>
    <row r="134" spans="1:13" ht="20.100000000000001" customHeight="1" x14ac:dyDescent="0.25">
      <c r="A134" s="49">
        <v>127</v>
      </c>
      <c r="B134" s="55">
        <v>45580</v>
      </c>
      <c r="C134" s="36" t="str">
        <f>UPPER(TEXT(Dados_Cursos[[#This Row],[Data]],"mmm"))</f>
        <v>OUT</v>
      </c>
      <c r="D134" s="52" t="s">
        <v>1396</v>
      </c>
      <c r="E134" s="49" t="str">
        <f>VLOOKUP(Dados_Cursos[[#This Row],[ID]],Apoio!A127:H1127,2,0)</f>
        <v>rui.fernandes127@gmail.com</v>
      </c>
      <c r="F134" s="36" t="s">
        <v>243</v>
      </c>
      <c r="G134" s="36" t="s">
        <v>2666</v>
      </c>
      <c r="H134" s="38">
        <v>1500</v>
      </c>
      <c r="I134" s="49">
        <v>19</v>
      </c>
      <c r="J134" s="49" t="str">
        <f>VLOOKUP(Dados_Cursos[[#This Row],[ID]],Apoio!A127:H1127,4,0)</f>
        <v>Lunda Sul</v>
      </c>
      <c r="K134" s="37" t="s">
        <v>113</v>
      </c>
      <c r="L134" s="37" t="s">
        <v>2649</v>
      </c>
      <c r="M134" s="53"/>
    </row>
    <row r="135" spans="1:13" ht="20.100000000000001" customHeight="1" x14ac:dyDescent="0.25">
      <c r="A135" s="49">
        <v>128</v>
      </c>
      <c r="B135" s="55">
        <v>45315</v>
      </c>
      <c r="C135" s="36" t="str">
        <f>UPPER(TEXT(Dados_Cursos[[#This Row],[Data]],"mmm"))</f>
        <v>JAN</v>
      </c>
      <c r="D135" s="52" t="s">
        <v>1172</v>
      </c>
      <c r="E135" s="49" t="str">
        <f>VLOOKUP(Dados_Cursos[[#This Row],[ID]],Apoio!A128:H1128,2,0)</f>
        <v>marta.miguel128@gmail.com</v>
      </c>
      <c r="F135" s="36" t="s">
        <v>244</v>
      </c>
      <c r="G135" s="36" t="s">
        <v>2666</v>
      </c>
      <c r="H135" s="38">
        <v>800</v>
      </c>
      <c r="I135" s="49">
        <v>16</v>
      </c>
      <c r="J135" s="49" t="str">
        <f>VLOOKUP(Dados_Cursos[[#This Row],[ID]],Apoio!A128:H1128,4,0)</f>
        <v>Zaire</v>
      </c>
      <c r="K135" s="37" t="s">
        <v>113</v>
      </c>
      <c r="L135" s="37" t="s">
        <v>111</v>
      </c>
      <c r="M135" s="53"/>
    </row>
    <row r="136" spans="1:13" ht="20.100000000000001" customHeight="1" x14ac:dyDescent="0.25">
      <c r="A136" s="49">
        <v>129</v>
      </c>
      <c r="B136" s="55">
        <v>45626</v>
      </c>
      <c r="C136" s="36" t="str">
        <f>UPPER(TEXT(Dados_Cursos[[#This Row],[Data]],"mmm"))</f>
        <v>NOV</v>
      </c>
      <c r="D136" s="52" t="s">
        <v>1399</v>
      </c>
      <c r="E136" s="49" t="str">
        <f>VLOOKUP(Dados_Cursos[[#This Row],[ID]],Apoio!A129:H1129,2,0)</f>
        <v>luís.andrade129@gmail.com</v>
      </c>
      <c r="F136" s="36" t="s">
        <v>245</v>
      </c>
      <c r="G136" s="36" t="s">
        <v>2667</v>
      </c>
      <c r="H136" s="38">
        <v>1200</v>
      </c>
      <c r="I136" s="49">
        <v>5</v>
      </c>
      <c r="J136" s="49" t="str">
        <f>VLOOKUP(Dados_Cursos[[#This Row],[ID]],Apoio!A129:H1129,4,0)</f>
        <v>Lunda Norte</v>
      </c>
      <c r="K136" s="37" t="s">
        <v>113</v>
      </c>
      <c r="L136" s="37" t="s">
        <v>2649</v>
      </c>
      <c r="M136" s="53"/>
    </row>
    <row r="137" spans="1:13" ht="20.100000000000001" customHeight="1" x14ac:dyDescent="0.25">
      <c r="A137" s="49">
        <v>130</v>
      </c>
      <c r="B137" s="55">
        <v>45433</v>
      </c>
      <c r="C137" s="36" t="str">
        <f>UPPER(TEXT(Dados_Cursos[[#This Row],[Data]],"mmm"))</f>
        <v>MAI</v>
      </c>
      <c r="D137" s="52" t="s">
        <v>1401</v>
      </c>
      <c r="E137" s="49" t="str">
        <f>VLOOKUP(Dados_Cursos[[#This Row],[ID]],Apoio!A130:H1130,2,0)</f>
        <v>carlos.santos130@gmail.com</v>
      </c>
      <c r="F137" s="36" t="s">
        <v>246</v>
      </c>
      <c r="G137" s="36" t="s">
        <v>2666</v>
      </c>
      <c r="H137" s="38">
        <v>1500</v>
      </c>
      <c r="I137" s="49">
        <v>13</v>
      </c>
      <c r="J137" s="49" t="str">
        <f>VLOOKUP(Dados_Cursos[[#This Row],[ID]],Apoio!A130:H1130,4,0)</f>
        <v>Moxico Leste</v>
      </c>
      <c r="K137" s="37" t="s">
        <v>112</v>
      </c>
      <c r="L137" s="37" t="s">
        <v>109</v>
      </c>
      <c r="M137" s="53"/>
    </row>
    <row r="138" spans="1:13" ht="20.100000000000001" customHeight="1" x14ac:dyDescent="0.25">
      <c r="A138" s="49">
        <v>131</v>
      </c>
      <c r="B138" s="55">
        <v>45641</v>
      </c>
      <c r="C138" s="36" t="str">
        <f>UPPER(TEXT(Dados_Cursos[[#This Row],[Data]],"mmm"))</f>
        <v>DEZ</v>
      </c>
      <c r="D138" s="52" t="s">
        <v>1199</v>
      </c>
      <c r="E138" s="49" t="str">
        <f>VLOOKUP(Dados_Cursos[[#This Row],[ID]],Apoio!A131:H1131,2,0)</f>
        <v>rui.domingues131@gmail.com</v>
      </c>
      <c r="F138" s="36" t="s">
        <v>247</v>
      </c>
      <c r="G138" s="36" t="s">
        <v>2666</v>
      </c>
      <c r="H138" s="38">
        <v>800</v>
      </c>
      <c r="I138" s="49">
        <v>13</v>
      </c>
      <c r="J138" s="49" t="str">
        <f>VLOOKUP(Dados_Cursos[[#This Row],[ID]],Apoio!A131:H1131,4,0)</f>
        <v>Moxico</v>
      </c>
      <c r="K138" s="37" t="s">
        <v>112</v>
      </c>
      <c r="L138" s="37" t="s">
        <v>109</v>
      </c>
      <c r="M138" s="53"/>
    </row>
    <row r="139" spans="1:13" ht="20.100000000000001" customHeight="1" x14ac:dyDescent="0.25">
      <c r="A139" s="49">
        <v>132</v>
      </c>
      <c r="B139" s="55">
        <v>45524</v>
      </c>
      <c r="C139" s="36" t="str">
        <f>UPPER(TEXT(Dados_Cursos[[#This Row],[Data]],"mmm"))</f>
        <v>AGO</v>
      </c>
      <c r="D139" s="52" t="s">
        <v>1404</v>
      </c>
      <c r="E139" s="49" t="str">
        <f>VLOOKUP(Dados_Cursos[[#This Row],[ID]],Apoio!A132:H1132,2,0)</f>
        <v>sofia.monteiro132@gmail.com</v>
      </c>
      <c r="F139" s="36" t="s">
        <v>248</v>
      </c>
      <c r="G139" s="36" t="s">
        <v>2667</v>
      </c>
      <c r="H139" s="38">
        <v>1200</v>
      </c>
      <c r="I139" s="49">
        <v>8</v>
      </c>
      <c r="J139" s="49" t="str">
        <f>VLOOKUP(Dados_Cursos[[#This Row],[ID]],Apoio!A132:H1132,4,0)</f>
        <v>Icolo e Bengo</v>
      </c>
      <c r="K139" s="37" t="s">
        <v>113</v>
      </c>
      <c r="L139" s="37" t="s">
        <v>2649</v>
      </c>
      <c r="M139" s="53"/>
    </row>
    <row r="140" spans="1:13" ht="20.100000000000001" customHeight="1" x14ac:dyDescent="0.25">
      <c r="A140" s="49">
        <v>133</v>
      </c>
      <c r="B140" s="55">
        <v>45414</v>
      </c>
      <c r="C140" s="36" t="str">
        <f>UPPER(TEXT(Dados_Cursos[[#This Row],[Data]],"mmm"))</f>
        <v>MAI</v>
      </c>
      <c r="D140" s="52" t="s">
        <v>1406</v>
      </c>
      <c r="E140" s="49" t="str">
        <f>VLOOKUP(Dados_Cursos[[#This Row],[ID]],Apoio!A133:H1133,2,0)</f>
        <v>rosa.lopes133@gmail.com</v>
      </c>
      <c r="F140" s="36" t="s">
        <v>249</v>
      </c>
      <c r="G140" s="36" t="s">
        <v>2666</v>
      </c>
      <c r="H140" s="38">
        <v>800</v>
      </c>
      <c r="I140" s="49">
        <v>1</v>
      </c>
      <c r="J140" s="49" t="str">
        <f>VLOOKUP(Dados_Cursos[[#This Row],[ID]],Apoio!A133:H1133,4,0)</f>
        <v>Cunene</v>
      </c>
      <c r="K140" s="37" t="s">
        <v>113</v>
      </c>
      <c r="L140" s="37" t="s">
        <v>2649</v>
      </c>
      <c r="M140" s="53"/>
    </row>
    <row r="141" spans="1:13" ht="20.100000000000001" customHeight="1" x14ac:dyDescent="0.25">
      <c r="A141" s="49">
        <v>134</v>
      </c>
      <c r="B141" s="55">
        <v>45475</v>
      </c>
      <c r="C141" s="36" t="str">
        <f>UPPER(TEXT(Dados_Cursos[[#This Row],[Data]],"mmm"))</f>
        <v>JUL</v>
      </c>
      <c r="D141" s="52" t="s">
        <v>1408</v>
      </c>
      <c r="E141" s="49" t="str">
        <f>VLOOKUP(Dados_Cursos[[#This Row],[ID]],Apoio!A134:H1134,2,0)</f>
        <v>david.martins134@gmail.com</v>
      </c>
      <c r="F141" s="36" t="s">
        <v>250</v>
      </c>
      <c r="G141" s="36" t="s">
        <v>2666</v>
      </c>
      <c r="H141" s="38">
        <v>1500</v>
      </c>
      <c r="I141" s="49">
        <v>17</v>
      </c>
      <c r="J141" s="49" t="str">
        <f>VLOOKUP(Dados_Cursos[[#This Row],[ID]],Apoio!A134:H1134,4,0)</f>
        <v>Huambo</v>
      </c>
      <c r="K141" s="37" t="s">
        <v>113</v>
      </c>
      <c r="L141" s="37" t="s">
        <v>111</v>
      </c>
      <c r="M141" s="53"/>
    </row>
    <row r="142" spans="1:13" ht="20.100000000000001" customHeight="1" x14ac:dyDescent="0.25">
      <c r="A142" s="49">
        <v>135</v>
      </c>
      <c r="B142" s="55">
        <v>45511</v>
      </c>
      <c r="C142" s="36" t="str">
        <f>UPPER(TEXT(Dados_Cursos[[#This Row],[Data]],"mmm"))</f>
        <v>AGO</v>
      </c>
      <c r="D142" s="52" t="s">
        <v>1410</v>
      </c>
      <c r="E142" s="49" t="str">
        <f>VLOOKUP(Dados_Cursos[[#This Row],[ID]],Apoio!A135:H1135,2,0)</f>
        <v>francisco.pereira135@gmail.com</v>
      </c>
      <c r="F142" s="36" t="s">
        <v>251</v>
      </c>
      <c r="G142" s="36" t="s">
        <v>2667</v>
      </c>
      <c r="H142" s="38">
        <v>1200</v>
      </c>
      <c r="I142" s="49">
        <v>17</v>
      </c>
      <c r="J142" s="49" t="str">
        <f>VLOOKUP(Dados_Cursos[[#This Row],[ID]],Apoio!A135:H1135,4,0)</f>
        <v>Bié</v>
      </c>
      <c r="K142" s="37" t="s">
        <v>113</v>
      </c>
      <c r="L142" s="37" t="s">
        <v>2649</v>
      </c>
      <c r="M142" s="53"/>
    </row>
    <row r="143" spans="1:13" ht="20.100000000000001" customHeight="1" x14ac:dyDescent="0.25">
      <c r="A143" s="49">
        <v>136</v>
      </c>
      <c r="B143" s="55">
        <v>45439</v>
      </c>
      <c r="C143" s="36" t="str">
        <f>UPPER(TEXT(Dados_Cursos[[#This Row],[Data]],"mmm"))</f>
        <v>MAI</v>
      </c>
      <c r="D143" s="52" t="s">
        <v>1412</v>
      </c>
      <c r="E143" s="49" t="str">
        <f>VLOOKUP(Dados_Cursos[[#This Row],[ID]],Apoio!A136:H1136,2,0)</f>
        <v>francisco.almeida136@gmail.com</v>
      </c>
      <c r="F143" s="36" t="s">
        <v>252</v>
      </c>
      <c r="G143" s="36" t="s">
        <v>2666</v>
      </c>
      <c r="H143" s="38">
        <v>800</v>
      </c>
      <c r="I143" s="49">
        <v>16</v>
      </c>
      <c r="J143" s="49" t="str">
        <f>VLOOKUP(Dados_Cursos[[#This Row],[ID]],Apoio!A136:H1136,4,0)</f>
        <v>Malanje</v>
      </c>
      <c r="K143" s="37" t="s">
        <v>113</v>
      </c>
      <c r="L143" s="37" t="s">
        <v>111</v>
      </c>
      <c r="M143" s="53"/>
    </row>
    <row r="144" spans="1:13" ht="20.100000000000001" customHeight="1" x14ac:dyDescent="0.25">
      <c r="A144" s="49">
        <v>137</v>
      </c>
      <c r="B144" s="55">
        <v>45631</v>
      </c>
      <c r="C144" s="36" t="str">
        <f>UPPER(TEXT(Dados_Cursos[[#This Row],[Data]],"mmm"))</f>
        <v>DEZ</v>
      </c>
      <c r="D144" s="52" t="s">
        <v>1414</v>
      </c>
      <c r="E144" s="49" t="str">
        <f>VLOOKUP(Dados_Cursos[[#This Row],[ID]],Apoio!A137:H1137,2,0)</f>
        <v>manuel.lopes137@gmail.com</v>
      </c>
      <c r="F144" s="36" t="s">
        <v>253</v>
      </c>
      <c r="G144" s="36" t="s">
        <v>2666</v>
      </c>
      <c r="H144" s="38">
        <v>1500</v>
      </c>
      <c r="I144" s="49">
        <v>11</v>
      </c>
      <c r="J144" s="49" t="str">
        <f>VLOOKUP(Dados_Cursos[[#This Row],[ID]],Apoio!A137:H1137,4,0)</f>
        <v>Zaire</v>
      </c>
      <c r="K144" s="37" t="s">
        <v>113</v>
      </c>
      <c r="L144" s="37" t="s">
        <v>111</v>
      </c>
      <c r="M144" s="53"/>
    </row>
    <row r="145" spans="1:13" ht="20.100000000000001" customHeight="1" x14ac:dyDescent="0.25">
      <c r="A145" s="49">
        <v>138</v>
      </c>
      <c r="B145" s="55">
        <v>45354</v>
      </c>
      <c r="C145" s="36" t="str">
        <f>UPPER(TEXT(Dados_Cursos[[#This Row],[Data]],"mmm"))</f>
        <v>MAR</v>
      </c>
      <c r="D145" s="52" t="s">
        <v>1416</v>
      </c>
      <c r="E145" s="49" t="str">
        <f>VLOOKUP(Dados_Cursos[[#This Row],[ID]],Apoio!A138:H1138,2,0)</f>
        <v>carlos.monteiro138@gmail.com</v>
      </c>
      <c r="F145" s="36" t="s">
        <v>254</v>
      </c>
      <c r="G145" s="36" t="s">
        <v>2666</v>
      </c>
      <c r="H145" s="38">
        <v>1500</v>
      </c>
      <c r="I145" s="49">
        <v>9</v>
      </c>
      <c r="J145" s="49" t="str">
        <f>VLOOKUP(Dados_Cursos[[#This Row],[ID]],Apoio!A138:H1138,4,0)</f>
        <v>Moxico</v>
      </c>
      <c r="K145" s="37" t="s">
        <v>113</v>
      </c>
      <c r="L145" s="37" t="s">
        <v>111</v>
      </c>
      <c r="M145" s="53"/>
    </row>
    <row r="146" spans="1:13" ht="20.100000000000001" customHeight="1" x14ac:dyDescent="0.25">
      <c r="A146" s="49">
        <v>139</v>
      </c>
      <c r="B146" s="55">
        <v>45613</v>
      </c>
      <c r="C146" s="36" t="str">
        <f>UPPER(TEXT(Dados_Cursos[[#This Row],[Data]],"mmm"))</f>
        <v>NOV</v>
      </c>
      <c r="D146" s="52" t="s">
        <v>1418</v>
      </c>
      <c r="E146" s="49" t="str">
        <f>VLOOKUP(Dados_Cursos[[#This Row],[ID]],Apoio!A139:H1139,2,0)</f>
        <v>francisco.barbosa139@gmail.com</v>
      </c>
      <c r="F146" s="36" t="s">
        <v>255</v>
      </c>
      <c r="G146" s="36" t="s">
        <v>2666</v>
      </c>
      <c r="H146" s="38">
        <v>800</v>
      </c>
      <c r="I146" s="49">
        <v>10</v>
      </c>
      <c r="J146" s="49" t="str">
        <f>VLOOKUP(Dados_Cursos[[#This Row],[ID]],Apoio!A139:H1139,4,0)</f>
        <v>Namibe</v>
      </c>
      <c r="K146" s="37" t="s">
        <v>112</v>
      </c>
      <c r="L146" s="37" t="s">
        <v>109</v>
      </c>
      <c r="M146" s="53"/>
    </row>
    <row r="147" spans="1:13" ht="20.100000000000001" customHeight="1" x14ac:dyDescent="0.25">
      <c r="A147" s="49">
        <v>140</v>
      </c>
      <c r="B147" s="55">
        <v>45346</v>
      </c>
      <c r="C147" s="36" t="str">
        <f>UPPER(TEXT(Dados_Cursos[[#This Row],[Data]],"mmm"))</f>
        <v>FEV</v>
      </c>
      <c r="D147" s="52" t="s">
        <v>1177</v>
      </c>
      <c r="E147" s="49" t="str">
        <f>VLOOKUP(Dados_Cursos[[#This Row],[ID]],Apoio!A140:H1140,2,0)</f>
        <v>luís.fernandes140@gmail.com</v>
      </c>
      <c r="F147" s="36" t="s">
        <v>256</v>
      </c>
      <c r="G147" s="36" t="s">
        <v>2666</v>
      </c>
      <c r="H147" s="38">
        <v>800</v>
      </c>
      <c r="I147" s="49">
        <v>5</v>
      </c>
      <c r="J147" s="49" t="str">
        <f>VLOOKUP(Dados_Cursos[[#This Row],[ID]],Apoio!A140:H1140,4,0)</f>
        <v>Huambo</v>
      </c>
      <c r="K147" s="37" t="s">
        <v>113</v>
      </c>
      <c r="L147" s="37" t="s">
        <v>111</v>
      </c>
      <c r="M147" s="53"/>
    </row>
    <row r="148" spans="1:13" ht="20.100000000000001" customHeight="1" x14ac:dyDescent="0.25">
      <c r="A148" s="49">
        <v>141</v>
      </c>
      <c r="B148" s="55">
        <v>45455</v>
      </c>
      <c r="C148" s="36" t="str">
        <f>UPPER(TEXT(Dados_Cursos[[#This Row],[Data]],"mmm"))</f>
        <v>JUN</v>
      </c>
      <c r="D148" s="52" t="s">
        <v>1421</v>
      </c>
      <c r="E148" s="49" t="str">
        <f>VLOOKUP(Dados_Cursos[[#This Row],[ID]],Apoio!A141:H1141,2,0)</f>
        <v>carlos.pereira141@gmail.com</v>
      </c>
      <c r="F148" s="36" t="s">
        <v>257</v>
      </c>
      <c r="G148" s="36" t="s">
        <v>2666</v>
      </c>
      <c r="H148" s="38">
        <v>800</v>
      </c>
      <c r="I148" s="49">
        <v>15</v>
      </c>
      <c r="J148" s="49" t="str">
        <f>VLOOKUP(Dados_Cursos[[#This Row],[ID]],Apoio!A141:H1141,4,0)</f>
        <v>Moxico Leste</v>
      </c>
      <c r="K148" s="37" t="s">
        <v>113</v>
      </c>
      <c r="L148" s="37" t="s">
        <v>2649</v>
      </c>
      <c r="M148" s="53"/>
    </row>
    <row r="149" spans="1:13" ht="20.100000000000001" customHeight="1" x14ac:dyDescent="0.25">
      <c r="A149" s="49">
        <v>142</v>
      </c>
      <c r="B149" s="55">
        <v>45441</v>
      </c>
      <c r="C149" s="36" t="str">
        <f>UPPER(TEXT(Dados_Cursos[[#This Row],[Data]],"mmm"))</f>
        <v>MAI</v>
      </c>
      <c r="D149" s="52" t="s">
        <v>1423</v>
      </c>
      <c r="E149" s="49" t="str">
        <f>VLOOKUP(Dados_Cursos[[#This Row],[ID]],Apoio!A142:H1142,2,0)</f>
        <v>sofia.miguel142@gmail.com</v>
      </c>
      <c r="F149" s="36" t="s">
        <v>258</v>
      </c>
      <c r="G149" s="36" t="s">
        <v>2667</v>
      </c>
      <c r="H149" s="38">
        <v>1200</v>
      </c>
      <c r="I149" s="49">
        <v>16</v>
      </c>
      <c r="J149" s="49" t="str">
        <f>VLOOKUP(Dados_Cursos[[#This Row],[ID]],Apoio!A142:H1142,4,0)</f>
        <v>Cuanza Norte</v>
      </c>
      <c r="K149" s="37" t="s">
        <v>113</v>
      </c>
      <c r="L149" s="37" t="s">
        <v>2649</v>
      </c>
      <c r="M149" s="53"/>
    </row>
    <row r="150" spans="1:13" ht="20.100000000000001" customHeight="1" x14ac:dyDescent="0.25">
      <c r="A150" s="49">
        <v>143</v>
      </c>
      <c r="B150" s="55">
        <v>45364</v>
      </c>
      <c r="C150" s="36" t="str">
        <f>UPPER(TEXT(Dados_Cursos[[#This Row],[Data]],"mmm"))</f>
        <v>MAR</v>
      </c>
      <c r="D150" s="52" t="s">
        <v>1307</v>
      </c>
      <c r="E150" s="49" t="str">
        <f>VLOOKUP(Dados_Cursos[[#This Row],[ID]],Apoio!A143:H1143,2,0)</f>
        <v>paulo.lopes143@gmail.com</v>
      </c>
      <c r="F150" s="36" t="s">
        <v>259</v>
      </c>
      <c r="G150" s="36" t="s">
        <v>2666</v>
      </c>
      <c r="H150" s="38">
        <v>800</v>
      </c>
      <c r="I150" s="49">
        <v>5</v>
      </c>
      <c r="J150" s="49" t="str">
        <f>VLOOKUP(Dados_Cursos[[#This Row],[ID]],Apoio!A143:H1143,4,0)</f>
        <v>Uíge</v>
      </c>
      <c r="K150" s="37" t="s">
        <v>112</v>
      </c>
      <c r="L150" s="37" t="s">
        <v>109</v>
      </c>
      <c r="M150" s="53"/>
    </row>
    <row r="151" spans="1:13" ht="20.100000000000001" customHeight="1" x14ac:dyDescent="0.25">
      <c r="A151" s="49">
        <v>144</v>
      </c>
      <c r="B151" s="55">
        <v>45602</v>
      </c>
      <c r="C151" s="36" t="str">
        <f>UPPER(TEXT(Dados_Cursos[[#This Row],[Data]],"mmm"))</f>
        <v>NOV</v>
      </c>
      <c r="D151" s="52" t="s">
        <v>1426</v>
      </c>
      <c r="E151" s="49" t="str">
        <f>VLOOKUP(Dados_Cursos[[#This Row],[ID]],Apoio!A144:H1144,2,0)</f>
        <v>samuel.rodrigues144@gmail.com</v>
      </c>
      <c r="F151" s="36" t="s">
        <v>260</v>
      </c>
      <c r="G151" s="36" t="s">
        <v>2666</v>
      </c>
      <c r="H151" s="38">
        <v>1500</v>
      </c>
      <c r="I151" s="49">
        <v>12</v>
      </c>
      <c r="J151" s="49" t="str">
        <f>VLOOKUP(Dados_Cursos[[#This Row],[ID]],Apoio!A144:H1144,4,0)</f>
        <v>Cabinda</v>
      </c>
      <c r="K151" s="37" t="s">
        <v>113</v>
      </c>
      <c r="L151" s="37" t="s">
        <v>2649</v>
      </c>
      <c r="M151" s="53"/>
    </row>
    <row r="152" spans="1:13" ht="20.100000000000001" customHeight="1" x14ac:dyDescent="0.25">
      <c r="A152" s="49">
        <v>145</v>
      </c>
      <c r="B152" s="55">
        <v>45556</v>
      </c>
      <c r="C152" s="36" t="str">
        <f>UPPER(TEXT(Dados_Cursos[[#This Row],[Data]],"mmm"))</f>
        <v>SET</v>
      </c>
      <c r="D152" s="52" t="s">
        <v>1343</v>
      </c>
      <c r="E152" s="49" t="str">
        <f>VLOOKUP(Dados_Cursos[[#This Row],[ID]],Apoio!A145:H1145,2,0)</f>
        <v>rosa.tavares145@gmail.com</v>
      </c>
      <c r="F152" s="36" t="s">
        <v>261</v>
      </c>
      <c r="G152" s="36" t="s">
        <v>2666</v>
      </c>
      <c r="H152" s="38">
        <v>1500</v>
      </c>
      <c r="I152" s="49">
        <v>2</v>
      </c>
      <c r="J152" s="49" t="str">
        <f>VLOOKUP(Dados_Cursos[[#This Row],[ID]],Apoio!A145:H1145,4,0)</f>
        <v>Moxico</v>
      </c>
      <c r="K152" s="37" t="s">
        <v>112</v>
      </c>
      <c r="L152" s="37" t="s">
        <v>109</v>
      </c>
      <c r="M152" s="53"/>
    </row>
    <row r="153" spans="1:13" ht="20.100000000000001" customHeight="1" x14ac:dyDescent="0.25">
      <c r="A153" s="49">
        <v>146</v>
      </c>
      <c r="B153" s="55">
        <v>45588</v>
      </c>
      <c r="C153" s="36" t="str">
        <f>UPPER(TEXT(Dados_Cursos[[#This Row],[Data]],"mmm"))</f>
        <v>OUT</v>
      </c>
      <c r="D153" s="52" t="s">
        <v>1429</v>
      </c>
      <c r="E153" s="49" t="str">
        <f>VLOOKUP(Dados_Cursos[[#This Row],[ID]],Apoio!A146:H1146,2,0)</f>
        <v>adriano.almeida146@gmail.com</v>
      </c>
      <c r="F153" s="36" t="s">
        <v>262</v>
      </c>
      <c r="G153" s="36" t="s">
        <v>2666</v>
      </c>
      <c r="H153" s="38">
        <v>1500</v>
      </c>
      <c r="I153" s="49">
        <v>15</v>
      </c>
      <c r="J153" s="49" t="str">
        <f>VLOOKUP(Dados_Cursos[[#This Row],[ID]],Apoio!A146:H1146,4,0)</f>
        <v>Moxico Leste</v>
      </c>
      <c r="K153" s="37" t="s">
        <v>113</v>
      </c>
      <c r="L153" s="37" t="s">
        <v>110</v>
      </c>
      <c r="M153" s="53"/>
    </row>
    <row r="154" spans="1:13" ht="20.100000000000001" customHeight="1" x14ac:dyDescent="0.25">
      <c r="A154" s="49">
        <v>147</v>
      </c>
      <c r="B154" s="55">
        <v>45294</v>
      </c>
      <c r="C154" s="36" t="str">
        <f>UPPER(TEXT(Dados_Cursos[[#This Row],[Data]],"mmm"))</f>
        <v>JAN</v>
      </c>
      <c r="D154" s="52" t="s">
        <v>1390</v>
      </c>
      <c r="E154" s="49" t="str">
        <f>VLOOKUP(Dados_Cursos[[#This Row],[ID]],Apoio!A147:H1147,2,0)</f>
        <v>luís.pinto147@gmail.com</v>
      </c>
      <c r="F154" s="36" t="s">
        <v>263</v>
      </c>
      <c r="G154" s="36" t="s">
        <v>2666</v>
      </c>
      <c r="H154" s="38">
        <v>1500</v>
      </c>
      <c r="I154" s="49">
        <v>4</v>
      </c>
      <c r="J154" s="49" t="str">
        <f>VLOOKUP(Dados_Cursos[[#This Row],[ID]],Apoio!A147:H1147,4,0)</f>
        <v>Luanda</v>
      </c>
      <c r="K154" s="37" t="s">
        <v>113</v>
      </c>
      <c r="L154" s="37" t="s">
        <v>111</v>
      </c>
      <c r="M154" s="53"/>
    </row>
    <row r="155" spans="1:13" ht="20.100000000000001" customHeight="1" x14ac:dyDescent="0.25">
      <c r="A155" s="49">
        <v>148</v>
      </c>
      <c r="B155" s="55">
        <v>45518</v>
      </c>
      <c r="C155" s="36" t="str">
        <f>UPPER(TEXT(Dados_Cursos[[#This Row],[Data]],"mmm"))</f>
        <v>AGO</v>
      </c>
      <c r="D155" s="52" t="s">
        <v>1432</v>
      </c>
      <c r="E155" s="49" t="str">
        <f>VLOOKUP(Dados_Cursos[[#This Row],[ID]],Apoio!A148:H1148,2,0)</f>
        <v>teresa.barbosa148@gmail.com</v>
      </c>
      <c r="F155" s="36" t="s">
        <v>264</v>
      </c>
      <c r="G155" s="36" t="s">
        <v>2666</v>
      </c>
      <c r="H155" s="38">
        <v>800</v>
      </c>
      <c r="I155" s="49">
        <v>7</v>
      </c>
      <c r="J155" s="49" t="str">
        <f>VLOOKUP(Dados_Cursos[[#This Row],[ID]],Apoio!A148:H1148,4,0)</f>
        <v>Huambo</v>
      </c>
      <c r="K155" s="37" t="s">
        <v>113</v>
      </c>
      <c r="L155" s="37" t="s">
        <v>111</v>
      </c>
      <c r="M155" s="53"/>
    </row>
    <row r="156" spans="1:13" ht="20.100000000000001" customHeight="1" x14ac:dyDescent="0.25">
      <c r="A156" s="49">
        <v>149</v>
      </c>
      <c r="B156" s="55">
        <v>45563</v>
      </c>
      <c r="C156" s="36" t="str">
        <f>UPPER(TEXT(Dados_Cursos[[#This Row],[Data]],"mmm"))</f>
        <v>SET</v>
      </c>
      <c r="D156" s="52" t="s">
        <v>1434</v>
      </c>
      <c r="E156" s="49" t="str">
        <f>VLOOKUP(Dados_Cursos[[#This Row],[ID]],Apoio!A149:H1149,2,0)</f>
        <v>mateus.monteiro149@gmail.com</v>
      </c>
      <c r="F156" s="36" t="s">
        <v>265</v>
      </c>
      <c r="G156" s="36" t="s">
        <v>2667</v>
      </c>
      <c r="H156" s="38">
        <v>1200</v>
      </c>
      <c r="I156" s="49">
        <v>1</v>
      </c>
      <c r="J156" s="49" t="str">
        <f>VLOOKUP(Dados_Cursos[[#This Row],[ID]],Apoio!A149:H1149,4,0)</f>
        <v>Cunene</v>
      </c>
      <c r="K156" s="37" t="s">
        <v>112</v>
      </c>
      <c r="L156" s="37" t="s">
        <v>109</v>
      </c>
      <c r="M156" s="53"/>
    </row>
    <row r="157" spans="1:13" ht="20.100000000000001" customHeight="1" x14ac:dyDescent="0.25">
      <c r="A157" s="49">
        <v>150</v>
      </c>
      <c r="B157" s="55">
        <v>45450</v>
      </c>
      <c r="C157" s="36" t="str">
        <f>UPPER(TEXT(Dados_Cursos[[#This Row],[Data]],"mmm"))</f>
        <v>JUN</v>
      </c>
      <c r="D157" s="52" t="s">
        <v>1436</v>
      </c>
      <c r="E157" s="49" t="str">
        <f>VLOOKUP(Dados_Cursos[[#This Row],[ID]],Apoio!A150:H1150,2,0)</f>
        <v>nelson.david150@gmail.com</v>
      </c>
      <c r="F157" s="36" t="s">
        <v>266</v>
      </c>
      <c r="G157" s="36" t="s">
        <v>2667</v>
      </c>
      <c r="H157" s="38">
        <v>1200</v>
      </c>
      <c r="I157" s="49">
        <v>20</v>
      </c>
      <c r="J157" s="49" t="str">
        <f>VLOOKUP(Dados_Cursos[[#This Row],[ID]],Apoio!A150:H1150,4,0)</f>
        <v>Huíla</v>
      </c>
      <c r="K157" s="37" t="s">
        <v>113</v>
      </c>
      <c r="L157" s="37" t="s">
        <v>2649</v>
      </c>
      <c r="M157" s="53"/>
    </row>
    <row r="158" spans="1:13" ht="20.100000000000001" customHeight="1" x14ac:dyDescent="0.25">
      <c r="A158" s="49">
        <v>151</v>
      </c>
      <c r="B158" s="55">
        <v>45441</v>
      </c>
      <c r="C158" s="36" t="str">
        <f>UPPER(TEXT(Dados_Cursos[[#This Row],[Data]],"mmm"))</f>
        <v>MAI</v>
      </c>
      <c r="D158" s="52" t="s">
        <v>1438</v>
      </c>
      <c r="E158" s="49" t="str">
        <f>VLOOKUP(Dados_Cursos[[#This Row],[ID]],Apoio!A151:H1151,2,0)</f>
        <v>isabel.lopes151@gmail.com</v>
      </c>
      <c r="F158" s="36" t="s">
        <v>267</v>
      </c>
      <c r="G158" s="36" t="s">
        <v>2666</v>
      </c>
      <c r="H158" s="38">
        <v>1500</v>
      </c>
      <c r="I158" s="49">
        <v>17</v>
      </c>
      <c r="J158" s="49" t="str">
        <f>VLOOKUP(Dados_Cursos[[#This Row],[ID]],Apoio!A151:H1151,4,0)</f>
        <v>Cabinda</v>
      </c>
      <c r="K158" s="37" t="s">
        <v>112</v>
      </c>
      <c r="L158" s="37" t="s">
        <v>109</v>
      </c>
      <c r="M158" s="53"/>
    </row>
    <row r="159" spans="1:13" ht="20.100000000000001" customHeight="1" x14ac:dyDescent="0.25">
      <c r="A159" s="49">
        <v>152</v>
      </c>
      <c r="B159" s="55">
        <v>45437</v>
      </c>
      <c r="C159" s="36" t="str">
        <f>UPPER(TEXT(Dados_Cursos[[#This Row],[Data]],"mmm"))</f>
        <v>MAI</v>
      </c>
      <c r="D159" s="52" t="s">
        <v>1440</v>
      </c>
      <c r="E159" s="49" t="str">
        <f>VLOOKUP(Dados_Cursos[[#This Row],[ID]],Apoio!A152:H1152,2,0)</f>
        <v>joaquim.pereira152@gmail.com</v>
      </c>
      <c r="F159" s="36" t="s">
        <v>268</v>
      </c>
      <c r="G159" s="36" t="s">
        <v>2666</v>
      </c>
      <c r="H159" s="38">
        <v>800</v>
      </c>
      <c r="I159" s="49">
        <v>18</v>
      </c>
      <c r="J159" s="49" t="str">
        <f>VLOOKUP(Dados_Cursos[[#This Row],[ID]],Apoio!A152:H1152,4,0)</f>
        <v>Zaire</v>
      </c>
      <c r="K159" s="37" t="s">
        <v>112</v>
      </c>
      <c r="L159" s="37" t="s">
        <v>109</v>
      </c>
      <c r="M159" s="53"/>
    </row>
    <row r="160" spans="1:13" ht="20.100000000000001" customHeight="1" x14ac:dyDescent="0.25">
      <c r="A160" s="49">
        <v>153</v>
      </c>
      <c r="B160" s="55">
        <v>45354</v>
      </c>
      <c r="C160" s="36" t="str">
        <f>UPPER(TEXT(Dados_Cursos[[#This Row],[Data]],"mmm"))</f>
        <v>MAR</v>
      </c>
      <c r="D160" s="52" t="s">
        <v>1442</v>
      </c>
      <c r="E160" s="49" t="str">
        <f>VLOOKUP(Dados_Cursos[[#This Row],[ID]],Apoio!A153:H1153,2,0)</f>
        <v>manuel.soares153@gmail.com</v>
      </c>
      <c r="F160" s="36" t="s">
        <v>269</v>
      </c>
      <c r="G160" s="36" t="s">
        <v>2667</v>
      </c>
      <c r="H160" s="38">
        <v>1200</v>
      </c>
      <c r="I160" s="49">
        <v>1</v>
      </c>
      <c r="J160" s="49" t="str">
        <f>VLOOKUP(Dados_Cursos[[#This Row],[ID]],Apoio!A153:H1153,4,0)</f>
        <v>Cabinda</v>
      </c>
      <c r="K160" s="37" t="s">
        <v>113</v>
      </c>
      <c r="L160" s="37" t="s">
        <v>2649</v>
      </c>
      <c r="M160" s="53"/>
    </row>
    <row r="161" spans="1:13" ht="20.100000000000001" customHeight="1" x14ac:dyDescent="0.25">
      <c r="A161" s="49">
        <v>154</v>
      </c>
      <c r="B161" s="55">
        <v>45523</v>
      </c>
      <c r="C161" s="36" t="str">
        <f>UPPER(TEXT(Dados_Cursos[[#This Row],[Data]],"mmm"))</f>
        <v>AGO</v>
      </c>
      <c r="D161" s="52" t="s">
        <v>1444</v>
      </c>
      <c r="E161" s="49" t="str">
        <f>VLOOKUP(Dados_Cursos[[#This Row],[ID]],Apoio!A154:H1154,2,0)</f>
        <v>joaquim.martins154@gmail.com</v>
      </c>
      <c r="F161" s="36" t="s">
        <v>270</v>
      </c>
      <c r="G161" s="36" t="s">
        <v>2666</v>
      </c>
      <c r="H161" s="38">
        <v>1500</v>
      </c>
      <c r="I161" s="49">
        <v>16</v>
      </c>
      <c r="J161" s="49" t="str">
        <f>VLOOKUP(Dados_Cursos[[#This Row],[ID]],Apoio!A154:H1154,4,0)</f>
        <v>Icolo e Bengo</v>
      </c>
      <c r="K161" s="37" t="s">
        <v>113</v>
      </c>
      <c r="L161" s="37" t="s">
        <v>2649</v>
      </c>
      <c r="M161" s="53"/>
    </row>
    <row r="162" spans="1:13" ht="20.100000000000001" customHeight="1" x14ac:dyDescent="0.25">
      <c r="A162" s="49">
        <v>155</v>
      </c>
      <c r="B162" s="55">
        <v>45625</v>
      </c>
      <c r="C162" s="36" t="str">
        <f>UPPER(TEXT(Dados_Cursos[[#This Row],[Data]],"mmm"))</f>
        <v>NOV</v>
      </c>
      <c r="D162" s="52" t="s">
        <v>1446</v>
      </c>
      <c r="E162" s="49" t="str">
        <f>VLOOKUP(Dados_Cursos[[#This Row],[ID]],Apoio!A155:H1155,2,0)</f>
        <v>maria.santos155@gmail.com</v>
      </c>
      <c r="F162" s="36" t="s">
        <v>271</v>
      </c>
      <c r="G162" s="36" t="s">
        <v>2666</v>
      </c>
      <c r="H162" s="38">
        <v>1500</v>
      </c>
      <c r="I162" s="49">
        <v>5</v>
      </c>
      <c r="J162" s="49" t="str">
        <f>VLOOKUP(Dados_Cursos[[#This Row],[ID]],Apoio!A155:H1155,4,0)</f>
        <v>Cuanza Norte</v>
      </c>
      <c r="K162" s="37" t="s">
        <v>113</v>
      </c>
      <c r="L162" s="37" t="s">
        <v>2649</v>
      </c>
      <c r="M162" s="53"/>
    </row>
    <row r="163" spans="1:13" ht="20.100000000000001" customHeight="1" x14ac:dyDescent="0.25">
      <c r="A163" s="49">
        <v>156</v>
      </c>
      <c r="B163" s="55">
        <v>45333</v>
      </c>
      <c r="C163" s="36" t="str">
        <f>UPPER(TEXT(Dados_Cursos[[#This Row],[Data]],"mmm"))</f>
        <v>FEV</v>
      </c>
      <c r="D163" s="52" t="s">
        <v>1448</v>
      </c>
      <c r="E163" s="49" t="str">
        <f>VLOOKUP(Dados_Cursos[[#This Row],[ID]],Apoio!A156:H1156,2,0)</f>
        <v>adriano.lukeba156@gmail.com</v>
      </c>
      <c r="F163" s="36" t="s">
        <v>272</v>
      </c>
      <c r="G163" s="36" t="s">
        <v>2666</v>
      </c>
      <c r="H163" s="38">
        <v>1500</v>
      </c>
      <c r="I163" s="49">
        <v>2</v>
      </c>
      <c r="J163" s="49" t="str">
        <f>VLOOKUP(Dados_Cursos[[#This Row],[ID]],Apoio!A156:H1156,4,0)</f>
        <v>Cuanza Sul</v>
      </c>
      <c r="K163" s="37" t="s">
        <v>113</v>
      </c>
      <c r="L163" s="37" t="s">
        <v>111</v>
      </c>
      <c r="M163" s="53"/>
    </row>
    <row r="164" spans="1:13" ht="20.100000000000001" customHeight="1" x14ac:dyDescent="0.25">
      <c r="A164" s="49">
        <v>157</v>
      </c>
      <c r="B164" s="55">
        <v>45470</v>
      </c>
      <c r="C164" s="36" t="str">
        <f>UPPER(TEXT(Dados_Cursos[[#This Row],[Data]],"mmm"))</f>
        <v>JUN</v>
      </c>
      <c r="D164" s="52" t="s">
        <v>1450</v>
      </c>
      <c r="E164" s="49" t="str">
        <f>VLOOKUP(Dados_Cursos[[#This Row],[ID]],Apoio!A157:H1157,2,0)</f>
        <v>luís.tavares157@gmail.com</v>
      </c>
      <c r="F164" s="36" t="s">
        <v>273</v>
      </c>
      <c r="G164" s="36" t="s">
        <v>2667</v>
      </c>
      <c r="H164" s="38">
        <v>1200</v>
      </c>
      <c r="I164" s="49">
        <v>19</v>
      </c>
      <c r="J164" s="49" t="str">
        <f>VLOOKUP(Dados_Cursos[[#This Row],[ID]],Apoio!A157:H1157,4,0)</f>
        <v>Huíla</v>
      </c>
      <c r="K164" s="37" t="s">
        <v>113</v>
      </c>
      <c r="L164" s="37" t="s">
        <v>110</v>
      </c>
      <c r="M164" s="53"/>
    </row>
    <row r="165" spans="1:13" ht="20.100000000000001" customHeight="1" x14ac:dyDescent="0.25">
      <c r="A165" s="49">
        <v>158</v>
      </c>
      <c r="B165" s="55">
        <v>45321</v>
      </c>
      <c r="C165" s="36" t="str">
        <f>UPPER(TEXT(Dados_Cursos[[#This Row],[Data]],"mmm"))</f>
        <v>JAN</v>
      </c>
      <c r="D165" s="52" t="s">
        <v>1414</v>
      </c>
      <c r="E165" s="49" t="str">
        <f>VLOOKUP(Dados_Cursos[[#This Row],[ID]],Apoio!A158:H1158,2,0)</f>
        <v>manuel.lopes158@gmail.com</v>
      </c>
      <c r="F165" s="36" t="s">
        <v>274</v>
      </c>
      <c r="G165" s="36" t="s">
        <v>2666</v>
      </c>
      <c r="H165" s="38">
        <v>1500</v>
      </c>
      <c r="I165" s="49">
        <v>20</v>
      </c>
      <c r="J165" s="49" t="str">
        <f>VLOOKUP(Dados_Cursos[[#This Row],[ID]],Apoio!A158:H1158,4,0)</f>
        <v>Bengo</v>
      </c>
      <c r="K165" s="37" t="s">
        <v>113</v>
      </c>
      <c r="L165" s="37" t="s">
        <v>111</v>
      </c>
      <c r="M165" s="53"/>
    </row>
    <row r="166" spans="1:13" ht="20.100000000000001" customHeight="1" x14ac:dyDescent="0.25">
      <c r="A166" s="49">
        <v>159</v>
      </c>
      <c r="B166" s="55">
        <v>45589</v>
      </c>
      <c r="C166" s="36" t="str">
        <f>UPPER(TEXT(Dados_Cursos[[#This Row],[Data]],"mmm"))</f>
        <v>OUT</v>
      </c>
      <c r="D166" s="52" t="s">
        <v>1453</v>
      </c>
      <c r="E166" s="49" t="str">
        <f>VLOOKUP(Dados_Cursos[[#This Row],[ID]],Apoio!A159:H1159,2,0)</f>
        <v>benedito.almeida159@gmail.com</v>
      </c>
      <c r="F166" s="36" t="s">
        <v>275</v>
      </c>
      <c r="G166" s="36" t="s">
        <v>2666</v>
      </c>
      <c r="H166" s="38">
        <v>1500</v>
      </c>
      <c r="I166" s="49">
        <v>10</v>
      </c>
      <c r="J166" s="49" t="str">
        <f>VLOOKUP(Dados_Cursos[[#This Row],[ID]],Apoio!A159:H1159,4,0)</f>
        <v>Huíla</v>
      </c>
      <c r="K166" s="37" t="s">
        <v>113</v>
      </c>
      <c r="L166" s="37" t="s">
        <v>2649</v>
      </c>
      <c r="M166" s="53"/>
    </row>
    <row r="167" spans="1:13" ht="20.100000000000001" customHeight="1" x14ac:dyDescent="0.25">
      <c r="A167" s="49">
        <v>160</v>
      </c>
      <c r="B167" s="55">
        <v>45626</v>
      </c>
      <c r="C167" s="36" t="str">
        <f>UPPER(TEXT(Dados_Cursos[[#This Row],[Data]],"mmm"))</f>
        <v>NOV</v>
      </c>
      <c r="D167" s="52" t="s">
        <v>1455</v>
      </c>
      <c r="E167" s="49" t="str">
        <f>VLOOKUP(Dados_Cursos[[#This Row],[ID]],Apoio!A160:H1160,2,0)</f>
        <v>francisco.fernandes160@gmail.com</v>
      </c>
      <c r="F167" s="36" t="s">
        <v>276</v>
      </c>
      <c r="G167" s="36" t="s">
        <v>2666</v>
      </c>
      <c r="H167" s="38">
        <v>1500</v>
      </c>
      <c r="I167" s="49">
        <v>9</v>
      </c>
      <c r="J167" s="49" t="str">
        <f>VLOOKUP(Dados_Cursos[[#This Row],[ID]],Apoio!A160:H1160,4,0)</f>
        <v>Bié</v>
      </c>
      <c r="K167" s="37" t="s">
        <v>113</v>
      </c>
      <c r="L167" s="37" t="s">
        <v>2649</v>
      </c>
      <c r="M167" s="53"/>
    </row>
    <row r="168" spans="1:13" ht="20.100000000000001" customHeight="1" x14ac:dyDescent="0.25">
      <c r="A168" s="49">
        <v>161</v>
      </c>
      <c r="B168" s="55">
        <v>45481</v>
      </c>
      <c r="C168" s="36" t="str">
        <f>UPPER(TEXT(Dados_Cursos[[#This Row],[Data]],"mmm"))</f>
        <v>JUL</v>
      </c>
      <c r="D168" s="52" t="s">
        <v>1457</v>
      </c>
      <c r="E168" s="49" t="str">
        <f>VLOOKUP(Dados_Cursos[[#This Row],[ID]],Apoio!A161:H1161,2,0)</f>
        <v>rosa.soares161@gmail.com</v>
      </c>
      <c r="F168" s="36" t="s">
        <v>277</v>
      </c>
      <c r="G168" s="36" t="s">
        <v>2666</v>
      </c>
      <c r="H168" s="38">
        <v>800</v>
      </c>
      <c r="I168" s="49">
        <v>8</v>
      </c>
      <c r="J168" s="49" t="str">
        <f>VLOOKUP(Dados_Cursos[[#This Row],[ID]],Apoio!A161:H1161,4,0)</f>
        <v>Cuanza Sul</v>
      </c>
      <c r="K168" s="37" t="s">
        <v>112</v>
      </c>
      <c r="L168" s="37" t="s">
        <v>109</v>
      </c>
      <c r="M168" s="53"/>
    </row>
    <row r="169" spans="1:13" ht="20.100000000000001" customHeight="1" x14ac:dyDescent="0.25">
      <c r="A169" s="49">
        <v>162</v>
      </c>
      <c r="B169" s="55">
        <v>45623</v>
      </c>
      <c r="C169" s="36" t="str">
        <f>UPPER(TEXT(Dados_Cursos[[#This Row],[Data]],"mmm"))</f>
        <v>NOV</v>
      </c>
      <c r="D169" s="52" t="s">
        <v>1238</v>
      </c>
      <c r="E169" s="49" t="str">
        <f>VLOOKUP(Dados_Cursos[[#This Row],[ID]],Apoio!A162:H1162,2,0)</f>
        <v>benedito.santos162@gmail.com</v>
      </c>
      <c r="F169" s="36" t="s">
        <v>278</v>
      </c>
      <c r="G169" s="36" t="s">
        <v>2666</v>
      </c>
      <c r="H169" s="38">
        <v>1500</v>
      </c>
      <c r="I169" s="49">
        <v>19</v>
      </c>
      <c r="J169" s="49" t="str">
        <f>VLOOKUP(Dados_Cursos[[#This Row],[ID]],Apoio!A162:H1162,4,0)</f>
        <v>Bengo</v>
      </c>
      <c r="K169" s="37" t="s">
        <v>112</v>
      </c>
      <c r="L169" s="37" t="s">
        <v>109</v>
      </c>
      <c r="M169" s="53"/>
    </row>
    <row r="170" spans="1:13" ht="20.100000000000001" customHeight="1" x14ac:dyDescent="0.25">
      <c r="A170" s="49">
        <v>163</v>
      </c>
      <c r="B170" s="55">
        <v>45433</v>
      </c>
      <c r="C170" s="36" t="str">
        <f>UPPER(TEXT(Dados_Cursos[[#This Row],[Data]],"mmm"))</f>
        <v>MAI</v>
      </c>
      <c r="D170" s="52" t="s">
        <v>1230</v>
      </c>
      <c r="E170" s="49" t="str">
        <f>VLOOKUP(Dados_Cursos[[#This Row],[ID]],Apoio!A163:H1163,2,0)</f>
        <v>sofia.pereira163@gmail.com</v>
      </c>
      <c r="F170" s="36" t="s">
        <v>279</v>
      </c>
      <c r="G170" s="36" t="s">
        <v>2666</v>
      </c>
      <c r="H170" s="38">
        <v>800</v>
      </c>
      <c r="I170" s="49">
        <v>16</v>
      </c>
      <c r="J170" s="49" t="str">
        <f>VLOOKUP(Dados_Cursos[[#This Row],[ID]],Apoio!A163:H1163,4,0)</f>
        <v>Cubango</v>
      </c>
      <c r="K170" s="37" t="s">
        <v>112</v>
      </c>
      <c r="L170" s="37" t="s">
        <v>109</v>
      </c>
      <c r="M170" s="53"/>
    </row>
    <row r="171" spans="1:13" ht="20.100000000000001" customHeight="1" x14ac:dyDescent="0.25">
      <c r="A171" s="49">
        <v>164</v>
      </c>
      <c r="B171" s="55">
        <v>45613</v>
      </c>
      <c r="C171" s="36" t="str">
        <f>UPPER(TEXT(Dados_Cursos[[#This Row],[Data]],"mmm"))</f>
        <v>NOV</v>
      </c>
      <c r="D171" s="52" t="s">
        <v>1461</v>
      </c>
      <c r="E171" s="49" t="str">
        <f>VLOOKUP(Dados_Cursos[[#This Row],[ID]],Apoio!A164:H1164,2,0)</f>
        <v>david.monteiro164@gmail.com</v>
      </c>
      <c r="F171" s="36" t="s">
        <v>280</v>
      </c>
      <c r="G171" s="36" t="s">
        <v>2666</v>
      </c>
      <c r="H171" s="38">
        <v>1500</v>
      </c>
      <c r="I171" s="49">
        <v>14</v>
      </c>
      <c r="J171" s="49" t="str">
        <f>VLOOKUP(Dados_Cursos[[#This Row],[ID]],Apoio!A164:H1164,4,0)</f>
        <v>Lunda Sul</v>
      </c>
      <c r="K171" s="37" t="s">
        <v>113</v>
      </c>
      <c r="L171" s="37" t="s">
        <v>111</v>
      </c>
      <c r="M171" s="53"/>
    </row>
    <row r="172" spans="1:13" ht="20.100000000000001" customHeight="1" x14ac:dyDescent="0.25">
      <c r="A172" s="49">
        <v>165</v>
      </c>
      <c r="B172" s="55">
        <v>45517</v>
      </c>
      <c r="C172" s="36" t="str">
        <f>UPPER(TEXT(Dados_Cursos[[#This Row],[Data]],"mmm"))</f>
        <v>AGO</v>
      </c>
      <c r="D172" s="52" t="s">
        <v>1463</v>
      </c>
      <c r="E172" s="49" t="str">
        <f>VLOOKUP(Dados_Cursos[[#This Row],[ID]],Apoio!A165:H1165,2,0)</f>
        <v>josé.tavares165@gmail.com</v>
      </c>
      <c r="F172" s="36" t="s">
        <v>281</v>
      </c>
      <c r="G172" s="36" t="s">
        <v>2666</v>
      </c>
      <c r="H172" s="38">
        <v>1500</v>
      </c>
      <c r="I172" s="49">
        <v>11</v>
      </c>
      <c r="J172" s="49" t="str">
        <f>VLOOKUP(Dados_Cursos[[#This Row],[ID]],Apoio!A165:H1165,4,0)</f>
        <v>Luanda</v>
      </c>
      <c r="K172" s="37" t="s">
        <v>113</v>
      </c>
      <c r="L172" s="37" t="s">
        <v>110</v>
      </c>
      <c r="M172" s="53"/>
    </row>
    <row r="173" spans="1:13" ht="20.100000000000001" customHeight="1" x14ac:dyDescent="0.25">
      <c r="A173" s="49">
        <v>166</v>
      </c>
      <c r="B173" s="55">
        <v>45426</v>
      </c>
      <c r="C173" s="36" t="str">
        <f>UPPER(TEXT(Dados_Cursos[[#This Row],[Data]],"mmm"))</f>
        <v>MAI</v>
      </c>
      <c r="D173" s="52" t="s">
        <v>1465</v>
      </c>
      <c r="E173" s="49" t="str">
        <f>VLOOKUP(Dados_Cursos[[#This Row],[ID]],Apoio!A166:H1166,2,0)</f>
        <v>david.lopes166@gmail.com</v>
      </c>
      <c r="F173" s="36" t="s">
        <v>282</v>
      </c>
      <c r="G173" s="36" t="s">
        <v>2666</v>
      </c>
      <c r="H173" s="38">
        <v>1500</v>
      </c>
      <c r="I173" s="49">
        <v>10</v>
      </c>
      <c r="J173" s="49" t="str">
        <f>VLOOKUP(Dados_Cursos[[#This Row],[ID]],Apoio!A166:H1166,4,0)</f>
        <v>Icolo e Bengo</v>
      </c>
      <c r="K173" s="37" t="s">
        <v>113</v>
      </c>
      <c r="L173" s="37" t="s">
        <v>2649</v>
      </c>
      <c r="M173" s="53"/>
    </row>
    <row r="174" spans="1:13" ht="20.100000000000001" customHeight="1" x14ac:dyDescent="0.25">
      <c r="A174" s="49">
        <v>167</v>
      </c>
      <c r="B174" s="55">
        <v>45413</v>
      </c>
      <c r="C174" s="36" t="str">
        <f>UPPER(TEXT(Dados_Cursos[[#This Row],[Data]],"mmm"))</f>
        <v>MAI</v>
      </c>
      <c r="D174" s="52" t="s">
        <v>1467</v>
      </c>
      <c r="E174" s="49" t="str">
        <f>VLOOKUP(Dados_Cursos[[#This Row],[ID]],Apoio!A167:H1167,2,0)</f>
        <v>paulo.miguel167@gmail.com</v>
      </c>
      <c r="F174" s="36" t="s">
        <v>283</v>
      </c>
      <c r="G174" s="36" t="s">
        <v>2667</v>
      </c>
      <c r="H174" s="38">
        <v>1200</v>
      </c>
      <c r="I174" s="49">
        <v>2</v>
      </c>
      <c r="J174" s="49" t="str">
        <f>VLOOKUP(Dados_Cursos[[#This Row],[ID]],Apoio!A167:H1167,4,0)</f>
        <v>Bié</v>
      </c>
      <c r="K174" s="37" t="s">
        <v>113</v>
      </c>
      <c r="L174" s="37" t="s">
        <v>111</v>
      </c>
      <c r="M174" s="53"/>
    </row>
    <row r="175" spans="1:13" ht="20.100000000000001" customHeight="1" x14ac:dyDescent="0.25">
      <c r="A175" s="49">
        <v>168</v>
      </c>
      <c r="B175" s="55">
        <v>45416</v>
      </c>
      <c r="C175" s="36" t="str">
        <f>UPPER(TEXT(Dados_Cursos[[#This Row],[Data]],"mmm"))</f>
        <v>MAI</v>
      </c>
      <c r="D175" s="52" t="s">
        <v>1169</v>
      </c>
      <c r="E175" s="49" t="str">
        <f>VLOOKUP(Dados_Cursos[[#This Row],[ID]],Apoio!A168:H1168,2,0)</f>
        <v>pedro.lopes168@gmail.com</v>
      </c>
      <c r="F175" s="36" t="s">
        <v>284</v>
      </c>
      <c r="G175" s="36" t="s">
        <v>2667</v>
      </c>
      <c r="H175" s="38">
        <v>1200</v>
      </c>
      <c r="I175" s="49">
        <v>3</v>
      </c>
      <c r="J175" s="49" t="str">
        <f>VLOOKUP(Dados_Cursos[[#This Row],[ID]],Apoio!A168:H1168,4,0)</f>
        <v>Malanje</v>
      </c>
      <c r="K175" s="37" t="s">
        <v>113</v>
      </c>
      <c r="L175" s="37" t="s">
        <v>110</v>
      </c>
      <c r="M175" s="53"/>
    </row>
    <row r="176" spans="1:13" ht="20.100000000000001" customHeight="1" x14ac:dyDescent="0.25">
      <c r="A176" s="49">
        <v>169</v>
      </c>
      <c r="B176" s="55">
        <v>45397</v>
      </c>
      <c r="C176" s="36" t="str">
        <f>UPPER(TEXT(Dados_Cursos[[#This Row],[Data]],"mmm"))</f>
        <v>ABR</v>
      </c>
      <c r="D176" s="52" t="s">
        <v>1470</v>
      </c>
      <c r="E176" s="49" t="str">
        <f>VLOOKUP(Dados_Cursos[[#This Row],[ID]],Apoio!A169:H1169,2,0)</f>
        <v>teresa.domingues169@gmail.com</v>
      </c>
      <c r="F176" s="36" t="s">
        <v>285</v>
      </c>
      <c r="G176" s="36" t="s">
        <v>2666</v>
      </c>
      <c r="H176" s="38">
        <v>800</v>
      </c>
      <c r="I176" s="49">
        <v>12</v>
      </c>
      <c r="J176" s="49" t="str">
        <f>VLOOKUP(Dados_Cursos[[#This Row],[ID]],Apoio!A169:H1169,4,0)</f>
        <v>Uíge</v>
      </c>
      <c r="K176" s="37" t="s">
        <v>112</v>
      </c>
      <c r="L176" s="37" t="s">
        <v>109</v>
      </c>
      <c r="M176" s="53"/>
    </row>
    <row r="177" spans="1:13" ht="20.100000000000001" customHeight="1" x14ac:dyDescent="0.25">
      <c r="A177" s="49">
        <v>170</v>
      </c>
      <c r="B177" s="55">
        <v>45419</v>
      </c>
      <c r="C177" s="36" t="str">
        <f>UPPER(TEXT(Dados_Cursos[[#This Row],[Data]],"mmm"))</f>
        <v>MAI</v>
      </c>
      <c r="D177" s="52" t="s">
        <v>1472</v>
      </c>
      <c r="E177" s="49" t="str">
        <f>VLOOKUP(Dados_Cursos[[#This Row],[ID]],Apoio!A170:H1170,2,0)</f>
        <v>daniel.lukeba170@gmail.com</v>
      </c>
      <c r="F177" s="36" t="s">
        <v>286</v>
      </c>
      <c r="G177" s="36" t="s">
        <v>2666</v>
      </c>
      <c r="H177" s="38">
        <v>800</v>
      </c>
      <c r="I177" s="49">
        <v>18</v>
      </c>
      <c r="J177" s="49" t="str">
        <f>VLOOKUP(Dados_Cursos[[#This Row],[ID]],Apoio!A170:H1170,4,0)</f>
        <v>Bengo</v>
      </c>
      <c r="K177" s="37" t="s">
        <v>113</v>
      </c>
      <c r="L177" s="37" t="s">
        <v>110</v>
      </c>
      <c r="M177" s="53"/>
    </row>
    <row r="178" spans="1:13" ht="20.100000000000001" customHeight="1" x14ac:dyDescent="0.25">
      <c r="A178" s="49">
        <v>171</v>
      </c>
      <c r="B178" s="55">
        <v>45580</v>
      </c>
      <c r="C178" s="36" t="str">
        <f>UPPER(TEXT(Dados_Cursos[[#This Row],[Data]],"mmm"))</f>
        <v>OUT</v>
      </c>
      <c r="D178" s="52" t="s">
        <v>1474</v>
      </c>
      <c r="E178" s="49" t="str">
        <f>VLOOKUP(Dados_Cursos[[#This Row],[ID]],Apoio!A171:H1171,2,0)</f>
        <v>isabel.martins171@gmail.com</v>
      </c>
      <c r="F178" s="36" t="s">
        <v>287</v>
      </c>
      <c r="G178" s="36" t="s">
        <v>2666</v>
      </c>
      <c r="H178" s="38">
        <v>1500</v>
      </c>
      <c r="I178" s="49">
        <v>5</v>
      </c>
      <c r="J178" s="49" t="str">
        <f>VLOOKUP(Dados_Cursos[[#This Row],[ID]],Apoio!A171:H1171,4,0)</f>
        <v>Lunda Sul</v>
      </c>
      <c r="K178" s="37" t="s">
        <v>113</v>
      </c>
      <c r="L178" s="37" t="s">
        <v>111</v>
      </c>
      <c r="M178" s="53"/>
    </row>
    <row r="179" spans="1:13" ht="20.100000000000001" customHeight="1" x14ac:dyDescent="0.25">
      <c r="A179" s="49">
        <v>172</v>
      </c>
      <c r="B179" s="55">
        <v>45498</v>
      </c>
      <c r="C179" s="36" t="str">
        <f>UPPER(TEXT(Dados_Cursos[[#This Row],[Data]],"mmm"))</f>
        <v>JUL</v>
      </c>
      <c r="D179" s="52" t="s">
        <v>1476</v>
      </c>
      <c r="E179" s="49" t="str">
        <f>VLOOKUP(Dados_Cursos[[#This Row],[ID]],Apoio!A172:H1172,2,0)</f>
        <v>luís.pereira172@gmail.com</v>
      </c>
      <c r="F179" s="36" t="s">
        <v>288</v>
      </c>
      <c r="G179" s="36" t="s">
        <v>2666</v>
      </c>
      <c r="H179" s="38">
        <v>800</v>
      </c>
      <c r="I179" s="49">
        <v>4</v>
      </c>
      <c r="J179" s="49" t="str">
        <f>VLOOKUP(Dados_Cursos[[#This Row],[ID]],Apoio!A172:H1172,4,0)</f>
        <v>Cuanza Norte</v>
      </c>
      <c r="K179" s="37" t="s">
        <v>112</v>
      </c>
      <c r="L179" s="37" t="s">
        <v>109</v>
      </c>
      <c r="M179" s="53"/>
    </row>
    <row r="180" spans="1:13" ht="20.100000000000001" customHeight="1" x14ac:dyDescent="0.25">
      <c r="A180" s="49">
        <v>173</v>
      </c>
      <c r="B180" s="55">
        <v>45352</v>
      </c>
      <c r="C180" s="36" t="str">
        <f>UPPER(TEXT(Dados_Cursos[[#This Row],[Data]],"mmm"))</f>
        <v>MAR</v>
      </c>
      <c r="D180" s="52" t="s">
        <v>1478</v>
      </c>
      <c r="E180" s="49" t="str">
        <f>VLOOKUP(Dados_Cursos[[#This Row],[ID]],Apoio!A173:H1173,2,0)</f>
        <v>josé.pinto173@gmail.com</v>
      </c>
      <c r="F180" s="36" t="s">
        <v>289</v>
      </c>
      <c r="G180" s="36" t="s">
        <v>2666</v>
      </c>
      <c r="H180" s="38">
        <v>1500</v>
      </c>
      <c r="I180" s="49">
        <v>6</v>
      </c>
      <c r="J180" s="49" t="str">
        <f>VLOOKUP(Dados_Cursos[[#This Row],[ID]],Apoio!A173:H1173,4,0)</f>
        <v>Bié</v>
      </c>
      <c r="K180" s="37" t="s">
        <v>112</v>
      </c>
      <c r="L180" s="37" t="s">
        <v>109</v>
      </c>
      <c r="M180" s="53"/>
    </row>
    <row r="181" spans="1:13" ht="20.100000000000001" customHeight="1" x14ac:dyDescent="0.25">
      <c r="A181" s="49">
        <v>174</v>
      </c>
      <c r="B181" s="55">
        <v>45564</v>
      </c>
      <c r="C181" s="36" t="str">
        <f>UPPER(TEXT(Dados_Cursos[[#This Row],[Data]],"mmm"))</f>
        <v>SET</v>
      </c>
      <c r="D181" s="52" t="s">
        <v>1210</v>
      </c>
      <c r="E181" s="49" t="str">
        <f>VLOOKUP(Dados_Cursos[[#This Row],[ID]],Apoio!A174:H1174,2,0)</f>
        <v>maria.monteiro174@gmail.com</v>
      </c>
      <c r="F181" s="36" t="s">
        <v>290</v>
      </c>
      <c r="G181" s="36" t="s">
        <v>2667</v>
      </c>
      <c r="H181" s="38">
        <v>1200</v>
      </c>
      <c r="I181" s="49">
        <v>15</v>
      </c>
      <c r="J181" s="49" t="str">
        <f>VLOOKUP(Dados_Cursos[[#This Row],[ID]],Apoio!A174:H1174,4,0)</f>
        <v>Bié</v>
      </c>
      <c r="K181" s="37" t="s">
        <v>113</v>
      </c>
      <c r="L181" s="37" t="s">
        <v>2649</v>
      </c>
      <c r="M181" s="53"/>
    </row>
    <row r="182" spans="1:13" ht="20.100000000000001" customHeight="1" x14ac:dyDescent="0.25">
      <c r="A182" s="49">
        <v>175</v>
      </c>
      <c r="B182" s="55">
        <v>45373</v>
      </c>
      <c r="C182" s="36" t="str">
        <f>UPPER(TEXT(Dados_Cursos[[#This Row],[Data]],"mmm"))</f>
        <v>MAR</v>
      </c>
      <c r="D182" s="52" t="s">
        <v>1156</v>
      </c>
      <c r="E182" s="49" t="str">
        <f>VLOOKUP(Dados_Cursos[[#This Row],[ID]],Apoio!A175:H1175,2,0)</f>
        <v>antónio.gomes175@gmail.com</v>
      </c>
      <c r="F182" s="36" t="s">
        <v>291</v>
      </c>
      <c r="G182" s="36" t="s">
        <v>2667</v>
      </c>
      <c r="H182" s="38">
        <v>1200</v>
      </c>
      <c r="I182" s="49">
        <v>5</v>
      </c>
      <c r="J182" s="49" t="str">
        <f>VLOOKUP(Dados_Cursos[[#This Row],[ID]],Apoio!A175:H1175,4,0)</f>
        <v>Cuanza Norte</v>
      </c>
      <c r="K182" s="37" t="s">
        <v>113</v>
      </c>
      <c r="L182" s="37" t="s">
        <v>110</v>
      </c>
      <c r="M182" s="53"/>
    </row>
    <row r="183" spans="1:13" ht="20.100000000000001" customHeight="1" x14ac:dyDescent="0.25">
      <c r="A183" s="49">
        <v>176</v>
      </c>
      <c r="B183" s="55">
        <v>45437</v>
      </c>
      <c r="C183" s="36" t="str">
        <f>UPPER(TEXT(Dados_Cursos[[#This Row],[Data]],"mmm"))</f>
        <v>MAI</v>
      </c>
      <c r="D183" s="52" t="s">
        <v>1482</v>
      </c>
      <c r="E183" s="49" t="str">
        <f>VLOOKUP(Dados_Cursos[[#This Row],[ID]],Apoio!A176:H1176,2,0)</f>
        <v>joão.pereira176@gmail.com</v>
      </c>
      <c r="F183" s="36" t="s">
        <v>292</v>
      </c>
      <c r="G183" s="36" t="s">
        <v>2666</v>
      </c>
      <c r="H183" s="38">
        <v>800</v>
      </c>
      <c r="I183" s="49">
        <v>2</v>
      </c>
      <c r="J183" s="49" t="str">
        <f>VLOOKUP(Dados_Cursos[[#This Row],[ID]],Apoio!A176:H1176,4,0)</f>
        <v>Moxico</v>
      </c>
      <c r="K183" s="37" t="s">
        <v>113</v>
      </c>
      <c r="L183" s="37" t="s">
        <v>111</v>
      </c>
      <c r="M183" s="53"/>
    </row>
    <row r="184" spans="1:13" ht="20.100000000000001" customHeight="1" x14ac:dyDescent="0.25">
      <c r="A184" s="49">
        <v>177</v>
      </c>
      <c r="B184" s="55">
        <v>45474</v>
      </c>
      <c r="C184" s="36" t="str">
        <f>UPPER(TEXT(Dados_Cursos[[#This Row],[Data]],"mmm"))</f>
        <v>JUL</v>
      </c>
      <c r="D184" s="52" t="s">
        <v>1484</v>
      </c>
      <c r="E184" s="49" t="str">
        <f>VLOOKUP(Dados_Cursos[[#This Row],[ID]],Apoio!A177:H1177,2,0)</f>
        <v>isabel.costa177@gmail.com</v>
      </c>
      <c r="F184" s="36" t="s">
        <v>293</v>
      </c>
      <c r="G184" s="36" t="s">
        <v>2666</v>
      </c>
      <c r="H184" s="38">
        <v>800</v>
      </c>
      <c r="I184" s="49">
        <v>3</v>
      </c>
      <c r="J184" s="49" t="str">
        <f>VLOOKUP(Dados_Cursos[[#This Row],[ID]],Apoio!A177:H1177,4,0)</f>
        <v>Bengo</v>
      </c>
      <c r="K184" s="37" t="s">
        <v>113</v>
      </c>
      <c r="L184" s="37" t="s">
        <v>2649</v>
      </c>
      <c r="M184" s="53"/>
    </row>
    <row r="185" spans="1:13" ht="20.100000000000001" customHeight="1" x14ac:dyDescent="0.25">
      <c r="A185" s="49">
        <v>178</v>
      </c>
      <c r="B185" s="55">
        <v>45637</v>
      </c>
      <c r="C185" s="36" t="str">
        <f>UPPER(TEXT(Dados_Cursos[[#This Row],[Data]],"mmm"))</f>
        <v>DEZ</v>
      </c>
      <c r="D185" s="52" t="s">
        <v>1486</v>
      </c>
      <c r="E185" s="49" t="str">
        <f>VLOOKUP(Dados_Cursos[[#This Row],[ID]],Apoio!A178:H1178,2,0)</f>
        <v>ana.david178@gmail.com</v>
      </c>
      <c r="F185" s="36" t="s">
        <v>294</v>
      </c>
      <c r="G185" s="36" t="s">
        <v>2666</v>
      </c>
      <c r="H185" s="38">
        <v>800</v>
      </c>
      <c r="I185" s="49">
        <v>7</v>
      </c>
      <c r="J185" s="49" t="str">
        <f>VLOOKUP(Dados_Cursos[[#This Row],[ID]],Apoio!A178:H1178,4,0)</f>
        <v>Namibe</v>
      </c>
      <c r="K185" s="37" t="s">
        <v>112</v>
      </c>
      <c r="L185" s="37" t="s">
        <v>109</v>
      </c>
      <c r="M185" s="53"/>
    </row>
    <row r="186" spans="1:13" ht="20.100000000000001" customHeight="1" x14ac:dyDescent="0.25">
      <c r="A186" s="49">
        <v>179</v>
      </c>
      <c r="B186" s="55">
        <v>45437</v>
      </c>
      <c r="C186" s="36" t="str">
        <f>UPPER(TEXT(Dados_Cursos[[#This Row],[Data]],"mmm"))</f>
        <v>MAI</v>
      </c>
      <c r="D186" s="52" t="s">
        <v>1488</v>
      </c>
      <c r="E186" s="49" t="str">
        <f>VLOOKUP(Dados_Cursos[[#This Row],[ID]],Apoio!A179:H1179,2,0)</f>
        <v>teresa.lopes179@gmail.com</v>
      </c>
      <c r="F186" s="36" t="s">
        <v>295</v>
      </c>
      <c r="G186" s="36" t="s">
        <v>2666</v>
      </c>
      <c r="H186" s="38">
        <v>1500</v>
      </c>
      <c r="I186" s="49">
        <v>9</v>
      </c>
      <c r="J186" s="49" t="str">
        <f>VLOOKUP(Dados_Cursos[[#This Row],[ID]],Apoio!A179:H1179,4,0)</f>
        <v>Lunda Norte</v>
      </c>
      <c r="K186" s="37" t="s">
        <v>113</v>
      </c>
      <c r="L186" s="37" t="s">
        <v>110</v>
      </c>
      <c r="M186" s="53"/>
    </row>
    <row r="187" spans="1:13" ht="20.100000000000001" customHeight="1" x14ac:dyDescent="0.25">
      <c r="A187" s="49">
        <v>180</v>
      </c>
      <c r="B187" s="55">
        <v>45584</v>
      </c>
      <c r="C187" s="36" t="str">
        <f>UPPER(TEXT(Dados_Cursos[[#This Row],[Data]],"mmm"))</f>
        <v>OUT</v>
      </c>
      <c r="D187" s="52" t="s">
        <v>1490</v>
      </c>
      <c r="E187" s="49" t="str">
        <f>VLOOKUP(Dados_Cursos[[#This Row],[ID]],Apoio!A180:H1180,2,0)</f>
        <v>nelson.fernandes180@gmail.com</v>
      </c>
      <c r="F187" s="36" t="s">
        <v>296</v>
      </c>
      <c r="G187" s="36" t="s">
        <v>2666</v>
      </c>
      <c r="H187" s="38">
        <v>1500</v>
      </c>
      <c r="I187" s="49">
        <v>13</v>
      </c>
      <c r="J187" s="49" t="str">
        <f>VLOOKUP(Dados_Cursos[[#This Row],[ID]],Apoio!A180:H1180,4,0)</f>
        <v>Lunda Sul</v>
      </c>
      <c r="K187" s="37" t="s">
        <v>113</v>
      </c>
      <c r="L187" s="37" t="s">
        <v>110</v>
      </c>
      <c r="M187" s="53"/>
    </row>
    <row r="188" spans="1:13" ht="20.100000000000001" customHeight="1" x14ac:dyDescent="0.25">
      <c r="A188" s="49">
        <v>181</v>
      </c>
      <c r="B188" s="55">
        <v>45618</v>
      </c>
      <c r="C188" s="36" t="str">
        <f>UPPER(TEXT(Dados_Cursos[[#This Row],[Data]],"mmm"))</f>
        <v>NOV</v>
      </c>
      <c r="D188" s="52" t="s">
        <v>1423</v>
      </c>
      <c r="E188" s="49" t="str">
        <f>VLOOKUP(Dados_Cursos[[#This Row],[ID]],Apoio!A181:H1181,2,0)</f>
        <v>sofia.miguel181@gmail.com</v>
      </c>
      <c r="F188" s="36" t="s">
        <v>297</v>
      </c>
      <c r="G188" s="36" t="s">
        <v>2666</v>
      </c>
      <c r="H188" s="38">
        <v>800</v>
      </c>
      <c r="I188" s="49">
        <v>11</v>
      </c>
      <c r="J188" s="49" t="str">
        <f>VLOOKUP(Dados_Cursos[[#This Row],[ID]],Apoio!A181:H1181,4,0)</f>
        <v>Zaire</v>
      </c>
      <c r="K188" s="37" t="s">
        <v>113</v>
      </c>
      <c r="L188" s="37" t="s">
        <v>111</v>
      </c>
      <c r="M188" s="53"/>
    </row>
    <row r="189" spans="1:13" ht="20.100000000000001" customHeight="1" x14ac:dyDescent="0.25">
      <c r="A189" s="49">
        <v>182</v>
      </c>
      <c r="B189" s="55">
        <v>45378</v>
      </c>
      <c r="C189" s="36" t="str">
        <f>UPPER(TEXT(Dados_Cursos[[#This Row],[Data]],"mmm"))</f>
        <v>MAR</v>
      </c>
      <c r="D189" s="52" t="s">
        <v>1493</v>
      </c>
      <c r="E189" s="49" t="str">
        <f>VLOOKUP(Dados_Cursos[[#This Row],[ID]],Apoio!A182:H1182,2,0)</f>
        <v>pedro.almeida182@gmail.com</v>
      </c>
      <c r="F189" s="36" t="s">
        <v>298</v>
      </c>
      <c r="G189" s="36" t="s">
        <v>2666</v>
      </c>
      <c r="H189" s="38">
        <v>1500</v>
      </c>
      <c r="I189" s="49">
        <v>15</v>
      </c>
      <c r="J189" s="49" t="str">
        <f>VLOOKUP(Dados_Cursos[[#This Row],[ID]],Apoio!A182:H1182,4,0)</f>
        <v>Icolo e Bengo</v>
      </c>
      <c r="K189" s="37" t="s">
        <v>113</v>
      </c>
      <c r="L189" s="37" t="s">
        <v>110</v>
      </c>
      <c r="M189" s="53"/>
    </row>
    <row r="190" spans="1:13" ht="20.100000000000001" customHeight="1" x14ac:dyDescent="0.25">
      <c r="A190" s="49">
        <v>183</v>
      </c>
      <c r="B190" s="55">
        <v>45636</v>
      </c>
      <c r="C190" s="36" t="str">
        <f>UPPER(TEXT(Dados_Cursos[[#This Row],[Data]],"mmm"))</f>
        <v>DEZ</v>
      </c>
      <c r="D190" s="52" t="s">
        <v>1335</v>
      </c>
      <c r="E190" s="49" t="str">
        <f>VLOOKUP(Dados_Cursos[[#This Row],[ID]],Apoio!A183:H1183,2,0)</f>
        <v>rosa.barbosa183@gmail.com</v>
      </c>
      <c r="F190" s="36" t="s">
        <v>299</v>
      </c>
      <c r="G190" s="36" t="s">
        <v>2666</v>
      </c>
      <c r="H190" s="38">
        <v>1500</v>
      </c>
      <c r="I190" s="49">
        <v>15</v>
      </c>
      <c r="J190" s="49" t="str">
        <f>VLOOKUP(Dados_Cursos[[#This Row],[ID]],Apoio!A183:H1183,4,0)</f>
        <v>Namibe</v>
      </c>
      <c r="K190" s="37" t="s">
        <v>113</v>
      </c>
      <c r="L190" s="37" t="s">
        <v>2649</v>
      </c>
      <c r="M190" s="53"/>
    </row>
    <row r="191" spans="1:13" ht="20.100000000000001" customHeight="1" x14ac:dyDescent="0.25">
      <c r="A191" s="49">
        <v>184</v>
      </c>
      <c r="B191" s="55">
        <v>45503</v>
      </c>
      <c r="C191" s="36" t="str">
        <f>UPPER(TEXT(Dados_Cursos[[#This Row],[Data]],"mmm"))</f>
        <v>JUL</v>
      </c>
      <c r="D191" s="52" t="s">
        <v>1496</v>
      </c>
      <c r="E191" s="49" t="str">
        <f>VLOOKUP(Dados_Cursos[[#This Row],[ID]],Apoio!A184:H1184,2,0)</f>
        <v>pedro.andrade184@gmail.com</v>
      </c>
      <c r="F191" s="36" t="s">
        <v>300</v>
      </c>
      <c r="G191" s="36" t="s">
        <v>2666</v>
      </c>
      <c r="H191" s="38">
        <v>800</v>
      </c>
      <c r="I191" s="49">
        <v>10</v>
      </c>
      <c r="J191" s="49" t="str">
        <f>VLOOKUP(Dados_Cursos[[#This Row],[ID]],Apoio!A184:H1184,4,0)</f>
        <v>Cunene</v>
      </c>
      <c r="K191" s="37" t="s">
        <v>113</v>
      </c>
      <c r="L191" s="37" t="s">
        <v>111</v>
      </c>
      <c r="M191" s="53"/>
    </row>
    <row r="192" spans="1:13" ht="20.100000000000001" customHeight="1" x14ac:dyDescent="0.25">
      <c r="A192" s="49">
        <v>185</v>
      </c>
      <c r="B192" s="55">
        <v>45322</v>
      </c>
      <c r="C192" s="36" t="str">
        <f>UPPER(TEXT(Dados_Cursos[[#This Row],[Data]],"mmm"))</f>
        <v>JAN</v>
      </c>
      <c r="D192" s="52" t="s">
        <v>1270</v>
      </c>
      <c r="E192" s="49" t="str">
        <f>VLOOKUP(Dados_Cursos[[#This Row],[ID]],Apoio!A185:H1185,2,0)</f>
        <v>nelson.silva185@gmail.com</v>
      </c>
      <c r="F192" s="36" t="s">
        <v>301</v>
      </c>
      <c r="G192" s="36" t="s">
        <v>2666</v>
      </c>
      <c r="H192" s="38">
        <v>800</v>
      </c>
      <c r="I192" s="49">
        <v>8</v>
      </c>
      <c r="J192" s="49" t="str">
        <f>VLOOKUP(Dados_Cursos[[#This Row],[ID]],Apoio!A185:H1185,4,0)</f>
        <v>Cabinda</v>
      </c>
      <c r="K192" s="37" t="s">
        <v>113</v>
      </c>
      <c r="L192" s="37" t="s">
        <v>111</v>
      </c>
      <c r="M192" s="53"/>
    </row>
    <row r="193" spans="1:13" ht="20.100000000000001" customHeight="1" x14ac:dyDescent="0.25">
      <c r="A193" s="49">
        <v>186</v>
      </c>
      <c r="B193" s="55">
        <v>45303</v>
      </c>
      <c r="C193" s="36" t="str">
        <f>UPPER(TEXT(Dados_Cursos[[#This Row],[Data]],"mmm"))</f>
        <v>JAN</v>
      </c>
      <c r="D193" s="52" t="s">
        <v>1183</v>
      </c>
      <c r="E193" s="49" t="str">
        <f>VLOOKUP(Dados_Cursos[[#This Row],[ID]],Apoio!A186:H1186,2,0)</f>
        <v>sofia.costa186@gmail.com</v>
      </c>
      <c r="F193" s="36" t="s">
        <v>302</v>
      </c>
      <c r="G193" s="36" t="s">
        <v>2666</v>
      </c>
      <c r="H193" s="38">
        <v>800</v>
      </c>
      <c r="I193" s="49">
        <v>20</v>
      </c>
      <c r="J193" s="49" t="str">
        <f>VLOOKUP(Dados_Cursos[[#This Row],[ID]],Apoio!A186:H1186,4,0)</f>
        <v>Icolo e Bengo</v>
      </c>
      <c r="K193" s="37" t="s">
        <v>113</v>
      </c>
      <c r="L193" s="37" t="s">
        <v>2649</v>
      </c>
      <c r="M193" s="53"/>
    </row>
    <row r="194" spans="1:13" ht="20.100000000000001" customHeight="1" x14ac:dyDescent="0.25">
      <c r="A194" s="49">
        <v>187</v>
      </c>
      <c r="B194" s="55">
        <v>45317</v>
      </c>
      <c r="C194" s="36" t="str">
        <f>UPPER(TEXT(Dados_Cursos[[#This Row],[Data]],"mmm"))</f>
        <v>JAN</v>
      </c>
      <c r="D194" s="52" t="s">
        <v>1500</v>
      </c>
      <c r="E194" s="49" t="str">
        <f>VLOOKUP(Dados_Cursos[[#This Row],[ID]],Apoio!A187:H1187,2,0)</f>
        <v>carlos.domingues187@gmail.com</v>
      </c>
      <c r="F194" s="36" t="s">
        <v>303</v>
      </c>
      <c r="G194" s="36" t="s">
        <v>2666</v>
      </c>
      <c r="H194" s="38">
        <v>1500</v>
      </c>
      <c r="I194" s="49">
        <v>6</v>
      </c>
      <c r="J194" s="49" t="str">
        <f>VLOOKUP(Dados_Cursos[[#This Row],[ID]],Apoio!A187:H1187,4,0)</f>
        <v>Huíla</v>
      </c>
      <c r="K194" s="37" t="s">
        <v>113</v>
      </c>
      <c r="L194" s="37" t="s">
        <v>110</v>
      </c>
      <c r="M194" s="53"/>
    </row>
    <row r="195" spans="1:13" ht="20.100000000000001" customHeight="1" x14ac:dyDescent="0.25">
      <c r="A195" s="49">
        <v>188</v>
      </c>
      <c r="B195" s="55">
        <v>45298</v>
      </c>
      <c r="C195" s="36" t="str">
        <f>UPPER(TEXT(Dados_Cursos[[#This Row],[Data]],"mmm"))</f>
        <v>JAN</v>
      </c>
      <c r="D195" s="52" t="s">
        <v>1444</v>
      </c>
      <c r="E195" s="49" t="str">
        <f>VLOOKUP(Dados_Cursos[[#This Row],[ID]],Apoio!A188:H1188,2,0)</f>
        <v>joaquim.martins188@gmail.com</v>
      </c>
      <c r="F195" s="36" t="s">
        <v>304</v>
      </c>
      <c r="G195" s="36" t="s">
        <v>2667</v>
      </c>
      <c r="H195" s="38">
        <v>1200</v>
      </c>
      <c r="I195" s="49">
        <v>1</v>
      </c>
      <c r="J195" s="49" t="str">
        <f>VLOOKUP(Dados_Cursos[[#This Row],[ID]],Apoio!A188:H1188,4,0)</f>
        <v>Malanje</v>
      </c>
      <c r="K195" s="37" t="s">
        <v>113</v>
      </c>
      <c r="L195" s="37" t="s">
        <v>111</v>
      </c>
      <c r="M195" s="53"/>
    </row>
    <row r="196" spans="1:13" ht="20.100000000000001" customHeight="1" x14ac:dyDescent="0.25">
      <c r="A196" s="49">
        <v>189</v>
      </c>
      <c r="B196" s="55">
        <v>45430</v>
      </c>
      <c r="C196" s="36" t="str">
        <f>UPPER(TEXT(Dados_Cursos[[#This Row],[Data]],"mmm"))</f>
        <v>MAI</v>
      </c>
      <c r="D196" s="52" t="s">
        <v>1503</v>
      </c>
      <c r="E196" s="49" t="str">
        <f>VLOOKUP(Dados_Cursos[[#This Row],[ID]],Apoio!A189:H1189,2,0)</f>
        <v>adriano.miguel189@gmail.com</v>
      </c>
      <c r="F196" s="36" t="s">
        <v>305</v>
      </c>
      <c r="G196" s="36" t="s">
        <v>2667</v>
      </c>
      <c r="H196" s="38">
        <v>1200</v>
      </c>
      <c r="I196" s="49">
        <v>6</v>
      </c>
      <c r="J196" s="49" t="str">
        <f>VLOOKUP(Dados_Cursos[[#This Row],[ID]],Apoio!A189:H1189,4,0)</f>
        <v>Bié</v>
      </c>
      <c r="K196" s="37" t="s">
        <v>112</v>
      </c>
      <c r="L196" s="37" t="s">
        <v>109</v>
      </c>
      <c r="M196" s="53"/>
    </row>
    <row r="197" spans="1:13" ht="20.100000000000001" customHeight="1" x14ac:dyDescent="0.25">
      <c r="A197" s="49">
        <v>190</v>
      </c>
      <c r="B197" s="55">
        <v>45484</v>
      </c>
      <c r="C197" s="36" t="str">
        <f>UPPER(TEXT(Dados_Cursos[[#This Row],[Data]],"mmm"))</f>
        <v>JUL</v>
      </c>
      <c r="D197" s="52" t="s">
        <v>1432</v>
      </c>
      <c r="E197" s="49" t="str">
        <f>VLOOKUP(Dados_Cursos[[#This Row],[ID]],Apoio!A190:H1190,2,0)</f>
        <v>teresa.barbosa190@gmail.com</v>
      </c>
      <c r="F197" s="36" t="s">
        <v>306</v>
      </c>
      <c r="G197" s="36" t="s">
        <v>2667</v>
      </c>
      <c r="H197" s="38">
        <v>1200</v>
      </c>
      <c r="I197" s="49">
        <v>6</v>
      </c>
      <c r="J197" s="49" t="str">
        <f>VLOOKUP(Dados_Cursos[[#This Row],[ID]],Apoio!A190:H1190,4,0)</f>
        <v>Huambo</v>
      </c>
      <c r="K197" s="37" t="s">
        <v>113</v>
      </c>
      <c r="L197" s="37" t="s">
        <v>2649</v>
      </c>
      <c r="M197" s="53"/>
    </row>
    <row r="198" spans="1:13" ht="20.100000000000001" customHeight="1" x14ac:dyDescent="0.25">
      <c r="A198" s="49">
        <v>191</v>
      </c>
      <c r="B198" s="55">
        <v>45557</v>
      </c>
      <c r="C198" s="36" t="str">
        <f>UPPER(TEXT(Dados_Cursos[[#This Row],[Data]],"mmm"))</f>
        <v>SET</v>
      </c>
      <c r="D198" s="52" t="s">
        <v>1506</v>
      </c>
      <c r="E198" s="49" t="str">
        <f>VLOOKUP(Dados_Cursos[[#This Row],[ID]],Apoio!A191:H1191,2,0)</f>
        <v>daniel.santos191@gmail.com</v>
      </c>
      <c r="F198" s="36" t="s">
        <v>307</v>
      </c>
      <c r="G198" s="36" t="s">
        <v>2666</v>
      </c>
      <c r="H198" s="38">
        <v>800</v>
      </c>
      <c r="I198" s="49">
        <v>7</v>
      </c>
      <c r="J198" s="49" t="str">
        <f>VLOOKUP(Dados_Cursos[[#This Row],[ID]],Apoio!A191:H1191,4,0)</f>
        <v>Lunda Norte</v>
      </c>
      <c r="K198" s="37" t="s">
        <v>113</v>
      </c>
      <c r="L198" s="37" t="s">
        <v>110</v>
      </c>
      <c r="M198" s="53"/>
    </row>
    <row r="199" spans="1:13" ht="20.100000000000001" customHeight="1" x14ac:dyDescent="0.25">
      <c r="A199" s="49">
        <v>192</v>
      </c>
      <c r="B199" s="55">
        <v>45537</v>
      </c>
      <c r="C199" s="36" t="str">
        <f>UPPER(TEXT(Dados_Cursos[[#This Row],[Data]],"mmm"))</f>
        <v>SET</v>
      </c>
      <c r="D199" s="52" t="s">
        <v>1508</v>
      </c>
      <c r="E199" s="49" t="str">
        <f>VLOOKUP(Dados_Cursos[[#This Row],[ID]],Apoio!A192:H1192,2,0)</f>
        <v>cláudia.almeida192@gmail.com</v>
      </c>
      <c r="F199" s="36" t="s">
        <v>308</v>
      </c>
      <c r="G199" s="36" t="s">
        <v>2667</v>
      </c>
      <c r="H199" s="38">
        <v>1200</v>
      </c>
      <c r="I199" s="49">
        <v>8</v>
      </c>
      <c r="J199" s="49" t="str">
        <f>VLOOKUP(Dados_Cursos[[#This Row],[ID]],Apoio!A192:H1192,4,0)</f>
        <v>Lunda Norte</v>
      </c>
      <c r="K199" s="37" t="s">
        <v>113</v>
      </c>
      <c r="L199" s="37" t="s">
        <v>2649</v>
      </c>
      <c r="M199" s="53"/>
    </row>
    <row r="200" spans="1:13" ht="20.100000000000001" customHeight="1" x14ac:dyDescent="0.25">
      <c r="A200" s="49">
        <v>193</v>
      </c>
      <c r="B200" s="55">
        <v>45525</v>
      </c>
      <c r="C200" s="36" t="str">
        <f>UPPER(TEXT(Dados_Cursos[[#This Row],[Data]],"mmm"))</f>
        <v>AGO</v>
      </c>
      <c r="D200" s="52" t="s">
        <v>1510</v>
      </c>
      <c r="E200" s="49" t="str">
        <f>VLOOKUP(Dados_Cursos[[#This Row],[ID]],Apoio!A193:H1193,2,0)</f>
        <v>samuel.lopes193@gmail.com</v>
      </c>
      <c r="F200" s="36" t="s">
        <v>309</v>
      </c>
      <c r="G200" s="36" t="s">
        <v>2666</v>
      </c>
      <c r="H200" s="38">
        <v>1500</v>
      </c>
      <c r="I200" s="49">
        <v>11</v>
      </c>
      <c r="J200" s="49" t="str">
        <f>VLOOKUP(Dados_Cursos[[#This Row],[ID]],Apoio!A193:H1193,4,0)</f>
        <v>Bengo</v>
      </c>
      <c r="K200" s="37" t="s">
        <v>113</v>
      </c>
      <c r="L200" s="37" t="s">
        <v>110</v>
      </c>
      <c r="M200" s="53"/>
    </row>
    <row r="201" spans="1:13" ht="20.100000000000001" customHeight="1" x14ac:dyDescent="0.25">
      <c r="A201" s="49">
        <v>194</v>
      </c>
      <c r="B201" s="55">
        <v>45637</v>
      </c>
      <c r="C201" s="36" t="str">
        <f>UPPER(TEXT(Dados_Cursos[[#This Row],[Data]],"mmm"))</f>
        <v>DEZ</v>
      </c>
      <c r="D201" s="52" t="s">
        <v>1512</v>
      </c>
      <c r="E201" s="49" t="str">
        <f>VLOOKUP(Dados_Cursos[[#This Row],[ID]],Apoio!A194:H1194,2,0)</f>
        <v>joão.pinto194@gmail.com</v>
      </c>
      <c r="F201" s="36" t="s">
        <v>310</v>
      </c>
      <c r="G201" s="36" t="s">
        <v>2666</v>
      </c>
      <c r="H201" s="38">
        <v>800</v>
      </c>
      <c r="I201" s="49">
        <v>20</v>
      </c>
      <c r="J201" s="49" t="str">
        <f>VLOOKUP(Dados_Cursos[[#This Row],[ID]],Apoio!A194:H1194,4,0)</f>
        <v>Moxico Leste</v>
      </c>
      <c r="K201" s="37" t="s">
        <v>113</v>
      </c>
      <c r="L201" s="37" t="s">
        <v>2649</v>
      </c>
      <c r="M201" s="53"/>
    </row>
    <row r="202" spans="1:13" ht="20.100000000000001" customHeight="1" x14ac:dyDescent="0.25">
      <c r="A202" s="49">
        <v>195</v>
      </c>
      <c r="B202" s="55">
        <v>45558</v>
      </c>
      <c r="C202" s="36" t="str">
        <f>UPPER(TEXT(Dados_Cursos[[#This Row],[Data]],"mmm"))</f>
        <v>SET</v>
      </c>
      <c r="D202" s="52" t="s">
        <v>1365</v>
      </c>
      <c r="E202" s="49" t="str">
        <f>VLOOKUP(Dados_Cursos[[#This Row],[ID]],Apoio!A195:H1195,2,0)</f>
        <v>maria.silva195@gmail.com</v>
      </c>
      <c r="F202" s="36" t="s">
        <v>311</v>
      </c>
      <c r="G202" s="36" t="s">
        <v>2666</v>
      </c>
      <c r="H202" s="38">
        <v>800</v>
      </c>
      <c r="I202" s="49">
        <v>12</v>
      </c>
      <c r="J202" s="49" t="str">
        <f>VLOOKUP(Dados_Cursos[[#This Row],[ID]],Apoio!A195:H1195,4,0)</f>
        <v>Namibe</v>
      </c>
      <c r="K202" s="37" t="s">
        <v>113</v>
      </c>
      <c r="L202" s="37" t="s">
        <v>2649</v>
      </c>
      <c r="M202" s="53"/>
    </row>
    <row r="203" spans="1:13" ht="20.100000000000001" customHeight="1" x14ac:dyDescent="0.25">
      <c r="A203" s="49">
        <v>196</v>
      </c>
      <c r="B203" s="55">
        <v>45316</v>
      </c>
      <c r="C203" s="36" t="str">
        <f>UPPER(TEXT(Dados_Cursos[[#This Row],[Data]],"mmm"))</f>
        <v>JAN</v>
      </c>
      <c r="D203" s="52" t="s">
        <v>1185</v>
      </c>
      <c r="E203" s="49" t="str">
        <f>VLOOKUP(Dados_Cursos[[#This Row],[ID]],Apoio!A196:H1196,2,0)</f>
        <v>isabel.andrade196@gmail.com</v>
      </c>
      <c r="F203" s="36" t="s">
        <v>312</v>
      </c>
      <c r="G203" s="36" t="s">
        <v>2667</v>
      </c>
      <c r="H203" s="38">
        <v>1200</v>
      </c>
      <c r="I203" s="49">
        <v>14</v>
      </c>
      <c r="J203" s="49" t="str">
        <f>VLOOKUP(Dados_Cursos[[#This Row],[ID]],Apoio!A196:H1196,4,0)</f>
        <v>Lunda Sul</v>
      </c>
      <c r="K203" s="37" t="s">
        <v>112</v>
      </c>
      <c r="L203" s="37" t="s">
        <v>109</v>
      </c>
      <c r="M203" s="53"/>
    </row>
    <row r="204" spans="1:13" ht="20.100000000000001" customHeight="1" x14ac:dyDescent="0.25">
      <c r="A204" s="49">
        <v>197</v>
      </c>
      <c r="B204" s="55">
        <v>45331</v>
      </c>
      <c r="C204" s="36" t="str">
        <f>UPPER(TEXT(Dados_Cursos[[#This Row],[Data]],"mmm"))</f>
        <v>FEV</v>
      </c>
      <c r="D204" s="52" t="s">
        <v>1516</v>
      </c>
      <c r="E204" s="49" t="str">
        <f>VLOOKUP(Dados_Cursos[[#This Row],[ID]],Apoio!A197:H1197,2,0)</f>
        <v>samuel.domingues197@gmail.com</v>
      </c>
      <c r="F204" s="36" t="s">
        <v>313</v>
      </c>
      <c r="G204" s="36" t="s">
        <v>2667</v>
      </c>
      <c r="H204" s="38">
        <v>1200</v>
      </c>
      <c r="I204" s="49">
        <v>4</v>
      </c>
      <c r="J204" s="49" t="str">
        <f>VLOOKUP(Dados_Cursos[[#This Row],[ID]],Apoio!A197:H1197,4,0)</f>
        <v>Cuando</v>
      </c>
      <c r="K204" s="37" t="s">
        <v>113</v>
      </c>
      <c r="L204" s="37" t="s">
        <v>2649</v>
      </c>
      <c r="M204" s="53"/>
    </row>
    <row r="205" spans="1:13" ht="20.100000000000001" customHeight="1" x14ac:dyDescent="0.25">
      <c r="A205" s="49">
        <v>198</v>
      </c>
      <c r="B205" s="55">
        <v>45591</v>
      </c>
      <c r="C205" s="36" t="str">
        <f>UPPER(TEXT(Dados_Cursos[[#This Row],[Data]],"mmm"))</f>
        <v>OUT</v>
      </c>
      <c r="D205" s="52" t="s">
        <v>1429</v>
      </c>
      <c r="E205" s="49" t="str">
        <f>VLOOKUP(Dados_Cursos[[#This Row],[ID]],Apoio!A198:H1198,2,0)</f>
        <v>adriano.almeida198@gmail.com</v>
      </c>
      <c r="F205" s="36" t="s">
        <v>314</v>
      </c>
      <c r="G205" s="36" t="s">
        <v>2666</v>
      </c>
      <c r="H205" s="38">
        <v>800</v>
      </c>
      <c r="I205" s="49">
        <v>6</v>
      </c>
      <c r="J205" s="49" t="str">
        <f>VLOOKUP(Dados_Cursos[[#This Row],[ID]],Apoio!A198:H1198,4,0)</f>
        <v>Moxico</v>
      </c>
      <c r="K205" s="37" t="s">
        <v>113</v>
      </c>
      <c r="L205" s="37" t="s">
        <v>2649</v>
      </c>
      <c r="M205" s="53"/>
    </row>
    <row r="206" spans="1:13" ht="20.100000000000001" customHeight="1" x14ac:dyDescent="0.25">
      <c r="A206" s="49">
        <v>199</v>
      </c>
      <c r="B206" s="55">
        <v>45456</v>
      </c>
      <c r="C206" s="36" t="str">
        <f>UPPER(TEXT(Dados_Cursos[[#This Row],[Data]],"mmm"))</f>
        <v>JUN</v>
      </c>
      <c r="D206" s="52" t="s">
        <v>1519</v>
      </c>
      <c r="E206" s="49" t="str">
        <f>VLOOKUP(Dados_Cursos[[#This Row],[ID]],Apoio!A199:H1199,2,0)</f>
        <v>mateus.rodrigues199@gmail.com</v>
      </c>
      <c r="F206" s="36" t="s">
        <v>315</v>
      </c>
      <c r="G206" s="36" t="s">
        <v>2667</v>
      </c>
      <c r="H206" s="38">
        <v>1200</v>
      </c>
      <c r="I206" s="49">
        <v>15</v>
      </c>
      <c r="J206" s="49" t="str">
        <f>VLOOKUP(Dados_Cursos[[#This Row],[ID]],Apoio!A199:H1199,4,0)</f>
        <v>Cuando</v>
      </c>
      <c r="K206" s="37" t="s">
        <v>113</v>
      </c>
      <c r="L206" s="37" t="s">
        <v>111</v>
      </c>
      <c r="M206" s="53"/>
    </row>
    <row r="207" spans="1:13" ht="20.100000000000001" customHeight="1" x14ac:dyDescent="0.25">
      <c r="A207" s="49">
        <v>200</v>
      </c>
      <c r="B207" s="55">
        <v>45630</v>
      </c>
      <c r="C207" s="36" t="str">
        <f>UPPER(TEXT(Dados_Cursos[[#This Row],[Data]],"mmm"))</f>
        <v>DEZ</v>
      </c>
      <c r="D207" s="52" t="s">
        <v>1521</v>
      </c>
      <c r="E207" s="49" t="str">
        <f>VLOOKUP(Dados_Cursos[[#This Row],[ID]],Apoio!A200:H1200,2,0)</f>
        <v>marta.andrade200@gmail.com</v>
      </c>
      <c r="F207" s="36" t="s">
        <v>316</v>
      </c>
      <c r="G207" s="36" t="s">
        <v>2667</v>
      </c>
      <c r="H207" s="38">
        <v>1200</v>
      </c>
      <c r="I207" s="49">
        <v>4</v>
      </c>
      <c r="J207" s="49" t="str">
        <f>VLOOKUP(Dados_Cursos[[#This Row],[ID]],Apoio!A200:H1200,4,0)</f>
        <v>Icolo e Bengo</v>
      </c>
      <c r="K207" s="37" t="s">
        <v>113</v>
      </c>
      <c r="L207" s="37" t="s">
        <v>2649</v>
      </c>
      <c r="M207" s="53"/>
    </row>
    <row r="208" spans="1:13" ht="20.100000000000001" customHeight="1" x14ac:dyDescent="0.25">
      <c r="A208" s="49">
        <v>201</v>
      </c>
      <c r="B208" s="55">
        <v>45573</v>
      </c>
      <c r="C208" s="36" t="str">
        <f>UPPER(TEXT(Dados_Cursos[[#This Row],[Data]],"mmm"))</f>
        <v>OUT</v>
      </c>
      <c r="D208" s="52" t="s">
        <v>1523</v>
      </c>
      <c r="E208" s="49" t="str">
        <f>VLOOKUP(Dados_Cursos[[#This Row],[ID]],Apoio!A201:H1201,2,0)</f>
        <v>joaquim.monteiro201@gmail.com</v>
      </c>
      <c r="F208" s="36" t="s">
        <v>317</v>
      </c>
      <c r="G208" s="36" t="s">
        <v>2667</v>
      </c>
      <c r="H208" s="38">
        <v>1200</v>
      </c>
      <c r="I208" s="49">
        <v>18</v>
      </c>
      <c r="J208" s="49" t="str">
        <f>VLOOKUP(Dados_Cursos[[#This Row],[ID]],Apoio!A201:H1201,4,0)</f>
        <v>Huambo</v>
      </c>
      <c r="K208" s="37" t="s">
        <v>113</v>
      </c>
      <c r="L208" s="37" t="s">
        <v>2649</v>
      </c>
      <c r="M208" s="53"/>
    </row>
    <row r="209" spans="1:13" ht="20.100000000000001" customHeight="1" x14ac:dyDescent="0.25">
      <c r="A209" s="49">
        <v>202</v>
      </c>
      <c r="B209" s="55">
        <v>45615</v>
      </c>
      <c r="C209" s="36" t="str">
        <f>UPPER(TEXT(Dados_Cursos[[#This Row],[Data]],"mmm"))</f>
        <v>NOV</v>
      </c>
      <c r="D209" s="52" t="s">
        <v>1340</v>
      </c>
      <c r="E209" s="49" t="str">
        <f>VLOOKUP(Dados_Cursos[[#This Row],[ID]],Apoio!A202:H1202,2,0)</f>
        <v>josé.silva202@gmail.com</v>
      </c>
      <c r="F209" s="36" t="s">
        <v>318</v>
      </c>
      <c r="G209" s="36" t="s">
        <v>2667</v>
      </c>
      <c r="H209" s="38">
        <v>1200</v>
      </c>
      <c r="I209" s="49">
        <v>18</v>
      </c>
      <c r="J209" s="49" t="str">
        <f>VLOOKUP(Dados_Cursos[[#This Row],[ID]],Apoio!A202:H1202,4,0)</f>
        <v>Lunda Sul</v>
      </c>
      <c r="K209" s="37" t="s">
        <v>113</v>
      </c>
      <c r="L209" s="37" t="s">
        <v>110</v>
      </c>
      <c r="M209" s="53"/>
    </row>
    <row r="210" spans="1:13" ht="20.100000000000001" customHeight="1" x14ac:dyDescent="0.25">
      <c r="A210" s="49">
        <v>203</v>
      </c>
      <c r="B210" s="55">
        <v>45579</v>
      </c>
      <c r="C210" s="36" t="str">
        <f>UPPER(TEXT(Dados_Cursos[[#This Row],[Data]],"mmm"))</f>
        <v>OUT</v>
      </c>
      <c r="D210" s="52" t="s">
        <v>1208</v>
      </c>
      <c r="E210" s="49" t="str">
        <f>VLOOKUP(Dados_Cursos[[#This Row],[ID]],Apoio!A203:H1203,2,0)</f>
        <v>pedro.lukeba203@gmail.com</v>
      </c>
      <c r="F210" s="36" t="s">
        <v>319</v>
      </c>
      <c r="G210" s="36" t="s">
        <v>2666</v>
      </c>
      <c r="H210" s="38">
        <v>1500</v>
      </c>
      <c r="I210" s="49">
        <v>11</v>
      </c>
      <c r="J210" s="49" t="str">
        <f>VLOOKUP(Dados_Cursos[[#This Row],[ID]],Apoio!A203:H1203,4,0)</f>
        <v>Huíla</v>
      </c>
      <c r="K210" s="37" t="s">
        <v>112</v>
      </c>
      <c r="L210" s="37" t="s">
        <v>109</v>
      </c>
      <c r="M210" s="53"/>
    </row>
    <row r="211" spans="1:13" ht="20.100000000000001" customHeight="1" x14ac:dyDescent="0.25">
      <c r="A211" s="49">
        <v>204</v>
      </c>
      <c r="B211" s="55">
        <v>45553</v>
      </c>
      <c r="C211" s="36" t="str">
        <f>UPPER(TEXT(Dados_Cursos[[#This Row],[Data]],"mmm"))</f>
        <v>SET</v>
      </c>
      <c r="D211" s="52" t="s">
        <v>1527</v>
      </c>
      <c r="E211" s="49" t="str">
        <f>VLOOKUP(Dados_Cursos[[#This Row],[ID]],Apoio!A204:H1204,2,0)</f>
        <v>domingos.miguel204@gmail.com</v>
      </c>
      <c r="F211" s="36" t="s">
        <v>320</v>
      </c>
      <c r="G211" s="36" t="s">
        <v>2666</v>
      </c>
      <c r="H211" s="38">
        <v>800</v>
      </c>
      <c r="I211" s="49">
        <v>9</v>
      </c>
      <c r="J211" s="49" t="str">
        <f>VLOOKUP(Dados_Cursos[[#This Row],[ID]],Apoio!A204:H1204,4,0)</f>
        <v>Malanje</v>
      </c>
      <c r="K211" s="37" t="s">
        <v>112</v>
      </c>
      <c r="L211" s="37" t="s">
        <v>109</v>
      </c>
      <c r="M211" s="53"/>
    </row>
    <row r="212" spans="1:13" ht="20.100000000000001" customHeight="1" x14ac:dyDescent="0.25">
      <c r="A212" s="49">
        <v>205</v>
      </c>
      <c r="B212" s="55">
        <v>45533</v>
      </c>
      <c r="C212" s="36" t="str">
        <f>UPPER(TEXT(Dados_Cursos[[#This Row],[Data]],"mmm"))</f>
        <v>AGO</v>
      </c>
      <c r="D212" s="52" t="s">
        <v>1529</v>
      </c>
      <c r="E212" s="49" t="str">
        <f>VLOOKUP(Dados_Cursos[[#This Row],[ID]],Apoio!A205:H1205,2,0)</f>
        <v>cláudia.pinto205@gmail.com</v>
      </c>
      <c r="F212" s="36" t="s">
        <v>321</v>
      </c>
      <c r="G212" s="36" t="s">
        <v>2667</v>
      </c>
      <c r="H212" s="38">
        <v>1200</v>
      </c>
      <c r="I212" s="49">
        <v>14</v>
      </c>
      <c r="J212" s="49" t="str">
        <f>VLOOKUP(Dados_Cursos[[#This Row],[ID]],Apoio!A205:H1205,4,0)</f>
        <v>Malanje</v>
      </c>
      <c r="K212" s="37" t="s">
        <v>113</v>
      </c>
      <c r="L212" s="37" t="s">
        <v>111</v>
      </c>
      <c r="M212" s="53"/>
    </row>
    <row r="213" spans="1:13" ht="20.100000000000001" customHeight="1" x14ac:dyDescent="0.25">
      <c r="A213" s="49">
        <v>206</v>
      </c>
      <c r="B213" s="55">
        <v>45314</v>
      </c>
      <c r="C213" s="36" t="str">
        <f>UPPER(TEXT(Dados_Cursos[[#This Row],[Data]],"mmm"))</f>
        <v>JAN</v>
      </c>
      <c r="D213" s="52" t="s">
        <v>1531</v>
      </c>
      <c r="E213" s="49" t="str">
        <f>VLOOKUP(Dados_Cursos[[#This Row],[ID]],Apoio!A206:H1206,2,0)</f>
        <v>bruno.monteiro206@gmail.com</v>
      </c>
      <c r="F213" s="36" t="s">
        <v>322</v>
      </c>
      <c r="G213" s="36" t="s">
        <v>2667</v>
      </c>
      <c r="H213" s="38">
        <v>1200</v>
      </c>
      <c r="I213" s="49">
        <v>2</v>
      </c>
      <c r="J213" s="49" t="str">
        <f>VLOOKUP(Dados_Cursos[[#This Row],[ID]],Apoio!A206:H1206,4,0)</f>
        <v>Huíla</v>
      </c>
      <c r="K213" s="37" t="s">
        <v>113</v>
      </c>
      <c r="L213" s="37" t="s">
        <v>111</v>
      </c>
      <c r="M213" s="53"/>
    </row>
    <row r="214" spans="1:13" ht="20.100000000000001" customHeight="1" x14ac:dyDescent="0.25">
      <c r="A214" s="49">
        <v>207</v>
      </c>
      <c r="B214" s="55">
        <v>45430</v>
      </c>
      <c r="C214" s="36" t="str">
        <f>UPPER(TEXT(Dados_Cursos[[#This Row],[Data]],"mmm"))</f>
        <v>MAI</v>
      </c>
      <c r="D214" s="52" t="s">
        <v>1351</v>
      </c>
      <c r="E214" s="49" t="str">
        <f>VLOOKUP(Dados_Cursos[[#This Row],[ID]],Apoio!A207:H1207,2,0)</f>
        <v>daniel.miguel207@gmail.com</v>
      </c>
      <c r="F214" s="36" t="s">
        <v>323</v>
      </c>
      <c r="G214" s="36" t="s">
        <v>2667</v>
      </c>
      <c r="H214" s="38">
        <v>1200</v>
      </c>
      <c r="I214" s="49">
        <v>9</v>
      </c>
      <c r="J214" s="49" t="str">
        <f>VLOOKUP(Dados_Cursos[[#This Row],[ID]],Apoio!A207:H1207,4,0)</f>
        <v>Huambo</v>
      </c>
      <c r="K214" s="37" t="s">
        <v>113</v>
      </c>
      <c r="L214" s="37" t="s">
        <v>111</v>
      </c>
      <c r="M214" s="53"/>
    </row>
    <row r="215" spans="1:13" ht="20.100000000000001" customHeight="1" x14ac:dyDescent="0.25">
      <c r="A215" s="49">
        <v>208</v>
      </c>
      <c r="B215" s="55">
        <v>45564</v>
      </c>
      <c r="C215" s="36" t="str">
        <f>UPPER(TEXT(Dados_Cursos[[#This Row],[Data]],"mmm"))</f>
        <v>SET</v>
      </c>
      <c r="D215" s="52" t="s">
        <v>1534</v>
      </c>
      <c r="E215" s="49" t="str">
        <f>VLOOKUP(Dados_Cursos[[#This Row],[ID]],Apoio!A208:H1208,2,0)</f>
        <v>fátima.monteiro208@gmail.com</v>
      </c>
      <c r="F215" s="36" t="s">
        <v>324</v>
      </c>
      <c r="G215" s="36" t="s">
        <v>2666</v>
      </c>
      <c r="H215" s="38">
        <v>800</v>
      </c>
      <c r="I215" s="49">
        <v>15</v>
      </c>
      <c r="J215" s="49" t="str">
        <f>VLOOKUP(Dados_Cursos[[#This Row],[ID]],Apoio!A208:H1208,4,0)</f>
        <v>Icolo e Bengo</v>
      </c>
      <c r="K215" s="37" t="s">
        <v>113</v>
      </c>
      <c r="L215" s="37" t="s">
        <v>111</v>
      </c>
      <c r="M215" s="53"/>
    </row>
    <row r="216" spans="1:13" ht="20.100000000000001" customHeight="1" x14ac:dyDescent="0.25">
      <c r="A216" s="49">
        <v>209</v>
      </c>
      <c r="B216" s="55">
        <v>45564</v>
      </c>
      <c r="C216" s="36" t="str">
        <f>UPPER(TEXT(Dados_Cursos[[#This Row],[Data]],"mmm"))</f>
        <v>SET</v>
      </c>
      <c r="D216" s="52" t="s">
        <v>1488</v>
      </c>
      <c r="E216" s="49" t="str">
        <f>VLOOKUP(Dados_Cursos[[#This Row],[ID]],Apoio!A209:H1209,2,0)</f>
        <v>teresa.lopes209@gmail.com</v>
      </c>
      <c r="F216" s="36" t="s">
        <v>325</v>
      </c>
      <c r="G216" s="36" t="s">
        <v>2666</v>
      </c>
      <c r="H216" s="38">
        <v>1500</v>
      </c>
      <c r="I216" s="49">
        <v>16</v>
      </c>
      <c r="J216" s="49" t="str">
        <f>VLOOKUP(Dados_Cursos[[#This Row],[ID]],Apoio!A209:H1209,4,0)</f>
        <v>Icolo e Bengo</v>
      </c>
      <c r="K216" s="37" t="s">
        <v>113</v>
      </c>
      <c r="L216" s="37" t="s">
        <v>110</v>
      </c>
      <c r="M216" s="53"/>
    </row>
    <row r="217" spans="1:13" ht="20.100000000000001" customHeight="1" x14ac:dyDescent="0.25">
      <c r="A217" s="49">
        <v>210</v>
      </c>
      <c r="B217" s="55">
        <v>45417</v>
      </c>
      <c r="C217" s="36" t="str">
        <f>UPPER(TEXT(Dados_Cursos[[#This Row],[Data]],"mmm"))</f>
        <v>MAI</v>
      </c>
      <c r="D217" s="52" t="s">
        <v>1537</v>
      </c>
      <c r="E217" s="49" t="str">
        <f>VLOOKUP(Dados_Cursos[[#This Row],[ID]],Apoio!A210:H1210,2,0)</f>
        <v>sofia.soares210@gmail.com</v>
      </c>
      <c r="F217" s="36" t="s">
        <v>326</v>
      </c>
      <c r="G217" s="36" t="s">
        <v>2667</v>
      </c>
      <c r="H217" s="38">
        <v>1200</v>
      </c>
      <c r="I217" s="49">
        <v>7</v>
      </c>
      <c r="J217" s="49" t="str">
        <f>VLOOKUP(Dados_Cursos[[#This Row],[ID]],Apoio!A210:H1210,4,0)</f>
        <v>Cunene</v>
      </c>
      <c r="K217" s="37" t="s">
        <v>113</v>
      </c>
      <c r="L217" s="37" t="s">
        <v>110</v>
      </c>
      <c r="M217" s="53"/>
    </row>
    <row r="218" spans="1:13" ht="20.100000000000001" customHeight="1" x14ac:dyDescent="0.25">
      <c r="A218" s="49">
        <v>211</v>
      </c>
      <c r="B218" s="55">
        <v>45544</v>
      </c>
      <c r="C218" s="36" t="str">
        <f>UPPER(TEXT(Dados_Cursos[[#This Row],[Data]],"mmm"))</f>
        <v>SET</v>
      </c>
      <c r="D218" s="52" t="s">
        <v>1539</v>
      </c>
      <c r="E218" s="49" t="str">
        <f>VLOOKUP(Dados_Cursos[[#This Row],[ID]],Apoio!A211:H1211,2,0)</f>
        <v>benedito.domingues211@gmail.com</v>
      </c>
      <c r="F218" s="36" t="s">
        <v>327</v>
      </c>
      <c r="G218" s="36" t="s">
        <v>2667</v>
      </c>
      <c r="H218" s="38">
        <v>1200</v>
      </c>
      <c r="I218" s="49">
        <v>1</v>
      </c>
      <c r="J218" s="49" t="str">
        <f>VLOOKUP(Dados_Cursos[[#This Row],[ID]],Apoio!A211:H1211,4,0)</f>
        <v>Cubango</v>
      </c>
      <c r="K218" s="37" t="s">
        <v>113</v>
      </c>
      <c r="L218" s="37" t="s">
        <v>111</v>
      </c>
      <c r="M218" s="53"/>
    </row>
    <row r="219" spans="1:13" ht="20.100000000000001" customHeight="1" x14ac:dyDescent="0.25">
      <c r="A219" s="49">
        <v>212</v>
      </c>
      <c r="B219" s="55">
        <v>45501</v>
      </c>
      <c r="C219" s="36" t="str">
        <f>UPPER(TEXT(Dados_Cursos[[#This Row],[Data]],"mmm"))</f>
        <v>JUL</v>
      </c>
      <c r="D219" s="52" t="s">
        <v>1541</v>
      </c>
      <c r="E219" s="49" t="str">
        <f>VLOOKUP(Dados_Cursos[[#This Row],[ID]],Apoio!A212:H1212,2,0)</f>
        <v>francisco.monteiro212@gmail.com</v>
      </c>
      <c r="F219" s="36" t="s">
        <v>328</v>
      </c>
      <c r="G219" s="36" t="s">
        <v>2666</v>
      </c>
      <c r="H219" s="38">
        <v>800</v>
      </c>
      <c r="I219" s="49">
        <v>10</v>
      </c>
      <c r="J219" s="49" t="str">
        <f>VLOOKUP(Dados_Cursos[[#This Row],[ID]],Apoio!A212:H1212,4,0)</f>
        <v>Cuanza Sul</v>
      </c>
      <c r="K219" s="37" t="s">
        <v>113</v>
      </c>
      <c r="L219" s="37" t="s">
        <v>111</v>
      </c>
      <c r="M219" s="53"/>
    </row>
    <row r="220" spans="1:13" ht="20.100000000000001" customHeight="1" x14ac:dyDescent="0.25">
      <c r="A220" s="49">
        <v>213</v>
      </c>
      <c r="B220" s="55">
        <v>45586</v>
      </c>
      <c r="C220" s="36" t="str">
        <f>UPPER(TEXT(Dados_Cursos[[#This Row],[Data]],"mmm"))</f>
        <v>OUT</v>
      </c>
      <c r="D220" s="52" t="s">
        <v>1543</v>
      </c>
      <c r="E220" s="49" t="str">
        <f>VLOOKUP(Dados_Cursos[[#This Row],[ID]],Apoio!A213:H1213,2,0)</f>
        <v>teresa.miguel213@gmail.com</v>
      </c>
      <c r="F220" s="36" t="s">
        <v>329</v>
      </c>
      <c r="G220" s="36" t="s">
        <v>2666</v>
      </c>
      <c r="H220" s="38">
        <v>1500</v>
      </c>
      <c r="I220" s="49">
        <v>3</v>
      </c>
      <c r="J220" s="49" t="str">
        <f>VLOOKUP(Dados_Cursos[[#This Row],[ID]],Apoio!A213:H1213,4,0)</f>
        <v>Cunene</v>
      </c>
      <c r="K220" s="37" t="s">
        <v>112</v>
      </c>
      <c r="L220" s="37" t="s">
        <v>109</v>
      </c>
      <c r="M220" s="53"/>
    </row>
    <row r="221" spans="1:13" ht="20.100000000000001" customHeight="1" x14ac:dyDescent="0.25">
      <c r="A221" s="49">
        <v>214</v>
      </c>
      <c r="B221" s="55">
        <v>45657</v>
      </c>
      <c r="C221" s="36" t="str">
        <f>UPPER(TEXT(Dados_Cursos[[#This Row],[Data]],"mmm"))</f>
        <v>DEZ</v>
      </c>
      <c r="D221" s="52" t="s">
        <v>1545</v>
      </c>
      <c r="E221" s="49" t="str">
        <f>VLOOKUP(Dados_Cursos[[#This Row],[ID]],Apoio!A214:H1214,2,0)</f>
        <v>adriano.tavares214@gmail.com</v>
      </c>
      <c r="F221" s="36" t="s">
        <v>330</v>
      </c>
      <c r="G221" s="36" t="s">
        <v>2666</v>
      </c>
      <c r="H221" s="38">
        <v>1500</v>
      </c>
      <c r="I221" s="49">
        <v>10</v>
      </c>
      <c r="J221" s="49" t="str">
        <f>VLOOKUP(Dados_Cursos[[#This Row],[ID]],Apoio!A214:H1214,4,0)</f>
        <v>Lunda Norte</v>
      </c>
      <c r="K221" s="37" t="s">
        <v>113</v>
      </c>
      <c r="L221" s="37" t="s">
        <v>110</v>
      </c>
      <c r="M221" s="53"/>
    </row>
    <row r="222" spans="1:13" ht="20.100000000000001" customHeight="1" x14ac:dyDescent="0.25">
      <c r="A222" s="49">
        <v>215</v>
      </c>
      <c r="B222" s="55">
        <v>45648</v>
      </c>
      <c r="C222" s="36" t="str">
        <f>UPPER(TEXT(Dados_Cursos[[#This Row],[Data]],"mmm"))</f>
        <v>DEZ</v>
      </c>
      <c r="D222" s="52" t="s">
        <v>1547</v>
      </c>
      <c r="E222" s="49" t="str">
        <f>VLOOKUP(Dados_Cursos[[#This Row],[ID]],Apoio!A215:H1215,2,0)</f>
        <v>rui.david215@gmail.com</v>
      </c>
      <c r="F222" s="36" t="s">
        <v>331</v>
      </c>
      <c r="G222" s="36" t="s">
        <v>2666</v>
      </c>
      <c r="H222" s="38">
        <v>1500</v>
      </c>
      <c r="I222" s="49">
        <v>19</v>
      </c>
      <c r="J222" s="49" t="str">
        <f>VLOOKUP(Dados_Cursos[[#This Row],[ID]],Apoio!A215:H1215,4,0)</f>
        <v>Lunda Sul</v>
      </c>
      <c r="K222" s="37" t="s">
        <v>113</v>
      </c>
      <c r="L222" s="37" t="s">
        <v>111</v>
      </c>
      <c r="M222" s="53"/>
    </row>
    <row r="223" spans="1:13" ht="20.100000000000001" customHeight="1" x14ac:dyDescent="0.25">
      <c r="A223" s="49">
        <v>216</v>
      </c>
      <c r="B223" s="55">
        <v>45470</v>
      </c>
      <c r="C223" s="36" t="str">
        <f>UPPER(TEXT(Dados_Cursos[[#This Row],[Data]],"mmm"))</f>
        <v>JUN</v>
      </c>
      <c r="D223" s="52" t="s">
        <v>1549</v>
      </c>
      <c r="E223" s="49" t="str">
        <f>VLOOKUP(Dados_Cursos[[#This Row],[ID]],Apoio!A216:H1216,2,0)</f>
        <v>rui.santos216@gmail.com</v>
      </c>
      <c r="F223" s="36" t="s">
        <v>332</v>
      </c>
      <c r="G223" s="36" t="s">
        <v>2667</v>
      </c>
      <c r="H223" s="38">
        <v>1200</v>
      </c>
      <c r="I223" s="49">
        <v>4</v>
      </c>
      <c r="J223" s="49" t="str">
        <f>VLOOKUP(Dados_Cursos[[#This Row],[ID]],Apoio!A216:H1216,4,0)</f>
        <v>Benguela</v>
      </c>
      <c r="K223" s="37" t="s">
        <v>113</v>
      </c>
      <c r="L223" s="37" t="s">
        <v>2649</v>
      </c>
      <c r="M223" s="53"/>
    </row>
    <row r="224" spans="1:13" ht="20.100000000000001" customHeight="1" x14ac:dyDescent="0.25">
      <c r="A224" s="49">
        <v>217</v>
      </c>
      <c r="B224" s="55">
        <v>45460</v>
      </c>
      <c r="C224" s="36" t="str">
        <f>UPPER(TEXT(Dados_Cursos[[#This Row],[Data]],"mmm"))</f>
        <v>JUN</v>
      </c>
      <c r="D224" s="52" t="s">
        <v>1309</v>
      </c>
      <c r="E224" s="49" t="str">
        <f>VLOOKUP(Dados_Cursos[[#This Row],[ID]],Apoio!A217:H1217,2,0)</f>
        <v>manuel.santos217@gmail.com</v>
      </c>
      <c r="F224" s="36" t="s">
        <v>333</v>
      </c>
      <c r="G224" s="36" t="s">
        <v>2666</v>
      </c>
      <c r="H224" s="38">
        <v>800</v>
      </c>
      <c r="I224" s="49">
        <v>7</v>
      </c>
      <c r="J224" s="49" t="str">
        <f>VLOOKUP(Dados_Cursos[[#This Row],[ID]],Apoio!A217:H1217,4,0)</f>
        <v>Bengo</v>
      </c>
      <c r="K224" s="37" t="s">
        <v>113</v>
      </c>
      <c r="L224" s="37" t="s">
        <v>110</v>
      </c>
      <c r="M224" s="53"/>
    </row>
    <row r="225" spans="1:13" ht="20.100000000000001" customHeight="1" x14ac:dyDescent="0.25">
      <c r="A225" s="49">
        <v>218</v>
      </c>
      <c r="B225" s="55">
        <v>45515</v>
      </c>
      <c r="C225" s="36" t="str">
        <f>UPPER(TEXT(Dados_Cursos[[#This Row],[Data]],"mmm"))</f>
        <v>AGO</v>
      </c>
      <c r="D225" s="52" t="s">
        <v>1457</v>
      </c>
      <c r="E225" s="49" t="str">
        <f>VLOOKUP(Dados_Cursos[[#This Row],[ID]],Apoio!A218:H1218,2,0)</f>
        <v>rosa.soares218@gmail.com</v>
      </c>
      <c r="F225" s="36" t="s">
        <v>334</v>
      </c>
      <c r="G225" s="36" t="s">
        <v>2666</v>
      </c>
      <c r="H225" s="38">
        <v>800</v>
      </c>
      <c r="I225" s="49">
        <v>19</v>
      </c>
      <c r="J225" s="49" t="str">
        <f>VLOOKUP(Dados_Cursos[[#This Row],[ID]],Apoio!A218:H1218,4,0)</f>
        <v>Huíla</v>
      </c>
      <c r="K225" s="37" t="s">
        <v>112</v>
      </c>
      <c r="L225" s="37" t="s">
        <v>109</v>
      </c>
      <c r="M225" s="53"/>
    </row>
    <row r="226" spans="1:13" ht="20.100000000000001" customHeight="1" x14ac:dyDescent="0.25">
      <c r="A226" s="49">
        <v>219</v>
      </c>
      <c r="B226" s="55">
        <v>45327</v>
      </c>
      <c r="C226" s="36" t="str">
        <f>UPPER(TEXT(Dados_Cursos[[#This Row],[Data]],"mmm"))</f>
        <v>FEV</v>
      </c>
      <c r="D226" s="52" t="s">
        <v>1553</v>
      </c>
      <c r="E226" s="49" t="str">
        <f>VLOOKUP(Dados_Cursos[[#This Row],[ID]],Apoio!A219:H1219,2,0)</f>
        <v>domingos.almeida219@gmail.com</v>
      </c>
      <c r="F226" s="36" t="s">
        <v>335</v>
      </c>
      <c r="G226" s="36" t="s">
        <v>2667</v>
      </c>
      <c r="H226" s="38">
        <v>1200</v>
      </c>
      <c r="I226" s="49">
        <v>16</v>
      </c>
      <c r="J226" s="49" t="str">
        <f>VLOOKUP(Dados_Cursos[[#This Row],[ID]],Apoio!A219:H1219,4,0)</f>
        <v>Huíla</v>
      </c>
      <c r="K226" s="37" t="s">
        <v>112</v>
      </c>
      <c r="L226" s="37" t="s">
        <v>109</v>
      </c>
      <c r="M226" s="53"/>
    </row>
    <row r="227" spans="1:13" ht="20.100000000000001" customHeight="1" x14ac:dyDescent="0.25">
      <c r="A227" s="49">
        <v>220</v>
      </c>
      <c r="B227" s="55">
        <v>45643</v>
      </c>
      <c r="C227" s="36" t="str">
        <f>UPPER(TEXT(Dados_Cursos[[#This Row],[Data]],"mmm"))</f>
        <v>DEZ</v>
      </c>
      <c r="D227" s="52" t="s">
        <v>1478</v>
      </c>
      <c r="E227" s="49" t="str">
        <f>VLOOKUP(Dados_Cursos[[#This Row],[ID]],Apoio!A220:H1220,2,0)</f>
        <v>josé.pinto220@gmail.com</v>
      </c>
      <c r="F227" s="36" t="s">
        <v>336</v>
      </c>
      <c r="G227" s="36" t="s">
        <v>2666</v>
      </c>
      <c r="H227" s="38">
        <v>1500</v>
      </c>
      <c r="I227" s="49">
        <v>10</v>
      </c>
      <c r="J227" s="49" t="str">
        <f>VLOOKUP(Dados_Cursos[[#This Row],[ID]],Apoio!A220:H1220,4,0)</f>
        <v>Cabinda</v>
      </c>
      <c r="K227" s="37" t="s">
        <v>113</v>
      </c>
      <c r="L227" s="37" t="s">
        <v>111</v>
      </c>
      <c r="M227" s="53"/>
    </row>
    <row r="228" spans="1:13" ht="20.100000000000001" customHeight="1" x14ac:dyDescent="0.25">
      <c r="A228" s="49">
        <v>221</v>
      </c>
      <c r="B228" s="55">
        <v>45648</v>
      </c>
      <c r="C228" s="36" t="str">
        <f>UPPER(TEXT(Dados_Cursos[[#This Row],[Data]],"mmm"))</f>
        <v>DEZ</v>
      </c>
      <c r="D228" s="52" t="s">
        <v>1556</v>
      </c>
      <c r="E228" s="49" t="str">
        <f>VLOOKUP(Dados_Cursos[[#This Row],[ID]],Apoio!A221:H1221,2,0)</f>
        <v>joaquim.fernandes221@gmail.com</v>
      </c>
      <c r="F228" s="36" t="s">
        <v>337</v>
      </c>
      <c r="G228" s="36" t="s">
        <v>2667</v>
      </c>
      <c r="H228" s="38">
        <v>1200</v>
      </c>
      <c r="I228" s="49">
        <v>20</v>
      </c>
      <c r="J228" s="49" t="str">
        <f>VLOOKUP(Dados_Cursos[[#This Row],[ID]],Apoio!A221:H1221,4,0)</f>
        <v>Cuanza Sul</v>
      </c>
      <c r="K228" s="37" t="s">
        <v>113</v>
      </c>
      <c r="L228" s="37" t="s">
        <v>111</v>
      </c>
      <c r="M228" s="53"/>
    </row>
    <row r="229" spans="1:13" ht="20.100000000000001" customHeight="1" x14ac:dyDescent="0.25">
      <c r="A229" s="49">
        <v>222</v>
      </c>
      <c r="B229" s="55">
        <v>45405</v>
      </c>
      <c r="C229" s="36" t="str">
        <f>UPPER(TEXT(Dados_Cursos[[#This Row],[Data]],"mmm"))</f>
        <v>ABR</v>
      </c>
      <c r="D229" s="52" t="s">
        <v>1558</v>
      </c>
      <c r="E229" s="49" t="str">
        <f>VLOOKUP(Dados_Cursos[[#This Row],[ID]],Apoio!A222:H1222,2,0)</f>
        <v>rosa.pereira222@gmail.com</v>
      </c>
      <c r="F229" s="36" t="s">
        <v>338</v>
      </c>
      <c r="G229" s="36" t="s">
        <v>2666</v>
      </c>
      <c r="H229" s="38">
        <v>800</v>
      </c>
      <c r="I229" s="49">
        <v>7</v>
      </c>
      <c r="J229" s="49" t="str">
        <f>VLOOKUP(Dados_Cursos[[#This Row],[ID]],Apoio!A222:H1222,4,0)</f>
        <v>Luanda</v>
      </c>
      <c r="K229" s="37" t="s">
        <v>112</v>
      </c>
      <c r="L229" s="37" t="s">
        <v>109</v>
      </c>
      <c r="M229" s="53"/>
    </row>
    <row r="230" spans="1:13" ht="20.100000000000001" customHeight="1" x14ac:dyDescent="0.25">
      <c r="A230" s="49">
        <v>223</v>
      </c>
      <c r="B230" s="55">
        <v>45503</v>
      </c>
      <c r="C230" s="36" t="str">
        <f>UPPER(TEXT(Dados_Cursos[[#This Row],[Data]],"mmm"))</f>
        <v>JUL</v>
      </c>
      <c r="D230" s="52" t="s">
        <v>1560</v>
      </c>
      <c r="E230" s="49" t="str">
        <f>VLOOKUP(Dados_Cursos[[#This Row],[ID]],Apoio!A223:H1223,2,0)</f>
        <v>joaquim.rodrigues223@gmail.com</v>
      </c>
      <c r="F230" s="36" t="s">
        <v>339</v>
      </c>
      <c r="G230" s="36" t="s">
        <v>2666</v>
      </c>
      <c r="H230" s="38">
        <v>1500</v>
      </c>
      <c r="I230" s="49">
        <v>11</v>
      </c>
      <c r="J230" s="49" t="str">
        <f>VLOOKUP(Dados_Cursos[[#This Row],[ID]],Apoio!A223:H1223,4,0)</f>
        <v>Zaire</v>
      </c>
      <c r="K230" s="37" t="s">
        <v>113</v>
      </c>
      <c r="L230" s="37" t="s">
        <v>2649</v>
      </c>
      <c r="M230" s="53"/>
    </row>
    <row r="231" spans="1:13" ht="20.100000000000001" customHeight="1" x14ac:dyDescent="0.25">
      <c r="A231" s="49">
        <v>224</v>
      </c>
      <c r="B231" s="55">
        <v>45308</v>
      </c>
      <c r="C231" s="36" t="str">
        <f>UPPER(TEXT(Dados_Cursos[[#This Row],[Data]],"mmm"))</f>
        <v>JAN</v>
      </c>
      <c r="D231" s="52" t="s">
        <v>1371</v>
      </c>
      <c r="E231" s="49" t="str">
        <f>VLOOKUP(Dados_Cursos[[#This Row],[ID]],Apoio!A224:H1224,2,0)</f>
        <v>fátima.lopes224@gmail.com</v>
      </c>
      <c r="F231" s="36" t="s">
        <v>340</v>
      </c>
      <c r="G231" s="36" t="s">
        <v>2666</v>
      </c>
      <c r="H231" s="38">
        <v>1500</v>
      </c>
      <c r="I231" s="49">
        <v>6</v>
      </c>
      <c r="J231" s="49" t="str">
        <f>VLOOKUP(Dados_Cursos[[#This Row],[ID]],Apoio!A224:H1224,4,0)</f>
        <v>Cuando</v>
      </c>
      <c r="K231" s="37" t="s">
        <v>112</v>
      </c>
      <c r="L231" s="37" t="s">
        <v>109</v>
      </c>
      <c r="M231" s="53"/>
    </row>
    <row r="232" spans="1:13" ht="20.100000000000001" customHeight="1" x14ac:dyDescent="0.25">
      <c r="A232" s="49">
        <v>225</v>
      </c>
      <c r="B232" s="55">
        <v>45632</v>
      </c>
      <c r="C232" s="36" t="str">
        <f>UPPER(TEXT(Dados_Cursos[[#This Row],[Data]],"mmm"))</f>
        <v>DEZ</v>
      </c>
      <c r="D232" s="52" t="s">
        <v>1135</v>
      </c>
      <c r="E232" s="49" t="str">
        <f>VLOOKUP(Dados_Cursos[[#This Row],[ID]],Apoio!A225:H1225,2,0)</f>
        <v>bruno.barbosa225@gmail.com</v>
      </c>
      <c r="F232" s="36" t="s">
        <v>341</v>
      </c>
      <c r="G232" s="36" t="s">
        <v>2666</v>
      </c>
      <c r="H232" s="38">
        <v>1500</v>
      </c>
      <c r="I232" s="49">
        <v>7</v>
      </c>
      <c r="J232" s="49" t="str">
        <f>VLOOKUP(Dados_Cursos[[#This Row],[ID]],Apoio!A225:H1225,4,0)</f>
        <v>Cuando</v>
      </c>
      <c r="K232" s="37" t="s">
        <v>112</v>
      </c>
      <c r="L232" s="37" t="s">
        <v>109</v>
      </c>
      <c r="M232" s="53"/>
    </row>
    <row r="233" spans="1:13" ht="20.100000000000001" customHeight="1" x14ac:dyDescent="0.25">
      <c r="A233" s="49">
        <v>226</v>
      </c>
      <c r="B233" s="55">
        <v>45335</v>
      </c>
      <c r="C233" s="36" t="str">
        <f>UPPER(TEXT(Dados_Cursos[[#This Row],[Data]],"mmm"))</f>
        <v>FEV</v>
      </c>
      <c r="D233" s="52" t="s">
        <v>1564</v>
      </c>
      <c r="E233" s="49" t="str">
        <f>VLOOKUP(Dados_Cursos[[#This Row],[ID]],Apoio!A226:H1226,2,0)</f>
        <v>mateus.andrade226@gmail.com</v>
      </c>
      <c r="F233" s="36" t="s">
        <v>342</v>
      </c>
      <c r="G233" s="36" t="s">
        <v>2666</v>
      </c>
      <c r="H233" s="38">
        <v>800</v>
      </c>
      <c r="I233" s="49">
        <v>10</v>
      </c>
      <c r="J233" s="49" t="str">
        <f>VLOOKUP(Dados_Cursos[[#This Row],[ID]],Apoio!A226:H1226,4,0)</f>
        <v>Icolo e Bengo</v>
      </c>
      <c r="K233" s="37" t="s">
        <v>113</v>
      </c>
      <c r="L233" s="37" t="s">
        <v>2649</v>
      </c>
      <c r="M233" s="53"/>
    </row>
    <row r="234" spans="1:13" ht="20.100000000000001" customHeight="1" x14ac:dyDescent="0.25">
      <c r="A234" s="49">
        <v>227</v>
      </c>
      <c r="B234" s="55">
        <v>45315</v>
      </c>
      <c r="C234" s="36" t="str">
        <f>UPPER(TEXT(Dados_Cursos[[#This Row],[Data]],"mmm"))</f>
        <v>JAN</v>
      </c>
      <c r="D234" s="52" t="s">
        <v>1289</v>
      </c>
      <c r="E234" s="49" t="str">
        <f>VLOOKUP(Dados_Cursos[[#This Row],[ID]],Apoio!A227:H1227,2,0)</f>
        <v>isabel.david227@gmail.com</v>
      </c>
      <c r="F234" s="36" t="s">
        <v>343</v>
      </c>
      <c r="G234" s="36" t="s">
        <v>2666</v>
      </c>
      <c r="H234" s="38">
        <v>800</v>
      </c>
      <c r="I234" s="49">
        <v>20</v>
      </c>
      <c r="J234" s="49" t="str">
        <f>VLOOKUP(Dados_Cursos[[#This Row],[ID]],Apoio!A227:H1227,4,0)</f>
        <v>Malanje</v>
      </c>
      <c r="K234" s="37" t="s">
        <v>113</v>
      </c>
      <c r="L234" s="37" t="s">
        <v>2649</v>
      </c>
      <c r="M234" s="53"/>
    </row>
    <row r="235" spans="1:13" ht="20.100000000000001" customHeight="1" x14ac:dyDescent="0.25">
      <c r="A235" s="49">
        <v>228</v>
      </c>
      <c r="B235" s="55">
        <v>45575</v>
      </c>
      <c r="C235" s="36" t="str">
        <f>UPPER(TEXT(Dados_Cursos[[#This Row],[Data]],"mmm"))</f>
        <v>OUT</v>
      </c>
      <c r="D235" s="52" t="s">
        <v>1567</v>
      </c>
      <c r="E235" s="49" t="str">
        <f>VLOOKUP(Dados_Cursos[[#This Row],[ID]],Apoio!A228:H1228,2,0)</f>
        <v>isabel.pereira228@gmail.com</v>
      </c>
      <c r="F235" s="36" t="s">
        <v>344</v>
      </c>
      <c r="G235" s="36" t="s">
        <v>2667</v>
      </c>
      <c r="H235" s="38">
        <v>1200</v>
      </c>
      <c r="I235" s="49">
        <v>15</v>
      </c>
      <c r="J235" s="49" t="str">
        <f>VLOOKUP(Dados_Cursos[[#This Row],[ID]],Apoio!A228:H1228,4,0)</f>
        <v>Cuando</v>
      </c>
      <c r="K235" s="37" t="s">
        <v>112</v>
      </c>
      <c r="L235" s="37" t="s">
        <v>109</v>
      </c>
      <c r="M235" s="53"/>
    </row>
    <row r="236" spans="1:13" ht="20.100000000000001" customHeight="1" x14ac:dyDescent="0.25">
      <c r="A236" s="49">
        <v>229</v>
      </c>
      <c r="B236" s="55">
        <v>45483</v>
      </c>
      <c r="C236" s="36" t="str">
        <f>UPPER(TEXT(Dados_Cursos[[#This Row],[Data]],"mmm"))</f>
        <v>JUL</v>
      </c>
      <c r="D236" s="52" t="s">
        <v>1569</v>
      </c>
      <c r="E236" s="49" t="str">
        <f>VLOOKUP(Dados_Cursos[[#This Row],[ID]],Apoio!A229:H1229,2,0)</f>
        <v>francisco.tavares229@gmail.com</v>
      </c>
      <c r="F236" s="36" t="s">
        <v>345</v>
      </c>
      <c r="G236" s="36" t="s">
        <v>2667</v>
      </c>
      <c r="H236" s="38">
        <v>1200</v>
      </c>
      <c r="I236" s="49">
        <v>8</v>
      </c>
      <c r="J236" s="49" t="str">
        <f>VLOOKUP(Dados_Cursos[[#This Row],[ID]],Apoio!A229:H1229,4,0)</f>
        <v>Moxico</v>
      </c>
      <c r="K236" s="37" t="s">
        <v>113</v>
      </c>
      <c r="L236" s="37" t="s">
        <v>2649</v>
      </c>
      <c r="M236" s="53"/>
    </row>
    <row r="237" spans="1:13" ht="20.100000000000001" customHeight="1" x14ac:dyDescent="0.25">
      <c r="A237" s="49">
        <v>230</v>
      </c>
      <c r="B237" s="55">
        <v>45503</v>
      </c>
      <c r="C237" s="36" t="str">
        <f>UPPER(TEXT(Dados_Cursos[[#This Row],[Data]],"mmm"))</f>
        <v>JUL</v>
      </c>
      <c r="D237" s="52" t="s">
        <v>1571</v>
      </c>
      <c r="E237" s="49" t="str">
        <f>VLOOKUP(Dados_Cursos[[#This Row],[ID]],Apoio!A230:H1230,2,0)</f>
        <v>isabel.gomes230@gmail.com</v>
      </c>
      <c r="F237" s="36" t="s">
        <v>346</v>
      </c>
      <c r="G237" s="36" t="s">
        <v>2667</v>
      </c>
      <c r="H237" s="38">
        <v>1200</v>
      </c>
      <c r="I237" s="49">
        <v>18</v>
      </c>
      <c r="J237" s="49" t="str">
        <f>VLOOKUP(Dados_Cursos[[#This Row],[ID]],Apoio!A230:H1230,4,0)</f>
        <v>Moxico Leste</v>
      </c>
      <c r="K237" s="37" t="s">
        <v>113</v>
      </c>
      <c r="L237" s="37" t="s">
        <v>111</v>
      </c>
      <c r="M237" s="53"/>
    </row>
    <row r="238" spans="1:13" ht="20.100000000000001" customHeight="1" x14ac:dyDescent="0.25">
      <c r="A238" s="49">
        <v>231</v>
      </c>
      <c r="B238" s="55">
        <v>45496</v>
      </c>
      <c r="C238" s="36" t="str">
        <f>UPPER(TEXT(Dados_Cursos[[#This Row],[Data]],"mmm"))</f>
        <v>JUL</v>
      </c>
      <c r="D238" s="52" t="s">
        <v>1573</v>
      </c>
      <c r="E238" s="49" t="str">
        <f>VLOOKUP(Dados_Cursos[[#This Row],[ID]],Apoio!A231:H1231,2,0)</f>
        <v>marta.domingues231@gmail.com</v>
      </c>
      <c r="F238" s="36" t="s">
        <v>347</v>
      </c>
      <c r="G238" s="36" t="s">
        <v>2667</v>
      </c>
      <c r="H238" s="38">
        <v>1200</v>
      </c>
      <c r="I238" s="49">
        <v>14</v>
      </c>
      <c r="J238" s="49" t="str">
        <f>VLOOKUP(Dados_Cursos[[#This Row],[ID]],Apoio!A231:H1231,4,0)</f>
        <v>Malanje</v>
      </c>
      <c r="K238" s="37" t="s">
        <v>113</v>
      </c>
      <c r="L238" s="37" t="s">
        <v>110</v>
      </c>
      <c r="M238" s="53"/>
    </row>
    <row r="239" spans="1:13" ht="20.100000000000001" customHeight="1" x14ac:dyDescent="0.25">
      <c r="A239" s="49">
        <v>232</v>
      </c>
      <c r="B239" s="55">
        <v>45385</v>
      </c>
      <c r="C239" s="36" t="str">
        <f>UPPER(TEXT(Dados_Cursos[[#This Row],[Data]],"mmm"))</f>
        <v>ABR</v>
      </c>
      <c r="D239" s="52" t="s">
        <v>1575</v>
      </c>
      <c r="E239" s="49" t="str">
        <f>VLOOKUP(Dados_Cursos[[#This Row],[ID]],Apoio!A232:H1232,2,0)</f>
        <v>daniel.silva232@gmail.com</v>
      </c>
      <c r="F239" s="36" t="s">
        <v>348</v>
      </c>
      <c r="G239" s="36" t="s">
        <v>2666</v>
      </c>
      <c r="H239" s="38">
        <v>800</v>
      </c>
      <c r="I239" s="49">
        <v>19</v>
      </c>
      <c r="J239" s="49" t="str">
        <f>VLOOKUP(Dados_Cursos[[#This Row],[ID]],Apoio!A232:H1232,4,0)</f>
        <v>Uíge</v>
      </c>
      <c r="K239" s="37" t="s">
        <v>113</v>
      </c>
      <c r="L239" s="37" t="s">
        <v>111</v>
      </c>
      <c r="M239" s="53"/>
    </row>
    <row r="240" spans="1:13" ht="20.100000000000001" customHeight="1" x14ac:dyDescent="0.25">
      <c r="A240" s="49">
        <v>233</v>
      </c>
      <c r="B240" s="55">
        <v>45518</v>
      </c>
      <c r="C240" s="36" t="str">
        <f>UPPER(TEXT(Dados_Cursos[[#This Row],[Data]],"mmm"))</f>
        <v>AGO</v>
      </c>
      <c r="D240" s="52" t="s">
        <v>1577</v>
      </c>
      <c r="E240" s="49" t="str">
        <f>VLOOKUP(Dados_Cursos[[#This Row],[ID]],Apoio!A233:H1233,2,0)</f>
        <v>marta.fernandes233@gmail.com</v>
      </c>
      <c r="F240" s="36" t="s">
        <v>349</v>
      </c>
      <c r="G240" s="36" t="s">
        <v>2667</v>
      </c>
      <c r="H240" s="38">
        <v>1200</v>
      </c>
      <c r="I240" s="49">
        <v>8</v>
      </c>
      <c r="J240" s="49" t="str">
        <f>VLOOKUP(Dados_Cursos[[#This Row],[ID]],Apoio!A233:H1233,4,0)</f>
        <v>Namibe</v>
      </c>
      <c r="K240" s="37" t="s">
        <v>112</v>
      </c>
      <c r="L240" s="37" t="s">
        <v>109</v>
      </c>
      <c r="M240" s="53"/>
    </row>
    <row r="241" spans="1:13" ht="20.100000000000001" customHeight="1" x14ac:dyDescent="0.25">
      <c r="A241" s="49">
        <v>234</v>
      </c>
      <c r="B241" s="55">
        <v>45512</v>
      </c>
      <c r="C241" s="36" t="str">
        <f>UPPER(TEXT(Dados_Cursos[[#This Row],[Data]],"mmm"))</f>
        <v>AGO</v>
      </c>
      <c r="D241" s="52" t="s">
        <v>1534</v>
      </c>
      <c r="E241" s="49" t="str">
        <f>VLOOKUP(Dados_Cursos[[#This Row],[ID]],Apoio!A234:H1234,2,0)</f>
        <v>fátima.monteiro234@gmail.com</v>
      </c>
      <c r="F241" s="36" t="s">
        <v>350</v>
      </c>
      <c r="G241" s="36" t="s">
        <v>2666</v>
      </c>
      <c r="H241" s="38">
        <v>1500</v>
      </c>
      <c r="I241" s="49">
        <v>11</v>
      </c>
      <c r="J241" s="49" t="str">
        <f>VLOOKUP(Dados_Cursos[[#This Row],[ID]],Apoio!A234:H1234,4,0)</f>
        <v>Cabinda</v>
      </c>
      <c r="K241" s="37" t="s">
        <v>113</v>
      </c>
      <c r="L241" s="37" t="s">
        <v>110</v>
      </c>
      <c r="M241" s="53"/>
    </row>
    <row r="242" spans="1:13" ht="20.100000000000001" customHeight="1" x14ac:dyDescent="0.25">
      <c r="A242" s="49">
        <v>235</v>
      </c>
      <c r="B242" s="55">
        <v>45654</v>
      </c>
      <c r="C242" s="36" t="str">
        <f>UPPER(TEXT(Dados_Cursos[[#This Row],[Data]],"mmm"))</f>
        <v>DEZ</v>
      </c>
      <c r="D242" s="52" t="s">
        <v>1580</v>
      </c>
      <c r="E242" s="49" t="str">
        <f>VLOOKUP(Dados_Cursos[[#This Row],[ID]],Apoio!A235:H1235,2,0)</f>
        <v>mateus.silva235@gmail.com</v>
      </c>
      <c r="F242" s="36" t="s">
        <v>351</v>
      </c>
      <c r="G242" s="36" t="s">
        <v>2666</v>
      </c>
      <c r="H242" s="38">
        <v>1500</v>
      </c>
      <c r="I242" s="49">
        <v>16</v>
      </c>
      <c r="J242" s="49" t="str">
        <f>VLOOKUP(Dados_Cursos[[#This Row],[ID]],Apoio!A235:H1235,4,0)</f>
        <v>Uíge</v>
      </c>
      <c r="K242" s="37" t="s">
        <v>113</v>
      </c>
      <c r="L242" s="37" t="s">
        <v>110</v>
      </c>
      <c r="M242" s="53"/>
    </row>
    <row r="243" spans="1:13" ht="20.100000000000001" customHeight="1" x14ac:dyDescent="0.25">
      <c r="A243" s="49">
        <v>236</v>
      </c>
      <c r="B243" s="55">
        <v>45460</v>
      </c>
      <c r="C243" s="36" t="str">
        <f>UPPER(TEXT(Dados_Cursos[[#This Row],[Data]],"mmm"))</f>
        <v>JUN</v>
      </c>
      <c r="D243" s="52" t="s">
        <v>1582</v>
      </c>
      <c r="E243" s="49" t="str">
        <f>VLOOKUP(Dados_Cursos[[#This Row],[ID]],Apoio!A236:H1236,2,0)</f>
        <v>david.pinto236@gmail.com</v>
      </c>
      <c r="F243" s="36" t="s">
        <v>352</v>
      </c>
      <c r="G243" s="36" t="s">
        <v>2666</v>
      </c>
      <c r="H243" s="38">
        <v>800</v>
      </c>
      <c r="I243" s="49">
        <v>9</v>
      </c>
      <c r="J243" s="49" t="str">
        <f>VLOOKUP(Dados_Cursos[[#This Row],[ID]],Apoio!A236:H1236,4,0)</f>
        <v>Zaire</v>
      </c>
      <c r="K243" s="37" t="s">
        <v>113</v>
      </c>
      <c r="L243" s="37" t="s">
        <v>2649</v>
      </c>
      <c r="M243" s="53"/>
    </row>
    <row r="244" spans="1:13" ht="20.100000000000001" customHeight="1" x14ac:dyDescent="0.25">
      <c r="A244" s="49">
        <v>237</v>
      </c>
      <c r="B244" s="55">
        <v>45320</v>
      </c>
      <c r="C244" s="36" t="str">
        <f>UPPER(TEXT(Dados_Cursos[[#This Row],[Data]],"mmm"))</f>
        <v>JAN</v>
      </c>
      <c r="D244" s="52" t="s">
        <v>1584</v>
      </c>
      <c r="E244" s="49" t="str">
        <f>VLOOKUP(Dados_Cursos[[#This Row],[ID]],Apoio!A237:H1237,2,0)</f>
        <v>david.gomes237@gmail.com</v>
      </c>
      <c r="F244" s="36" t="s">
        <v>353</v>
      </c>
      <c r="G244" s="36" t="s">
        <v>2666</v>
      </c>
      <c r="H244" s="38">
        <v>800</v>
      </c>
      <c r="I244" s="49">
        <v>8</v>
      </c>
      <c r="J244" s="49" t="str">
        <f>VLOOKUP(Dados_Cursos[[#This Row],[ID]],Apoio!A237:H1237,4,0)</f>
        <v>Cuanza Sul</v>
      </c>
      <c r="K244" s="37" t="s">
        <v>112</v>
      </c>
      <c r="L244" s="37" t="s">
        <v>109</v>
      </c>
      <c r="M244" s="53"/>
    </row>
    <row r="245" spans="1:13" ht="20.100000000000001" customHeight="1" x14ac:dyDescent="0.25">
      <c r="A245" s="49">
        <v>238</v>
      </c>
      <c r="B245" s="55">
        <v>45396</v>
      </c>
      <c r="C245" s="36" t="str">
        <f>UPPER(TEXT(Dados_Cursos[[#This Row],[Data]],"mmm"))</f>
        <v>ABR</v>
      </c>
      <c r="D245" s="52" t="s">
        <v>1586</v>
      </c>
      <c r="E245" s="49" t="str">
        <f>VLOOKUP(Dados_Cursos[[#This Row],[ID]],Apoio!A238:H1238,2,0)</f>
        <v>ana.silva238@gmail.com</v>
      </c>
      <c r="F245" s="36" t="s">
        <v>354</v>
      </c>
      <c r="G245" s="36" t="s">
        <v>2667</v>
      </c>
      <c r="H245" s="38">
        <v>1200</v>
      </c>
      <c r="I245" s="49">
        <v>8</v>
      </c>
      <c r="J245" s="49" t="str">
        <f>VLOOKUP(Dados_Cursos[[#This Row],[ID]],Apoio!A238:H1238,4,0)</f>
        <v>Namibe</v>
      </c>
      <c r="K245" s="37" t="s">
        <v>112</v>
      </c>
      <c r="L245" s="37" t="s">
        <v>109</v>
      </c>
      <c r="M245" s="53"/>
    </row>
    <row r="246" spans="1:13" ht="20.100000000000001" customHeight="1" x14ac:dyDescent="0.25">
      <c r="A246" s="49">
        <v>239</v>
      </c>
      <c r="B246" s="55">
        <v>45584</v>
      </c>
      <c r="C246" s="36" t="str">
        <f>UPPER(TEXT(Dados_Cursos[[#This Row],[Data]],"mmm"))</f>
        <v>OUT</v>
      </c>
      <c r="D246" s="52" t="s">
        <v>1588</v>
      </c>
      <c r="E246" s="49" t="str">
        <f>VLOOKUP(Dados_Cursos[[#This Row],[ID]],Apoio!A239:H1239,2,0)</f>
        <v>marta.david239@gmail.com</v>
      </c>
      <c r="F246" s="36" t="s">
        <v>355</v>
      </c>
      <c r="G246" s="36" t="s">
        <v>2667</v>
      </c>
      <c r="H246" s="38">
        <v>1200</v>
      </c>
      <c r="I246" s="49">
        <v>16</v>
      </c>
      <c r="J246" s="49" t="str">
        <f>VLOOKUP(Dados_Cursos[[#This Row],[ID]],Apoio!A239:H1239,4,0)</f>
        <v>Lunda Sul</v>
      </c>
      <c r="K246" s="37" t="s">
        <v>113</v>
      </c>
      <c r="L246" s="37" t="s">
        <v>110</v>
      </c>
      <c r="M246" s="53"/>
    </row>
    <row r="247" spans="1:13" ht="20.100000000000001" customHeight="1" x14ac:dyDescent="0.25">
      <c r="A247" s="49">
        <v>240</v>
      </c>
      <c r="B247" s="55">
        <v>45509</v>
      </c>
      <c r="C247" s="36" t="str">
        <f>UPPER(TEXT(Dados_Cursos[[#This Row],[Data]],"mmm"))</f>
        <v>AGO</v>
      </c>
      <c r="D247" s="52" t="s">
        <v>1590</v>
      </c>
      <c r="E247" s="49" t="str">
        <f>VLOOKUP(Dados_Cursos[[#This Row],[ID]],Apoio!A240:H1240,2,0)</f>
        <v>luís.rodrigues240@gmail.com</v>
      </c>
      <c r="F247" s="36" t="s">
        <v>356</v>
      </c>
      <c r="G247" s="36" t="s">
        <v>2667</v>
      </c>
      <c r="H247" s="38">
        <v>1200</v>
      </c>
      <c r="I247" s="49">
        <v>15</v>
      </c>
      <c r="J247" s="49" t="str">
        <f>VLOOKUP(Dados_Cursos[[#This Row],[ID]],Apoio!A240:H1240,4,0)</f>
        <v>Huambo</v>
      </c>
      <c r="K247" s="37" t="s">
        <v>113</v>
      </c>
      <c r="L247" s="37" t="s">
        <v>111</v>
      </c>
      <c r="M247" s="53"/>
    </row>
    <row r="248" spans="1:13" ht="20.100000000000001" customHeight="1" x14ac:dyDescent="0.25">
      <c r="A248" s="49">
        <v>241</v>
      </c>
      <c r="B248" s="55">
        <v>45339</v>
      </c>
      <c r="C248" s="36" t="str">
        <f>UPPER(TEXT(Dados_Cursos[[#This Row],[Data]],"mmm"))</f>
        <v>FEV</v>
      </c>
      <c r="D248" s="52" t="s">
        <v>1416</v>
      </c>
      <c r="E248" s="49" t="str">
        <f>VLOOKUP(Dados_Cursos[[#This Row],[ID]],Apoio!A241:H1241,2,0)</f>
        <v>carlos.monteiro241@gmail.com</v>
      </c>
      <c r="F248" s="36" t="s">
        <v>357</v>
      </c>
      <c r="G248" s="36" t="s">
        <v>2666</v>
      </c>
      <c r="H248" s="38">
        <v>1500</v>
      </c>
      <c r="I248" s="49">
        <v>18</v>
      </c>
      <c r="J248" s="49" t="str">
        <f>VLOOKUP(Dados_Cursos[[#This Row],[ID]],Apoio!A241:H1241,4,0)</f>
        <v>Huíla</v>
      </c>
      <c r="K248" s="37" t="s">
        <v>113</v>
      </c>
      <c r="L248" s="37" t="s">
        <v>2649</v>
      </c>
      <c r="M248" s="53"/>
    </row>
    <row r="249" spans="1:13" ht="20.100000000000001" customHeight="1" x14ac:dyDescent="0.25">
      <c r="A249" s="49">
        <v>242</v>
      </c>
      <c r="B249" s="55">
        <v>45627</v>
      </c>
      <c r="C249" s="36" t="str">
        <f>UPPER(TEXT(Dados_Cursos[[#This Row],[Data]],"mmm"))</f>
        <v>DEZ</v>
      </c>
      <c r="D249" s="52" t="s">
        <v>1593</v>
      </c>
      <c r="E249" s="49" t="str">
        <f>VLOOKUP(Dados_Cursos[[#This Row],[ID]],Apoio!A242:H1242,2,0)</f>
        <v>maria.pereira242@gmail.com</v>
      </c>
      <c r="F249" s="36" t="s">
        <v>358</v>
      </c>
      <c r="G249" s="36" t="s">
        <v>2666</v>
      </c>
      <c r="H249" s="38">
        <v>1500</v>
      </c>
      <c r="I249" s="49">
        <v>19</v>
      </c>
      <c r="J249" s="49" t="str">
        <f>VLOOKUP(Dados_Cursos[[#This Row],[ID]],Apoio!A242:H1242,4,0)</f>
        <v>Huambo</v>
      </c>
      <c r="K249" s="37" t="s">
        <v>113</v>
      </c>
      <c r="L249" s="37" t="s">
        <v>110</v>
      </c>
      <c r="M249" s="53"/>
    </row>
    <row r="250" spans="1:13" ht="20.100000000000001" customHeight="1" x14ac:dyDescent="0.25">
      <c r="A250" s="49">
        <v>243</v>
      </c>
      <c r="B250" s="55">
        <v>45594</v>
      </c>
      <c r="C250" s="36" t="str">
        <f>UPPER(TEXT(Dados_Cursos[[#This Row],[Data]],"mmm"))</f>
        <v>OUT</v>
      </c>
      <c r="D250" s="52" t="s">
        <v>1595</v>
      </c>
      <c r="E250" s="49" t="str">
        <f>VLOOKUP(Dados_Cursos[[#This Row],[ID]],Apoio!A243:H1243,2,0)</f>
        <v>ana.santos243@gmail.com</v>
      </c>
      <c r="F250" s="36" t="s">
        <v>359</v>
      </c>
      <c r="G250" s="36" t="s">
        <v>2667</v>
      </c>
      <c r="H250" s="38">
        <v>1200</v>
      </c>
      <c r="I250" s="49">
        <v>4</v>
      </c>
      <c r="J250" s="49" t="str">
        <f>VLOOKUP(Dados_Cursos[[#This Row],[ID]],Apoio!A243:H1243,4,0)</f>
        <v>Lunda Sul</v>
      </c>
      <c r="K250" s="37" t="s">
        <v>112</v>
      </c>
      <c r="L250" s="37" t="s">
        <v>109</v>
      </c>
      <c r="M250" s="53"/>
    </row>
    <row r="251" spans="1:13" ht="20.100000000000001" customHeight="1" x14ac:dyDescent="0.25">
      <c r="A251" s="49">
        <v>244</v>
      </c>
      <c r="B251" s="55">
        <v>45552</v>
      </c>
      <c r="C251" s="36" t="str">
        <f>UPPER(TEXT(Dados_Cursos[[#This Row],[Data]],"mmm"))</f>
        <v>SET</v>
      </c>
      <c r="D251" s="52" t="s">
        <v>1597</v>
      </c>
      <c r="E251" s="49" t="str">
        <f>VLOOKUP(Dados_Cursos[[#This Row],[ID]],Apoio!A244:H1244,2,0)</f>
        <v>benedito.costa244@gmail.com</v>
      </c>
      <c r="F251" s="36" t="s">
        <v>360</v>
      </c>
      <c r="G251" s="36" t="s">
        <v>2666</v>
      </c>
      <c r="H251" s="38">
        <v>1500</v>
      </c>
      <c r="I251" s="49">
        <v>19</v>
      </c>
      <c r="J251" s="49" t="str">
        <f>VLOOKUP(Dados_Cursos[[#This Row],[ID]],Apoio!A244:H1244,4,0)</f>
        <v>Moxico Leste</v>
      </c>
      <c r="K251" s="37" t="s">
        <v>113</v>
      </c>
      <c r="L251" s="37" t="s">
        <v>110</v>
      </c>
      <c r="M251" s="53"/>
    </row>
    <row r="252" spans="1:13" ht="20.100000000000001" customHeight="1" x14ac:dyDescent="0.25">
      <c r="A252" s="49">
        <v>245</v>
      </c>
      <c r="B252" s="55">
        <v>45524</v>
      </c>
      <c r="C252" s="36" t="str">
        <f>UPPER(TEXT(Dados_Cursos[[#This Row],[Data]],"mmm"))</f>
        <v>AGO</v>
      </c>
      <c r="D252" s="52" t="s">
        <v>1599</v>
      </c>
      <c r="E252" s="49" t="str">
        <f>VLOOKUP(Dados_Cursos[[#This Row],[ID]],Apoio!A245:H1245,2,0)</f>
        <v>paulo.monteiro245@gmail.com</v>
      </c>
      <c r="F252" s="36" t="s">
        <v>361</v>
      </c>
      <c r="G252" s="36" t="s">
        <v>2666</v>
      </c>
      <c r="H252" s="38">
        <v>1500</v>
      </c>
      <c r="I252" s="49">
        <v>4</v>
      </c>
      <c r="J252" s="49" t="str">
        <f>VLOOKUP(Dados_Cursos[[#This Row],[ID]],Apoio!A245:H1245,4,0)</f>
        <v>Lunda Norte</v>
      </c>
      <c r="K252" s="37" t="s">
        <v>113</v>
      </c>
      <c r="L252" s="37" t="s">
        <v>2649</v>
      </c>
      <c r="M252" s="53"/>
    </row>
    <row r="253" spans="1:13" ht="20.100000000000001" customHeight="1" x14ac:dyDescent="0.25">
      <c r="A253" s="49">
        <v>246</v>
      </c>
      <c r="B253" s="55">
        <v>45468</v>
      </c>
      <c r="C253" s="36" t="str">
        <f>UPPER(TEXT(Dados_Cursos[[#This Row],[Data]],"mmm"))</f>
        <v>JUN</v>
      </c>
      <c r="D253" s="52" t="s">
        <v>1601</v>
      </c>
      <c r="E253" s="49" t="str">
        <f>VLOOKUP(Dados_Cursos[[#This Row],[ID]],Apoio!A246:H1246,2,0)</f>
        <v>maria.domingues246@gmail.com</v>
      </c>
      <c r="F253" s="36" t="s">
        <v>362</v>
      </c>
      <c r="G253" s="36" t="s">
        <v>2667</v>
      </c>
      <c r="H253" s="38">
        <v>1200</v>
      </c>
      <c r="I253" s="49">
        <v>3</v>
      </c>
      <c r="J253" s="49" t="str">
        <f>VLOOKUP(Dados_Cursos[[#This Row],[ID]],Apoio!A246:H1246,4,0)</f>
        <v>Moxico Leste</v>
      </c>
      <c r="K253" s="37" t="s">
        <v>113</v>
      </c>
      <c r="L253" s="37" t="s">
        <v>110</v>
      </c>
      <c r="M253" s="53"/>
    </row>
    <row r="254" spans="1:13" ht="20.100000000000001" customHeight="1" x14ac:dyDescent="0.25">
      <c r="A254" s="49">
        <v>247</v>
      </c>
      <c r="B254" s="55">
        <v>45463</v>
      </c>
      <c r="C254" s="36" t="str">
        <f>UPPER(TEXT(Dados_Cursos[[#This Row],[Data]],"mmm"))</f>
        <v>JUN</v>
      </c>
      <c r="D254" s="52" t="s">
        <v>1603</v>
      </c>
      <c r="E254" s="49" t="str">
        <f>VLOOKUP(Dados_Cursos[[#This Row],[ID]],Apoio!A247:H1247,2,0)</f>
        <v>teresa.costa247@gmail.com</v>
      </c>
      <c r="F254" s="36" t="s">
        <v>363</v>
      </c>
      <c r="G254" s="36" t="s">
        <v>2666</v>
      </c>
      <c r="H254" s="38">
        <v>1500</v>
      </c>
      <c r="I254" s="49">
        <v>19</v>
      </c>
      <c r="J254" s="49" t="str">
        <f>VLOOKUP(Dados_Cursos[[#This Row],[ID]],Apoio!A247:H1247,4,0)</f>
        <v>Cunene</v>
      </c>
      <c r="K254" s="37" t="s">
        <v>112</v>
      </c>
      <c r="L254" s="37" t="s">
        <v>109</v>
      </c>
      <c r="M254" s="53"/>
    </row>
    <row r="255" spans="1:13" ht="20.100000000000001" customHeight="1" x14ac:dyDescent="0.25">
      <c r="A255" s="49">
        <v>248</v>
      </c>
      <c r="B255" s="55">
        <v>45300</v>
      </c>
      <c r="C255" s="36" t="str">
        <f>UPPER(TEXT(Dados_Cursos[[#This Row],[Data]],"mmm"))</f>
        <v>JAN</v>
      </c>
      <c r="D255" s="52" t="s">
        <v>1605</v>
      </c>
      <c r="E255" s="49" t="str">
        <f>VLOOKUP(Dados_Cursos[[#This Row],[ID]],Apoio!A248:H1248,2,0)</f>
        <v>carlos.tavares248@gmail.com</v>
      </c>
      <c r="F255" s="36" t="s">
        <v>364</v>
      </c>
      <c r="G255" s="36" t="s">
        <v>2667</v>
      </c>
      <c r="H255" s="38">
        <v>1200</v>
      </c>
      <c r="I255" s="49">
        <v>4</v>
      </c>
      <c r="J255" s="49" t="str">
        <f>VLOOKUP(Dados_Cursos[[#This Row],[ID]],Apoio!A248:H1248,4,0)</f>
        <v>Moxico Leste</v>
      </c>
      <c r="K255" s="37" t="s">
        <v>113</v>
      </c>
      <c r="L255" s="37" t="s">
        <v>110</v>
      </c>
      <c r="M255" s="53"/>
    </row>
    <row r="256" spans="1:13" ht="20.100000000000001" customHeight="1" x14ac:dyDescent="0.25">
      <c r="A256" s="49">
        <v>249</v>
      </c>
      <c r="B256" s="55">
        <v>45397</v>
      </c>
      <c r="C256" s="36" t="str">
        <f>UPPER(TEXT(Dados_Cursos[[#This Row],[Data]],"mmm"))</f>
        <v>ABR</v>
      </c>
      <c r="D256" s="52" t="s">
        <v>1378</v>
      </c>
      <c r="E256" s="49" t="str">
        <f>VLOOKUP(Dados_Cursos[[#This Row],[ID]],Apoio!A249:H1249,2,0)</f>
        <v>domingos.silva249@gmail.com</v>
      </c>
      <c r="F256" s="36" t="s">
        <v>365</v>
      </c>
      <c r="G256" s="36" t="s">
        <v>2667</v>
      </c>
      <c r="H256" s="38">
        <v>1200</v>
      </c>
      <c r="I256" s="49">
        <v>13</v>
      </c>
      <c r="J256" s="49" t="str">
        <f>VLOOKUP(Dados_Cursos[[#This Row],[ID]],Apoio!A249:H1249,4,0)</f>
        <v>Cuanza Norte</v>
      </c>
      <c r="K256" s="37" t="s">
        <v>113</v>
      </c>
      <c r="L256" s="37" t="s">
        <v>111</v>
      </c>
      <c r="M256" s="53"/>
    </row>
    <row r="257" spans="1:13" ht="20.100000000000001" customHeight="1" x14ac:dyDescent="0.25">
      <c r="A257" s="49">
        <v>250</v>
      </c>
      <c r="B257" s="55">
        <v>45555</v>
      </c>
      <c r="C257" s="36" t="str">
        <f>UPPER(TEXT(Dados_Cursos[[#This Row],[Data]],"mmm"))</f>
        <v>SET</v>
      </c>
      <c r="D257" s="52" t="s">
        <v>1608</v>
      </c>
      <c r="E257" s="49" t="str">
        <f>VLOOKUP(Dados_Cursos[[#This Row],[ID]],Apoio!A250:H1250,2,0)</f>
        <v>ana.domingues250@gmail.com</v>
      </c>
      <c r="F257" s="36" t="s">
        <v>366</v>
      </c>
      <c r="G257" s="36" t="s">
        <v>2667</v>
      </c>
      <c r="H257" s="38">
        <v>1200</v>
      </c>
      <c r="I257" s="49">
        <v>1</v>
      </c>
      <c r="J257" s="49" t="str">
        <f>VLOOKUP(Dados_Cursos[[#This Row],[ID]],Apoio!A250:H1250,4,0)</f>
        <v>Huíla</v>
      </c>
      <c r="K257" s="37" t="s">
        <v>113</v>
      </c>
      <c r="L257" s="37" t="s">
        <v>111</v>
      </c>
      <c r="M257" s="53"/>
    </row>
    <row r="258" spans="1:13" ht="20.100000000000001" customHeight="1" x14ac:dyDescent="0.25">
      <c r="A258" s="49">
        <v>251</v>
      </c>
      <c r="B258" s="55">
        <v>45301</v>
      </c>
      <c r="C258" s="36" t="str">
        <f>UPPER(TEXT(Dados_Cursos[[#This Row],[Data]],"mmm"))</f>
        <v>JAN</v>
      </c>
      <c r="D258" s="52" t="s">
        <v>1610</v>
      </c>
      <c r="E258" s="49" t="str">
        <f>VLOOKUP(Dados_Cursos[[#This Row],[ID]],Apoio!A251:H1251,2,0)</f>
        <v>helena.lukeba251@gmail.com</v>
      </c>
      <c r="F258" s="36" t="s">
        <v>367</v>
      </c>
      <c r="G258" s="36" t="s">
        <v>2666</v>
      </c>
      <c r="H258" s="38">
        <v>800</v>
      </c>
      <c r="I258" s="49">
        <v>15</v>
      </c>
      <c r="J258" s="49" t="str">
        <f>VLOOKUP(Dados_Cursos[[#This Row],[ID]],Apoio!A251:H1251,4,0)</f>
        <v>Luanda</v>
      </c>
      <c r="K258" s="37" t="s">
        <v>113</v>
      </c>
      <c r="L258" s="37" t="s">
        <v>110</v>
      </c>
      <c r="M258" s="53"/>
    </row>
    <row r="259" spans="1:13" ht="20.100000000000001" customHeight="1" x14ac:dyDescent="0.25">
      <c r="A259" s="49">
        <v>252</v>
      </c>
      <c r="B259" s="55">
        <v>45346</v>
      </c>
      <c r="C259" s="36" t="str">
        <f>UPPER(TEXT(Dados_Cursos[[#This Row],[Data]],"mmm"))</f>
        <v>FEV</v>
      </c>
      <c r="D259" s="52" t="s">
        <v>1612</v>
      </c>
      <c r="E259" s="49" t="str">
        <f>VLOOKUP(Dados_Cursos[[#This Row],[ID]],Apoio!A252:H1252,2,0)</f>
        <v>sofia.david252@gmail.com</v>
      </c>
      <c r="F259" s="36" t="s">
        <v>368</v>
      </c>
      <c r="G259" s="36" t="s">
        <v>2666</v>
      </c>
      <c r="H259" s="38">
        <v>1500</v>
      </c>
      <c r="I259" s="49">
        <v>3</v>
      </c>
      <c r="J259" s="49" t="str">
        <f>VLOOKUP(Dados_Cursos[[#This Row],[ID]],Apoio!A252:H1252,4,0)</f>
        <v>Namibe</v>
      </c>
      <c r="K259" s="37" t="s">
        <v>113</v>
      </c>
      <c r="L259" s="37" t="s">
        <v>2649</v>
      </c>
      <c r="M259" s="53"/>
    </row>
    <row r="260" spans="1:13" ht="20.100000000000001" customHeight="1" x14ac:dyDescent="0.25">
      <c r="A260" s="49">
        <v>253</v>
      </c>
      <c r="B260" s="55">
        <v>45622</v>
      </c>
      <c r="C260" s="36" t="str">
        <f>UPPER(TEXT(Dados_Cursos[[#This Row],[Data]],"mmm"))</f>
        <v>NOV</v>
      </c>
      <c r="D260" s="52" t="s">
        <v>1614</v>
      </c>
      <c r="E260" s="49" t="str">
        <f>VLOOKUP(Dados_Cursos[[#This Row],[ID]],Apoio!A253:H1253,2,0)</f>
        <v>manuel.silva253@gmail.com</v>
      </c>
      <c r="F260" s="36" t="s">
        <v>369</v>
      </c>
      <c r="G260" s="36" t="s">
        <v>2667</v>
      </c>
      <c r="H260" s="38">
        <v>1200</v>
      </c>
      <c r="I260" s="49">
        <v>18</v>
      </c>
      <c r="J260" s="49" t="str">
        <f>VLOOKUP(Dados_Cursos[[#This Row],[ID]],Apoio!A253:H1253,4,0)</f>
        <v>Cuanza Norte</v>
      </c>
      <c r="K260" s="37" t="s">
        <v>112</v>
      </c>
      <c r="L260" s="37" t="s">
        <v>109</v>
      </c>
      <c r="M260" s="53"/>
    </row>
    <row r="261" spans="1:13" ht="20.100000000000001" customHeight="1" x14ac:dyDescent="0.25">
      <c r="A261" s="49">
        <v>254</v>
      </c>
      <c r="B261" s="55">
        <v>45346</v>
      </c>
      <c r="C261" s="36" t="str">
        <f>UPPER(TEXT(Dados_Cursos[[#This Row],[Data]],"mmm"))</f>
        <v>FEV</v>
      </c>
      <c r="D261" s="52" t="s">
        <v>1616</v>
      </c>
      <c r="E261" s="49" t="str">
        <f>VLOOKUP(Dados_Cursos[[#This Row],[ID]],Apoio!A254:H1254,2,0)</f>
        <v>bruno.silva254@gmail.com</v>
      </c>
      <c r="F261" s="36" t="s">
        <v>370</v>
      </c>
      <c r="G261" s="36" t="s">
        <v>2667</v>
      </c>
      <c r="H261" s="38">
        <v>1200</v>
      </c>
      <c r="I261" s="49">
        <v>8</v>
      </c>
      <c r="J261" s="49" t="str">
        <f>VLOOKUP(Dados_Cursos[[#This Row],[ID]],Apoio!A254:H1254,4,0)</f>
        <v>Luanda</v>
      </c>
      <c r="K261" s="37" t="s">
        <v>113</v>
      </c>
      <c r="L261" s="37" t="s">
        <v>110</v>
      </c>
      <c r="M261" s="53"/>
    </row>
    <row r="262" spans="1:13" ht="20.100000000000001" customHeight="1" x14ac:dyDescent="0.25">
      <c r="A262" s="49">
        <v>255</v>
      </c>
      <c r="B262" s="55">
        <v>45374</v>
      </c>
      <c r="C262" s="36" t="str">
        <f>UPPER(TEXT(Dados_Cursos[[#This Row],[Data]],"mmm"))</f>
        <v>MAR</v>
      </c>
      <c r="D262" s="52" t="s">
        <v>1281</v>
      </c>
      <c r="E262" s="49" t="str">
        <f>VLOOKUP(Dados_Cursos[[#This Row],[ID]],Apoio!A255:H1255,2,0)</f>
        <v>adriano.santos255@gmail.com</v>
      </c>
      <c r="F262" s="36" t="s">
        <v>371</v>
      </c>
      <c r="G262" s="36" t="s">
        <v>2667</v>
      </c>
      <c r="H262" s="38">
        <v>1200</v>
      </c>
      <c r="I262" s="49">
        <v>2</v>
      </c>
      <c r="J262" s="49" t="str">
        <f>VLOOKUP(Dados_Cursos[[#This Row],[ID]],Apoio!A255:H1255,4,0)</f>
        <v>Bié</v>
      </c>
      <c r="K262" s="37" t="s">
        <v>112</v>
      </c>
      <c r="L262" s="37" t="s">
        <v>109</v>
      </c>
      <c r="M262" s="53"/>
    </row>
    <row r="263" spans="1:13" ht="20.100000000000001" customHeight="1" x14ac:dyDescent="0.25">
      <c r="A263" s="49">
        <v>256</v>
      </c>
      <c r="B263" s="55">
        <v>45503</v>
      </c>
      <c r="C263" s="36" t="str">
        <f>UPPER(TEXT(Dados_Cursos[[#This Row],[Data]],"mmm"))</f>
        <v>JUL</v>
      </c>
      <c r="D263" s="52" t="s">
        <v>1619</v>
      </c>
      <c r="E263" s="49" t="str">
        <f>VLOOKUP(Dados_Cursos[[#This Row],[ID]],Apoio!A256:H1256,2,0)</f>
        <v>maria.lopes256@gmail.com</v>
      </c>
      <c r="F263" s="36" t="s">
        <v>372</v>
      </c>
      <c r="G263" s="36" t="s">
        <v>2666</v>
      </c>
      <c r="H263" s="38">
        <v>800</v>
      </c>
      <c r="I263" s="49">
        <v>3</v>
      </c>
      <c r="J263" s="49" t="str">
        <f>VLOOKUP(Dados_Cursos[[#This Row],[ID]],Apoio!A256:H1256,4,0)</f>
        <v>Cuando</v>
      </c>
      <c r="K263" s="37" t="s">
        <v>113</v>
      </c>
      <c r="L263" s="37" t="s">
        <v>111</v>
      </c>
      <c r="M263" s="53"/>
    </row>
    <row r="264" spans="1:13" ht="20.100000000000001" customHeight="1" x14ac:dyDescent="0.25">
      <c r="A264" s="49">
        <v>257</v>
      </c>
      <c r="B264" s="55">
        <v>45494</v>
      </c>
      <c r="C264" s="36" t="str">
        <f>UPPER(TEXT(Dados_Cursos[[#This Row],[Data]],"mmm"))</f>
        <v>JUL</v>
      </c>
      <c r="D264" s="52" t="s">
        <v>1621</v>
      </c>
      <c r="E264" s="49" t="str">
        <f>VLOOKUP(Dados_Cursos[[#This Row],[ID]],Apoio!A257:H1257,2,0)</f>
        <v>samuel.gomes257@gmail.com</v>
      </c>
      <c r="F264" s="36" t="s">
        <v>373</v>
      </c>
      <c r="G264" s="36" t="s">
        <v>2666</v>
      </c>
      <c r="H264" s="38">
        <v>800</v>
      </c>
      <c r="I264" s="49">
        <v>9</v>
      </c>
      <c r="J264" s="49" t="str">
        <f>VLOOKUP(Dados_Cursos[[#This Row],[ID]],Apoio!A257:H1257,4,0)</f>
        <v>Lunda Norte</v>
      </c>
      <c r="K264" s="37" t="s">
        <v>113</v>
      </c>
      <c r="L264" s="37" t="s">
        <v>2649</v>
      </c>
      <c r="M264" s="53"/>
    </row>
    <row r="265" spans="1:13" ht="20.100000000000001" customHeight="1" x14ac:dyDescent="0.25">
      <c r="A265" s="49">
        <v>258</v>
      </c>
      <c r="B265" s="55">
        <v>45412</v>
      </c>
      <c r="C265" s="36" t="str">
        <f>UPPER(TEXT(Dados_Cursos[[#This Row],[Data]],"mmm"))</f>
        <v>ABR</v>
      </c>
      <c r="D265" s="52" t="s">
        <v>1623</v>
      </c>
      <c r="E265" s="49" t="str">
        <f>VLOOKUP(Dados_Cursos[[#This Row],[ID]],Apoio!A258:H1258,2,0)</f>
        <v>nelson.barbosa258@gmail.com</v>
      </c>
      <c r="F265" s="36" t="s">
        <v>374</v>
      </c>
      <c r="G265" s="36" t="s">
        <v>2666</v>
      </c>
      <c r="H265" s="38">
        <v>800</v>
      </c>
      <c r="I265" s="49">
        <v>14</v>
      </c>
      <c r="J265" s="49" t="str">
        <f>VLOOKUP(Dados_Cursos[[#This Row],[ID]],Apoio!A258:H1258,4,0)</f>
        <v>Lunda Norte</v>
      </c>
      <c r="K265" s="37" t="s">
        <v>112</v>
      </c>
      <c r="L265" s="37" t="s">
        <v>109</v>
      </c>
      <c r="M265" s="53"/>
    </row>
    <row r="266" spans="1:13" ht="20.100000000000001" customHeight="1" x14ac:dyDescent="0.25">
      <c r="A266" s="49">
        <v>259</v>
      </c>
      <c r="B266" s="55">
        <v>45492</v>
      </c>
      <c r="C266" s="36" t="str">
        <f>UPPER(TEXT(Dados_Cursos[[#This Row],[Data]],"mmm"))</f>
        <v>JUL</v>
      </c>
      <c r="D266" s="52" t="s">
        <v>1283</v>
      </c>
      <c r="E266" s="49" t="str">
        <f>VLOOKUP(Dados_Cursos[[#This Row],[ID]],Apoio!A259:H1259,2,0)</f>
        <v>daniel.soares259@gmail.com</v>
      </c>
      <c r="F266" s="36" t="s">
        <v>375</v>
      </c>
      <c r="G266" s="36" t="s">
        <v>2667</v>
      </c>
      <c r="H266" s="38">
        <v>1200</v>
      </c>
      <c r="I266" s="49">
        <v>16</v>
      </c>
      <c r="J266" s="49" t="str">
        <f>VLOOKUP(Dados_Cursos[[#This Row],[ID]],Apoio!A259:H1259,4,0)</f>
        <v>Cuanza Norte</v>
      </c>
      <c r="K266" s="37" t="s">
        <v>112</v>
      </c>
      <c r="L266" s="37" t="s">
        <v>109</v>
      </c>
      <c r="M266" s="53"/>
    </row>
    <row r="267" spans="1:13" ht="20.100000000000001" customHeight="1" x14ac:dyDescent="0.25">
      <c r="A267" s="49">
        <v>260</v>
      </c>
      <c r="B267" s="55">
        <v>45384</v>
      </c>
      <c r="C267" s="36" t="str">
        <f>UPPER(TEXT(Dados_Cursos[[#This Row],[Data]],"mmm"))</f>
        <v>ABR</v>
      </c>
      <c r="D267" s="52" t="s">
        <v>1595</v>
      </c>
      <c r="E267" s="49" t="str">
        <f>VLOOKUP(Dados_Cursos[[#This Row],[ID]],Apoio!A260:H1260,2,0)</f>
        <v>ana.santos260@gmail.com</v>
      </c>
      <c r="F267" s="36" t="s">
        <v>376</v>
      </c>
      <c r="G267" s="36" t="s">
        <v>2666</v>
      </c>
      <c r="H267" s="38">
        <v>1500</v>
      </c>
      <c r="I267" s="49">
        <v>5</v>
      </c>
      <c r="J267" s="49" t="str">
        <f>VLOOKUP(Dados_Cursos[[#This Row],[ID]],Apoio!A260:H1260,4,0)</f>
        <v>Uíge</v>
      </c>
      <c r="K267" s="37" t="s">
        <v>112</v>
      </c>
      <c r="L267" s="37" t="s">
        <v>109</v>
      </c>
      <c r="M267" s="53"/>
    </row>
    <row r="268" spans="1:13" ht="20.100000000000001" customHeight="1" x14ac:dyDescent="0.25">
      <c r="A268" s="49">
        <v>261</v>
      </c>
      <c r="B268" s="55">
        <v>45467</v>
      </c>
      <c r="C268" s="36" t="str">
        <f>UPPER(TEXT(Dados_Cursos[[#This Row],[Data]],"mmm"))</f>
        <v>JUN</v>
      </c>
      <c r="D268" s="52" t="s">
        <v>1369</v>
      </c>
      <c r="E268" s="49" t="str">
        <f>VLOOKUP(Dados_Cursos[[#This Row],[ID]],Apoio!A261:H1261,2,0)</f>
        <v>joaquim.andrade261@gmail.com</v>
      </c>
      <c r="F268" s="36" t="s">
        <v>377</v>
      </c>
      <c r="G268" s="36" t="s">
        <v>2666</v>
      </c>
      <c r="H268" s="38">
        <v>800</v>
      </c>
      <c r="I268" s="49">
        <v>13</v>
      </c>
      <c r="J268" s="49" t="str">
        <f>VLOOKUP(Dados_Cursos[[#This Row],[ID]],Apoio!A261:H1261,4,0)</f>
        <v>Cuanza Sul</v>
      </c>
      <c r="K268" s="37" t="s">
        <v>113</v>
      </c>
      <c r="L268" s="37" t="s">
        <v>110</v>
      </c>
      <c r="M268" s="53"/>
    </row>
    <row r="269" spans="1:13" ht="20.100000000000001" customHeight="1" x14ac:dyDescent="0.25">
      <c r="A269" s="49">
        <v>262</v>
      </c>
      <c r="B269" s="55">
        <v>45572</v>
      </c>
      <c r="C269" s="36" t="str">
        <f>UPPER(TEXT(Dados_Cursos[[#This Row],[Data]],"mmm"))</f>
        <v>OUT</v>
      </c>
      <c r="D269" s="52" t="s">
        <v>1301</v>
      </c>
      <c r="E269" s="49" t="str">
        <f>VLOOKUP(Dados_Cursos[[#This Row],[ID]],Apoio!A262:H1262,2,0)</f>
        <v>manuel.david262@gmail.com</v>
      </c>
      <c r="F269" s="36" t="s">
        <v>378</v>
      </c>
      <c r="G269" s="36" t="s">
        <v>2666</v>
      </c>
      <c r="H269" s="38">
        <v>800</v>
      </c>
      <c r="I269" s="49">
        <v>8</v>
      </c>
      <c r="J269" s="49" t="str">
        <f>VLOOKUP(Dados_Cursos[[#This Row],[ID]],Apoio!A262:H1262,4,0)</f>
        <v>Namibe</v>
      </c>
      <c r="K269" s="37" t="s">
        <v>113</v>
      </c>
      <c r="L269" s="37" t="s">
        <v>111</v>
      </c>
      <c r="M269" s="53"/>
    </row>
    <row r="270" spans="1:13" ht="20.100000000000001" customHeight="1" x14ac:dyDescent="0.25">
      <c r="A270" s="49">
        <v>263</v>
      </c>
      <c r="B270" s="55">
        <v>45596</v>
      </c>
      <c r="C270" s="36" t="str">
        <f>UPPER(TEXT(Dados_Cursos[[#This Row],[Data]],"mmm"))</f>
        <v>OUT</v>
      </c>
      <c r="D270" s="52" t="s">
        <v>1629</v>
      </c>
      <c r="E270" s="49" t="str">
        <f>VLOOKUP(Dados_Cursos[[#This Row],[ID]],Apoio!A263:H1263,2,0)</f>
        <v>adriano.andrade263@gmail.com</v>
      </c>
      <c r="F270" s="36" t="s">
        <v>379</v>
      </c>
      <c r="G270" s="36" t="s">
        <v>2666</v>
      </c>
      <c r="H270" s="38">
        <v>1500</v>
      </c>
      <c r="I270" s="49">
        <v>12</v>
      </c>
      <c r="J270" s="49" t="str">
        <f>VLOOKUP(Dados_Cursos[[#This Row],[ID]],Apoio!A263:H1263,4,0)</f>
        <v>Zaire</v>
      </c>
      <c r="K270" s="37" t="s">
        <v>112</v>
      </c>
      <c r="L270" s="37" t="s">
        <v>109</v>
      </c>
      <c r="M270" s="53"/>
    </row>
    <row r="271" spans="1:13" ht="20.100000000000001" customHeight="1" x14ac:dyDescent="0.25">
      <c r="A271" s="49">
        <v>264</v>
      </c>
      <c r="B271" s="55">
        <v>45391</v>
      </c>
      <c r="C271" s="36" t="str">
        <f>UPPER(TEXT(Dados_Cursos[[#This Row],[Data]],"mmm"))</f>
        <v>ABR</v>
      </c>
      <c r="D271" s="52" t="s">
        <v>1315</v>
      </c>
      <c r="E271" s="49" t="str">
        <f>VLOOKUP(Dados_Cursos[[#This Row],[ID]],Apoio!A264:H1264,2,0)</f>
        <v>david.tavares264@gmail.com</v>
      </c>
      <c r="F271" s="36" t="s">
        <v>380</v>
      </c>
      <c r="G271" s="36" t="s">
        <v>2666</v>
      </c>
      <c r="H271" s="38">
        <v>1500</v>
      </c>
      <c r="I271" s="49">
        <v>9</v>
      </c>
      <c r="J271" s="49" t="str">
        <f>VLOOKUP(Dados_Cursos[[#This Row],[ID]],Apoio!A264:H1264,4,0)</f>
        <v>Icolo e Bengo</v>
      </c>
      <c r="K271" s="37" t="s">
        <v>113</v>
      </c>
      <c r="L271" s="37" t="s">
        <v>111</v>
      </c>
      <c r="M271" s="53"/>
    </row>
    <row r="272" spans="1:13" ht="20.100000000000001" customHeight="1" x14ac:dyDescent="0.25">
      <c r="A272" s="49">
        <v>265</v>
      </c>
      <c r="B272" s="55">
        <v>45461</v>
      </c>
      <c r="C272" s="36" t="str">
        <f>UPPER(TEXT(Dados_Cursos[[#This Row],[Data]],"mmm"))</f>
        <v>JUN</v>
      </c>
      <c r="D272" s="52" t="s">
        <v>1632</v>
      </c>
      <c r="E272" s="49" t="str">
        <f>VLOOKUP(Dados_Cursos[[#This Row],[ID]],Apoio!A265:H1265,2,0)</f>
        <v>samuel.almeida265@gmail.com</v>
      </c>
      <c r="F272" s="36" t="s">
        <v>381</v>
      </c>
      <c r="G272" s="36" t="s">
        <v>2666</v>
      </c>
      <c r="H272" s="38">
        <v>800</v>
      </c>
      <c r="I272" s="49">
        <v>7</v>
      </c>
      <c r="J272" s="49" t="str">
        <f>VLOOKUP(Dados_Cursos[[#This Row],[ID]],Apoio!A265:H1265,4,0)</f>
        <v>Benguela</v>
      </c>
      <c r="K272" s="37" t="s">
        <v>113</v>
      </c>
      <c r="L272" s="37" t="s">
        <v>110</v>
      </c>
      <c r="M272" s="53"/>
    </row>
    <row r="273" spans="1:13" ht="20.100000000000001" customHeight="1" x14ac:dyDescent="0.25">
      <c r="A273" s="49">
        <v>266</v>
      </c>
      <c r="B273" s="55">
        <v>45565</v>
      </c>
      <c r="C273" s="36" t="str">
        <f>UPPER(TEXT(Dados_Cursos[[#This Row],[Data]],"mmm"))</f>
        <v>SET</v>
      </c>
      <c r="D273" s="52" t="s">
        <v>1634</v>
      </c>
      <c r="E273" s="49" t="str">
        <f>VLOOKUP(Dados_Cursos[[#This Row],[ID]],Apoio!A266:H1266,2,0)</f>
        <v>isabel.miguel266@gmail.com</v>
      </c>
      <c r="F273" s="36" t="s">
        <v>382</v>
      </c>
      <c r="G273" s="36" t="s">
        <v>2666</v>
      </c>
      <c r="H273" s="38">
        <v>1500</v>
      </c>
      <c r="I273" s="49">
        <v>4</v>
      </c>
      <c r="J273" s="49" t="str">
        <f>VLOOKUP(Dados_Cursos[[#This Row],[ID]],Apoio!A266:H1266,4,0)</f>
        <v>Benguela</v>
      </c>
      <c r="K273" s="37" t="s">
        <v>112</v>
      </c>
      <c r="L273" s="37" t="s">
        <v>109</v>
      </c>
      <c r="M273" s="53"/>
    </row>
    <row r="274" spans="1:13" ht="20.100000000000001" customHeight="1" x14ac:dyDescent="0.25">
      <c r="A274" s="49">
        <v>267</v>
      </c>
      <c r="B274" s="55">
        <v>45607</v>
      </c>
      <c r="C274" s="36" t="str">
        <f>UPPER(TEXT(Dados_Cursos[[#This Row],[Data]],"mmm"))</f>
        <v>NOV</v>
      </c>
      <c r="D274" s="52" t="s">
        <v>1636</v>
      </c>
      <c r="E274" s="49" t="str">
        <f>VLOOKUP(Dados_Cursos[[#This Row],[ID]],Apoio!A267:H1267,2,0)</f>
        <v>domingos.santos267@gmail.com</v>
      </c>
      <c r="F274" s="36" t="s">
        <v>383</v>
      </c>
      <c r="G274" s="36" t="s">
        <v>2666</v>
      </c>
      <c r="H274" s="38">
        <v>1500</v>
      </c>
      <c r="I274" s="49">
        <v>10</v>
      </c>
      <c r="J274" s="49" t="str">
        <f>VLOOKUP(Dados_Cursos[[#This Row],[ID]],Apoio!A267:H1267,4,0)</f>
        <v>Cuando</v>
      </c>
      <c r="K274" s="37" t="s">
        <v>113</v>
      </c>
      <c r="L274" s="37" t="s">
        <v>110</v>
      </c>
      <c r="M274" s="53"/>
    </row>
    <row r="275" spans="1:13" ht="20.100000000000001" customHeight="1" x14ac:dyDescent="0.25">
      <c r="A275" s="49">
        <v>268</v>
      </c>
      <c r="B275" s="55">
        <v>45486</v>
      </c>
      <c r="C275" s="36" t="str">
        <f>UPPER(TEXT(Dados_Cursos[[#This Row],[Data]],"mmm"))</f>
        <v>JUL</v>
      </c>
      <c r="D275" s="52" t="s">
        <v>1638</v>
      </c>
      <c r="E275" s="49" t="str">
        <f>VLOOKUP(Dados_Cursos[[#This Row],[ID]],Apoio!A268:H1268,2,0)</f>
        <v>marta.soares268@gmail.com</v>
      </c>
      <c r="F275" s="36" t="s">
        <v>384</v>
      </c>
      <c r="G275" s="36" t="s">
        <v>2666</v>
      </c>
      <c r="H275" s="38">
        <v>1500</v>
      </c>
      <c r="I275" s="49">
        <v>11</v>
      </c>
      <c r="J275" s="49" t="str">
        <f>VLOOKUP(Dados_Cursos[[#This Row],[ID]],Apoio!A268:H1268,4,0)</f>
        <v>Moxico</v>
      </c>
      <c r="K275" s="37" t="s">
        <v>112</v>
      </c>
      <c r="L275" s="37" t="s">
        <v>109</v>
      </c>
      <c r="M275" s="53"/>
    </row>
    <row r="276" spans="1:13" ht="20.100000000000001" customHeight="1" x14ac:dyDescent="0.25">
      <c r="A276" s="49">
        <v>269</v>
      </c>
      <c r="B276" s="55">
        <v>45403</v>
      </c>
      <c r="C276" s="36" t="str">
        <f>UPPER(TEXT(Dados_Cursos[[#This Row],[Data]],"mmm"))</f>
        <v>ABR</v>
      </c>
      <c r="D276" s="52" t="s">
        <v>1640</v>
      </c>
      <c r="E276" s="49" t="str">
        <f>VLOOKUP(Dados_Cursos[[#This Row],[ID]],Apoio!A269:H1269,2,0)</f>
        <v>adriano.gomes269@gmail.com</v>
      </c>
      <c r="F276" s="36" t="s">
        <v>385</v>
      </c>
      <c r="G276" s="36" t="s">
        <v>2666</v>
      </c>
      <c r="H276" s="38">
        <v>800</v>
      </c>
      <c r="I276" s="49">
        <v>20</v>
      </c>
      <c r="J276" s="49" t="str">
        <f>VLOOKUP(Dados_Cursos[[#This Row],[ID]],Apoio!A269:H1269,4,0)</f>
        <v>Zaire</v>
      </c>
      <c r="K276" s="37" t="s">
        <v>113</v>
      </c>
      <c r="L276" s="37" t="s">
        <v>111</v>
      </c>
      <c r="M276" s="53"/>
    </row>
    <row r="277" spans="1:13" ht="20.100000000000001" customHeight="1" x14ac:dyDescent="0.25">
      <c r="A277" s="49">
        <v>270</v>
      </c>
      <c r="B277" s="55">
        <v>45463</v>
      </c>
      <c r="C277" s="36" t="str">
        <f>UPPER(TEXT(Dados_Cursos[[#This Row],[Data]],"mmm"))</f>
        <v>JUN</v>
      </c>
      <c r="D277" s="52" t="s">
        <v>1553</v>
      </c>
      <c r="E277" s="49" t="str">
        <f>VLOOKUP(Dados_Cursos[[#This Row],[ID]],Apoio!A270:H1270,2,0)</f>
        <v>domingos.almeida270@gmail.com</v>
      </c>
      <c r="F277" s="36" t="s">
        <v>386</v>
      </c>
      <c r="G277" s="36" t="s">
        <v>2666</v>
      </c>
      <c r="H277" s="38">
        <v>1500</v>
      </c>
      <c r="I277" s="49">
        <v>20</v>
      </c>
      <c r="J277" s="49" t="str">
        <f>VLOOKUP(Dados_Cursos[[#This Row],[ID]],Apoio!A270:H1270,4,0)</f>
        <v>Lunda Sul</v>
      </c>
      <c r="K277" s="37" t="s">
        <v>113</v>
      </c>
      <c r="L277" s="37" t="s">
        <v>110</v>
      </c>
      <c r="M277" s="53"/>
    </row>
    <row r="278" spans="1:13" ht="20.100000000000001" customHeight="1" x14ac:dyDescent="0.25">
      <c r="A278" s="49">
        <v>271</v>
      </c>
      <c r="B278" s="55">
        <v>45410</v>
      </c>
      <c r="C278" s="36" t="str">
        <f>UPPER(TEXT(Dados_Cursos[[#This Row],[Data]],"mmm"))</f>
        <v>ABR</v>
      </c>
      <c r="D278" s="52" t="s">
        <v>1643</v>
      </c>
      <c r="E278" s="49" t="str">
        <f>VLOOKUP(Dados_Cursos[[#This Row],[ID]],Apoio!A271:H1271,2,0)</f>
        <v>ana.pereira271@gmail.com</v>
      </c>
      <c r="F278" s="36" t="s">
        <v>387</v>
      </c>
      <c r="G278" s="36" t="s">
        <v>2666</v>
      </c>
      <c r="H278" s="38">
        <v>800</v>
      </c>
      <c r="I278" s="49">
        <v>4</v>
      </c>
      <c r="J278" s="49" t="str">
        <f>VLOOKUP(Dados_Cursos[[#This Row],[ID]],Apoio!A271:H1271,4,0)</f>
        <v>Huíla</v>
      </c>
      <c r="K278" s="37" t="s">
        <v>113</v>
      </c>
      <c r="L278" s="37" t="s">
        <v>111</v>
      </c>
      <c r="M278" s="53"/>
    </row>
    <row r="279" spans="1:13" ht="20.100000000000001" customHeight="1" x14ac:dyDescent="0.25">
      <c r="A279" s="49">
        <v>272</v>
      </c>
      <c r="B279" s="55">
        <v>45564</v>
      </c>
      <c r="C279" s="36" t="str">
        <f>UPPER(TEXT(Dados_Cursos[[#This Row],[Data]],"mmm"))</f>
        <v>SET</v>
      </c>
      <c r="D279" s="52" t="s">
        <v>1645</v>
      </c>
      <c r="E279" s="49" t="str">
        <f>VLOOKUP(Dados_Cursos[[#This Row],[ID]],Apoio!A272:H1272,2,0)</f>
        <v>marta.santos272@gmail.com</v>
      </c>
      <c r="F279" s="36" t="s">
        <v>388</v>
      </c>
      <c r="G279" s="36" t="s">
        <v>2666</v>
      </c>
      <c r="H279" s="38">
        <v>1500</v>
      </c>
      <c r="I279" s="49">
        <v>2</v>
      </c>
      <c r="J279" s="49" t="str">
        <f>VLOOKUP(Dados_Cursos[[#This Row],[ID]],Apoio!A272:H1272,4,0)</f>
        <v>Benguela</v>
      </c>
      <c r="K279" s="37" t="s">
        <v>113</v>
      </c>
      <c r="L279" s="37" t="s">
        <v>2649</v>
      </c>
      <c r="M279" s="53"/>
    </row>
    <row r="280" spans="1:13" ht="20.100000000000001" customHeight="1" x14ac:dyDescent="0.25">
      <c r="A280" s="49">
        <v>273</v>
      </c>
      <c r="B280" s="55">
        <v>45461</v>
      </c>
      <c r="C280" s="36" t="str">
        <f>UPPER(TEXT(Dados_Cursos[[#This Row],[Data]],"mmm"))</f>
        <v>JUN</v>
      </c>
      <c r="D280" s="52" t="s">
        <v>1647</v>
      </c>
      <c r="E280" s="49" t="str">
        <f>VLOOKUP(Dados_Cursos[[#This Row],[ID]],Apoio!A273:H1273,2,0)</f>
        <v>teresa.martins273@gmail.com</v>
      </c>
      <c r="F280" s="36" t="s">
        <v>389</v>
      </c>
      <c r="G280" s="36" t="s">
        <v>2667</v>
      </c>
      <c r="H280" s="38">
        <v>1200</v>
      </c>
      <c r="I280" s="49">
        <v>15</v>
      </c>
      <c r="J280" s="49" t="str">
        <f>VLOOKUP(Dados_Cursos[[#This Row],[ID]],Apoio!A273:H1273,4,0)</f>
        <v>Cunene</v>
      </c>
      <c r="K280" s="37" t="s">
        <v>112</v>
      </c>
      <c r="L280" s="37" t="s">
        <v>109</v>
      </c>
      <c r="M280" s="53"/>
    </row>
    <row r="281" spans="1:13" ht="20.100000000000001" customHeight="1" x14ac:dyDescent="0.25">
      <c r="A281" s="49">
        <v>274</v>
      </c>
      <c r="B281" s="55">
        <v>45378</v>
      </c>
      <c r="C281" s="36" t="str">
        <f>UPPER(TEXT(Dados_Cursos[[#This Row],[Data]],"mmm"))</f>
        <v>MAR</v>
      </c>
      <c r="D281" s="52" t="s">
        <v>1649</v>
      </c>
      <c r="E281" s="49" t="str">
        <f>VLOOKUP(Dados_Cursos[[#This Row],[ID]],Apoio!A274:H1274,2,0)</f>
        <v>domingos.andrade274@gmail.com</v>
      </c>
      <c r="F281" s="36" t="s">
        <v>390</v>
      </c>
      <c r="G281" s="36" t="s">
        <v>2666</v>
      </c>
      <c r="H281" s="38">
        <v>1500</v>
      </c>
      <c r="I281" s="49">
        <v>13</v>
      </c>
      <c r="J281" s="49" t="str">
        <f>VLOOKUP(Dados_Cursos[[#This Row],[ID]],Apoio!A274:H1274,4,0)</f>
        <v>Luanda</v>
      </c>
      <c r="K281" s="37" t="s">
        <v>113</v>
      </c>
      <c r="L281" s="37" t="s">
        <v>110</v>
      </c>
      <c r="M281" s="53"/>
    </row>
    <row r="282" spans="1:13" ht="20.100000000000001" customHeight="1" x14ac:dyDescent="0.25">
      <c r="A282" s="49">
        <v>275</v>
      </c>
      <c r="B282" s="55">
        <v>45402</v>
      </c>
      <c r="C282" s="36" t="str">
        <f>UPPER(TEXT(Dados_Cursos[[#This Row],[Data]],"mmm"))</f>
        <v>ABR</v>
      </c>
      <c r="D282" s="52" t="s">
        <v>1651</v>
      </c>
      <c r="E282" s="49" t="str">
        <f>VLOOKUP(Dados_Cursos[[#This Row],[ID]],Apoio!A275:H1275,2,0)</f>
        <v>joaquim.miguel275@gmail.com</v>
      </c>
      <c r="F282" s="36" t="s">
        <v>391</v>
      </c>
      <c r="G282" s="36" t="s">
        <v>2666</v>
      </c>
      <c r="H282" s="38">
        <v>1500</v>
      </c>
      <c r="I282" s="49">
        <v>8</v>
      </c>
      <c r="J282" s="49" t="str">
        <f>VLOOKUP(Dados_Cursos[[#This Row],[ID]],Apoio!A275:H1275,4,0)</f>
        <v>Cubango</v>
      </c>
      <c r="K282" s="37" t="s">
        <v>113</v>
      </c>
      <c r="L282" s="37" t="s">
        <v>110</v>
      </c>
      <c r="M282" s="53"/>
    </row>
    <row r="283" spans="1:13" ht="20.100000000000001" customHeight="1" x14ac:dyDescent="0.25">
      <c r="A283" s="49">
        <v>276</v>
      </c>
      <c r="B283" s="55">
        <v>45319</v>
      </c>
      <c r="C283" s="36" t="str">
        <f>UPPER(TEXT(Dados_Cursos[[#This Row],[Data]],"mmm"))</f>
        <v>JAN</v>
      </c>
      <c r="D283" s="52" t="s">
        <v>1653</v>
      </c>
      <c r="E283" s="49" t="str">
        <f>VLOOKUP(Dados_Cursos[[#This Row],[ID]],Apoio!A276:H1276,2,0)</f>
        <v>luís.almeida276@gmail.com</v>
      </c>
      <c r="F283" s="36" t="s">
        <v>392</v>
      </c>
      <c r="G283" s="36" t="s">
        <v>2667</v>
      </c>
      <c r="H283" s="38">
        <v>1200</v>
      </c>
      <c r="I283" s="49">
        <v>9</v>
      </c>
      <c r="J283" s="49" t="str">
        <f>VLOOKUP(Dados_Cursos[[#This Row],[ID]],Apoio!A276:H1276,4,0)</f>
        <v>Luanda</v>
      </c>
      <c r="K283" s="37" t="s">
        <v>113</v>
      </c>
      <c r="L283" s="37" t="s">
        <v>111</v>
      </c>
      <c r="M283" s="53"/>
    </row>
    <row r="284" spans="1:13" ht="20.100000000000001" customHeight="1" x14ac:dyDescent="0.25">
      <c r="A284" s="49">
        <v>277</v>
      </c>
      <c r="B284" s="55">
        <v>45407</v>
      </c>
      <c r="C284" s="36" t="str">
        <f>UPPER(TEXT(Dados_Cursos[[#This Row],[Data]],"mmm"))</f>
        <v>ABR</v>
      </c>
      <c r="D284" s="52" t="s">
        <v>1655</v>
      </c>
      <c r="E284" s="49" t="str">
        <f>VLOOKUP(Dados_Cursos[[#This Row],[ID]],Apoio!A277:H1277,2,0)</f>
        <v>cláudia.santos277@gmail.com</v>
      </c>
      <c r="F284" s="36" t="s">
        <v>393</v>
      </c>
      <c r="G284" s="36" t="s">
        <v>2667</v>
      </c>
      <c r="H284" s="38">
        <v>1200</v>
      </c>
      <c r="I284" s="49">
        <v>9</v>
      </c>
      <c r="J284" s="49" t="str">
        <f>VLOOKUP(Dados_Cursos[[#This Row],[ID]],Apoio!A277:H1277,4,0)</f>
        <v>Cubango</v>
      </c>
      <c r="K284" s="37" t="s">
        <v>112</v>
      </c>
      <c r="L284" s="37" t="s">
        <v>109</v>
      </c>
      <c r="M284" s="53"/>
    </row>
    <row r="285" spans="1:13" ht="20.100000000000001" customHeight="1" x14ac:dyDescent="0.25">
      <c r="A285" s="49">
        <v>278</v>
      </c>
      <c r="B285" s="55">
        <v>45470</v>
      </c>
      <c r="C285" s="36" t="str">
        <f>UPPER(TEXT(Dados_Cursos[[#This Row],[Data]],"mmm"))</f>
        <v>JUN</v>
      </c>
      <c r="D285" s="52" t="s">
        <v>1657</v>
      </c>
      <c r="E285" s="49" t="str">
        <f>VLOOKUP(Dados_Cursos[[#This Row],[ID]],Apoio!A278:H1278,2,0)</f>
        <v>nelson.lukeba278@gmail.com</v>
      </c>
      <c r="F285" s="36" t="s">
        <v>394</v>
      </c>
      <c r="G285" s="36" t="s">
        <v>2666</v>
      </c>
      <c r="H285" s="38">
        <v>1500</v>
      </c>
      <c r="I285" s="49">
        <v>6</v>
      </c>
      <c r="J285" s="49" t="str">
        <f>VLOOKUP(Dados_Cursos[[#This Row],[ID]],Apoio!A278:H1278,4,0)</f>
        <v>Cuanza Norte</v>
      </c>
      <c r="K285" s="37" t="s">
        <v>112</v>
      </c>
      <c r="L285" s="37" t="s">
        <v>109</v>
      </c>
      <c r="M285" s="53"/>
    </row>
    <row r="286" spans="1:13" ht="20.100000000000001" customHeight="1" x14ac:dyDescent="0.25">
      <c r="A286" s="49">
        <v>279</v>
      </c>
      <c r="B286" s="55">
        <v>45549</v>
      </c>
      <c r="C286" s="36" t="str">
        <f>UPPER(TEXT(Dados_Cursos[[#This Row],[Data]],"mmm"))</f>
        <v>SET</v>
      </c>
      <c r="D286" s="52" t="s">
        <v>1659</v>
      </c>
      <c r="E286" s="49" t="str">
        <f>VLOOKUP(Dados_Cursos[[#This Row],[ID]],Apoio!A279:H1279,2,0)</f>
        <v>josé.martins279@gmail.com</v>
      </c>
      <c r="F286" s="36" t="s">
        <v>395</v>
      </c>
      <c r="G286" s="36" t="s">
        <v>2666</v>
      </c>
      <c r="H286" s="38">
        <v>1500</v>
      </c>
      <c r="I286" s="49">
        <v>17</v>
      </c>
      <c r="J286" s="49" t="str">
        <f>VLOOKUP(Dados_Cursos[[#This Row],[ID]],Apoio!A279:H1279,4,0)</f>
        <v>Icolo e Bengo</v>
      </c>
      <c r="K286" s="37" t="s">
        <v>112</v>
      </c>
      <c r="L286" s="37" t="s">
        <v>109</v>
      </c>
      <c r="M286" s="53"/>
    </row>
    <row r="287" spans="1:13" ht="20.100000000000001" customHeight="1" x14ac:dyDescent="0.25">
      <c r="A287" s="49">
        <v>280</v>
      </c>
      <c r="B287" s="55">
        <v>45350</v>
      </c>
      <c r="C287" s="36" t="str">
        <f>UPPER(TEXT(Dados_Cursos[[#This Row],[Data]],"mmm"))</f>
        <v>FEV</v>
      </c>
      <c r="D287" s="52" t="s">
        <v>1661</v>
      </c>
      <c r="E287" s="49" t="str">
        <f>VLOOKUP(Dados_Cursos[[#This Row],[ID]],Apoio!A280:H1280,2,0)</f>
        <v>samuel.pereira280@gmail.com</v>
      </c>
      <c r="F287" s="36" t="s">
        <v>396</v>
      </c>
      <c r="G287" s="36" t="s">
        <v>2666</v>
      </c>
      <c r="H287" s="38">
        <v>1500</v>
      </c>
      <c r="I287" s="49">
        <v>8</v>
      </c>
      <c r="J287" s="49" t="str">
        <f>VLOOKUP(Dados_Cursos[[#This Row],[ID]],Apoio!A280:H1280,4,0)</f>
        <v>Moxico</v>
      </c>
      <c r="K287" s="37" t="s">
        <v>112</v>
      </c>
      <c r="L287" s="37" t="s">
        <v>109</v>
      </c>
      <c r="M287" s="53"/>
    </row>
    <row r="288" spans="1:13" ht="20.100000000000001" customHeight="1" x14ac:dyDescent="0.25">
      <c r="A288" s="49">
        <v>281</v>
      </c>
      <c r="B288" s="55">
        <v>45387</v>
      </c>
      <c r="C288" s="36" t="str">
        <f>UPPER(TEXT(Dados_Cursos[[#This Row],[Data]],"mmm"))</f>
        <v>ABR</v>
      </c>
      <c r="D288" s="52" t="s">
        <v>1663</v>
      </c>
      <c r="E288" s="49" t="str">
        <f>VLOOKUP(Dados_Cursos[[#This Row],[ID]],Apoio!A281:H1281,2,0)</f>
        <v>domingos.barbosa281@gmail.com</v>
      </c>
      <c r="F288" s="36" t="s">
        <v>397</v>
      </c>
      <c r="G288" s="36" t="s">
        <v>2666</v>
      </c>
      <c r="H288" s="38">
        <v>1500</v>
      </c>
      <c r="I288" s="49">
        <v>5</v>
      </c>
      <c r="J288" s="49" t="str">
        <f>VLOOKUP(Dados_Cursos[[#This Row],[ID]],Apoio!A281:H1281,4,0)</f>
        <v>Namibe</v>
      </c>
      <c r="K288" s="37" t="s">
        <v>113</v>
      </c>
      <c r="L288" s="37" t="s">
        <v>110</v>
      </c>
      <c r="M288" s="53"/>
    </row>
    <row r="289" spans="1:13" ht="20.100000000000001" customHeight="1" x14ac:dyDescent="0.25">
      <c r="A289" s="49">
        <v>282</v>
      </c>
      <c r="B289" s="55">
        <v>45454</v>
      </c>
      <c r="C289" s="36" t="str">
        <f>UPPER(TEXT(Dados_Cursos[[#This Row],[Data]],"mmm"))</f>
        <v>JUN</v>
      </c>
      <c r="D289" s="52" t="s">
        <v>1665</v>
      </c>
      <c r="E289" s="49" t="str">
        <f>VLOOKUP(Dados_Cursos[[#This Row],[ID]],Apoio!A282:H1282,2,0)</f>
        <v>luís.martins282@gmail.com</v>
      </c>
      <c r="F289" s="36" t="s">
        <v>398</v>
      </c>
      <c r="G289" s="36" t="s">
        <v>2666</v>
      </c>
      <c r="H289" s="38">
        <v>800</v>
      </c>
      <c r="I289" s="49">
        <v>20</v>
      </c>
      <c r="J289" s="49" t="str">
        <f>VLOOKUP(Dados_Cursos[[#This Row],[ID]],Apoio!A282:H1282,4,0)</f>
        <v>Bengo</v>
      </c>
      <c r="K289" s="37" t="s">
        <v>113</v>
      </c>
      <c r="L289" s="37" t="s">
        <v>110</v>
      </c>
      <c r="M289" s="53"/>
    </row>
    <row r="290" spans="1:13" ht="20.100000000000001" customHeight="1" x14ac:dyDescent="0.25">
      <c r="A290" s="49">
        <v>283</v>
      </c>
      <c r="B290" s="55">
        <v>45654</v>
      </c>
      <c r="C290" s="36" t="str">
        <f>UPPER(TEXT(Dados_Cursos[[#This Row],[Data]],"mmm"))</f>
        <v>DEZ</v>
      </c>
      <c r="D290" s="52" t="s">
        <v>1667</v>
      </c>
      <c r="E290" s="49" t="str">
        <f>VLOOKUP(Dados_Cursos[[#This Row],[ID]],Apoio!A283:H1283,2,0)</f>
        <v>joão.barbosa283@gmail.com</v>
      </c>
      <c r="F290" s="36" t="s">
        <v>399</v>
      </c>
      <c r="G290" s="36" t="s">
        <v>2667</v>
      </c>
      <c r="H290" s="38">
        <v>1200</v>
      </c>
      <c r="I290" s="49">
        <v>6</v>
      </c>
      <c r="J290" s="49" t="str">
        <f>VLOOKUP(Dados_Cursos[[#This Row],[ID]],Apoio!A283:H1283,4,0)</f>
        <v>Huíla</v>
      </c>
      <c r="K290" s="37" t="s">
        <v>113</v>
      </c>
      <c r="L290" s="37" t="s">
        <v>2649</v>
      </c>
      <c r="M290" s="53"/>
    </row>
    <row r="291" spans="1:13" ht="20.100000000000001" customHeight="1" x14ac:dyDescent="0.25">
      <c r="A291" s="49">
        <v>284</v>
      </c>
      <c r="B291" s="55">
        <v>45438</v>
      </c>
      <c r="C291" s="36" t="str">
        <f>UPPER(TEXT(Dados_Cursos[[#This Row],[Data]],"mmm"))</f>
        <v>MAI</v>
      </c>
      <c r="D291" s="52" t="s">
        <v>1303</v>
      </c>
      <c r="E291" s="49" t="str">
        <f>VLOOKUP(Dados_Cursos[[#This Row],[ID]],Apoio!A284:H1284,2,0)</f>
        <v>antónio.pereira284@gmail.com</v>
      </c>
      <c r="F291" s="36" t="s">
        <v>400</v>
      </c>
      <c r="G291" s="36" t="s">
        <v>2667</v>
      </c>
      <c r="H291" s="38">
        <v>1200</v>
      </c>
      <c r="I291" s="49">
        <v>18</v>
      </c>
      <c r="J291" s="49" t="str">
        <f>VLOOKUP(Dados_Cursos[[#This Row],[ID]],Apoio!A284:H1284,4,0)</f>
        <v>Cuanza Sul</v>
      </c>
      <c r="K291" s="37" t="s">
        <v>113</v>
      </c>
      <c r="L291" s="37" t="s">
        <v>2649</v>
      </c>
      <c r="M291" s="53"/>
    </row>
    <row r="292" spans="1:13" ht="20.100000000000001" customHeight="1" x14ac:dyDescent="0.25">
      <c r="A292" s="49">
        <v>285</v>
      </c>
      <c r="B292" s="55">
        <v>45407</v>
      </c>
      <c r="C292" s="36" t="str">
        <f>UPPER(TEXT(Dados_Cursos[[#This Row],[Data]],"mmm"))</f>
        <v>ABR</v>
      </c>
      <c r="D292" s="52" t="s">
        <v>1406</v>
      </c>
      <c r="E292" s="49" t="str">
        <f>VLOOKUP(Dados_Cursos[[#This Row],[ID]],Apoio!A285:H1285,2,0)</f>
        <v>rosa.lopes285@gmail.com</v>
      </c>
      <c r="F292" s="36" t="s">
        <v>401</v>
      </c>
      <c r="G292" s="36" t="s">
        <v>2666</v>
      </c>
      <c r="H292" s="38">
        <v>1500</v>
      </c>
      <c r="I292" s="49">
        <v>15</v>
      </c>
      <c r="J292" s="49" t="str">
        <f>VLOOKUP(Dados_Cursos[[#This Row],[ID]],Apoio!A285:H1285,4,0)</f>
        <v>Moxico</v>
      </c>
      <c r="K292" s="37" t="s">
        <v>113</v>
      </c>
      <c r="L292" s="37" t="s">
        <v>111</v>
      </c>
      <c r="M292" s="53"/>
    </row>
    <row r="293" spans="1:13" ht="20.100000000000001" customHeight="1" x14ac:dyDescent="0.25">
      <c r="A293" s="49">
        <v>286</v>
      </c>
      <c r="B293" s="55">
        <v>45621</v>
      </c>
      <c r="C293" s="36" t="str">
        <f>UPPER(TEXT(Dados_Cursos[[#This Row],[Data]],"mmm"))</f>
        <v>NOV</v>
      </c>
      <c r="D293" s="52" t="s">
        <v>1245</v>
      </c>
      <c r="E293" s="49" t="str">
        <f>VLOOKUP(Dados_Cursos[[#This Row],[ID]],Apoio!A286:H1286,2,0)</f>
        <v>josé.lopes286@gmail.com</v>
      </c>
      <c r="F293" s="36" t="s">
        <v>402</v>
      </c>
      <c r="G293" s="36" t="s">
        <v>2666</v>
      </c>
      <c r="H293" s="38">
        <v>1500</v>
      </c>
      <c r="I293" s="49">
        <v>10</v>
      </c>
      <c r="J293" s="49" t="str">
        <f>VLOOKUP(Dados_Cursos[[#This Row],[ID]],Apoio!A286:H1286,4,0)</f>
        <v>Namibe</v>
      </c>
      <c r="K293" s="37" t="s">
        <v>112</v>
      </c>
      <c r="L293" s="37" t="s">
        <v>109</v>
      </c>
      <c r="M293" s="53"/>
    </row>
    <row r="294" spans="1:13" ht="20.100000000000001" customHeight="1" x14ac:dyDescent="0.25">
      <c r="A294" s="49">
        <v>287</v>
      </c>
      <c r="B294" s="55">
        <v>45486</v>
      </c>
      <c r="C294" s="36" t="str">
        <f>UPPER(TEXT(Dados_Cursos[[#This Row],[Data]],"mmm"))</f>
        <v>JUL</v>
      </c>
      <c r="D294" s="52" t="s">
        <v>1672</v>
      </c>
      <c r="E294" s="49" t="str">
        <f>VLOOKUP(Dados_Cursos[[#This Row],[ID]],Apoio!A287:H1287,2,0)</f>
        <v>rui.monteiro287@gmail.com</v>
      </c>
      <c r="F294" s="36" t="s">
        <v>403</v>
      </c>
      <c r="G294" s="36" t="s">
        <v>2666</v>
      </c>
      <c r="H294" s="38">
        <v>1500</v>
      </c>
      <c r="I294" s="49">
        <v>13</v>
      </c>
      <c r="J294" s="49" t="str">
        <f>VLOOKUP(Dados_Cursos[[#This Row],[ID]],Apoio!A287:H1287,4,0)</f>
        <v>Cubango</v>
      </c>
      <c r="K294" s="37" t="s">
        <v>113</v>
      </c>
      <c r="L294" s="37" t="s">
        <v>110</v>
      </c>
      <c r="M294" s="53"/>
    </row>
    <row r="295" spans="1:13" ht="20.100000000000001" customHeight="1" x14ac:dyDescent="0.25">
      <c r="A295" s="49">
        <v>288</v>
      </c>
      <c r="B295" s="55">
        <v>45361</v>
      </c>
      <c r="C295" s="36" t="str">
        <f>UPPER(TEXT(Dados_Cursos[[#This Row],[Data]],"mmm"))</f>
        <v>MAR</v>
      </c>
      <c r="D295" s="52" t="s">
        <v>1674</v>
      </c>
      <c r="E295" s="49" t="str">
        <f>VLOOKUP(Dados_Cursos[[#This Row],[ID]],Apoio!A288:H1288,2,0)</f>
        <v>joão.tavares288@gmail.com</v>
      </c>
      <c r="F295" s="36" t="s">
        <v>404</v>
      </c>
      <c r="G295" s="36" t="s">
        <v>2666</v>
      </c>
      <c r="H295" s="38">
        <v>1500</v>
      </c>
      <c r="I295" s="49">
        <v>7</v>
      </c>
      <c r="J295" s="49" t="str">
        <f>VLOOKUP(Dados_Cursos[[#This Row],[ID]],Apoio!A288:H1288,4,0)</f>
        <v>Cuanza Sul</v>
      </c>
      <c r="K295" s="37" t="s">
        <v>112</v>
      </c>
      <c r="L295" s="37" t="s">
        <v>109</v>
      </c>
      <c r="M295" s="53"/>
    </row>
    <row r="296" spans="1:13" ht="20.100000000000001" customHeight="1" x14ac:dyDescent="0.25">
      <c r="A296" s="49">
        <v>289</v>
      </c>
      <c r="B296" s="55">
        <v>45514</v>
      </c>
      <c r="C296" s="36" t="str">
        <f>UPPER(TEXT(Dados_Cursos[[#This Row],[Data]],"mmm"))</f>
        <v>AGO</v>
      </c>
      <c r="D296" s="52" t="s">
        <v>1676</v>
      </c>
      <c r="E296" s="49" t="str">
        <f>VLOOKUP(Dados_Cursos[[#This Row],[ID]],Apoio!A289:H1289,2,0)</f>
        <v>marta.rodrigues289@gmail.com</v>
      </c>
      <c r="F296" s="36" t="s">
        <v>405</v>
      </c>
      <c r="G296" s="36" t="s">
        <v>2667</v>
      </c>
      <c r="H296" s="38">
        <v>1200</v>
      </c>
      <c r="I296" s="49">
        <v>2</v>
      </c>
      <c r="J296" s="49" t="str">
        <f>VLOOKUP(Dados_Cursos[[#This Row],[ID]],Apoio!A289:H1289,4,0)</f>
        <v>Huambo</v>
      </c>
      <c r="K296" s="37" t="s">
        <v>113</v>
      </c>
      <c r="L296" s="37" t="s">
        <v>111</v>
      </c>
      <c r="M296" s="53"/>
    </row>
    <row r="297" spans="1:13" ht="20.100000000000001" customHeight="1" x14ac:dyDescent="0.25">
      <c r="A297" s="49">
        <v>290</v>
      </c>
      <c r="B297" s="55">
        <v>45492</v>
      </c>
      <c r="C297" s="36" t="str">
        <f>UPPER(TEXT(Dados_Cursos[[#This Row],[Data]],"mmm"))</f>
        <v>JUL</v>
      </c>
      <c r="D297" s="52" t="s">
        <v>1274</v>
      </c>
      <c r="E297" s="49" t="str">
        <f>VLOOKUP(Dados_Cursos[[#This Row],[ID]],Apoio!A290:H1290,2,0)</f>
        <v>mateus.lopes290@gmail.com</v>
      </c>
      <c r="F297" s="36" t="s">
        <v>406</v>
      </c>
      <c r="G297" s="36" t="s">
        <v>2667</v>
      </c>
      <c r="H297" s="38">
        <v>1200</v>
      </c>
      <c r="I297" s="49">
        <v>6</v>
      </c>
      <c r="J297" s="49" t="str">
        <f>VLOOKUP(Dados_Cursos[[#This Row],[ID]],Apoio!A290:H1290,4,0)</f>
        <v>Bengo</v>
      </c>
      <c r="K297" s="37" t="s">
        <v>112</v>
      </c>
      <c r="L297" s="37" t="s">
        <v>109</v>
      </c>
      <c r="M297" s="53"/>
    </row>
    <row r="298" spans="1:13" ht="20.100000000000001" customHeight="1" x14ac:dyDescent="0.25">
      <c r="A298" s="49">
        <v>291</v>
      </c>
      <c r="B298" s="55">
        <v>45490</v>
      </c>
      <c r="C298" s="36" t="str">
        <f>UPPER(TEXT(Dados_Cursos[[#This Row],[Data]],"mmm"))</f>
        <v>JUL</v>
      </c>
      <c r="D298" s="52" t="s">
        <v>1150</v>
      </c>
      <c r="E298" s="49" t="str">
        <f>VLOOKUP(Dados_Cursos[[#This Row],[ID]],Apoio!A291:H1291,2,0)</f>
        <v>manuel.almeida291@gmail.com</v>
      </c>
      <c r="F298" s="36" t="s">
        <v>407</v>
      </c>
      <c r="G298" s="36" t="s">
        <v>2666</v>
      </c>
      <c r="H298" s="38">
        <v>800</v>
      </c>
      <c r="I298" s="49">
        <v>10</v>
      </c>
      <c r="J298" s="49" t="str">
        <f>VLOOKUP(Dados_Cursos[[#This Row],[ID]],Apoio!A291:H1291,4,0)</f>
        <v>Benguela</v>
      </c>
      <c r="K298" s="37" t="s">
        <v>112</v>
      </c>
      <c r="L298" s="37" t="s">
        <v>109</v>
      </c>
      <c r="M298" s="53"/>
    </row>
    <row r="299" spans="1:13" ht="20.100000000000001" customHeight="1" x14ac:dyDescent="0.25">
      <c r="A299" s="49">
        <v>292</v>
      </c>
      <c r="B299" s="55">
        <v>45453</v>
      </c>
      <c r="C299" s="36" t="str">
        <f>UPPER(TEXT(Dados_Cursos[[#This Row],[Data]],"mmm"))</f>
        <v>JUN</v>
      </c>
      <c r="D299" s="52" t="s">
        <v>1680</v>
      </c>
      <c r="E299" s="49" t="str">
        <f>VLOOKUP(Dados_Cursos[[#This Row],[ID]],Apoio!A292:H1292,2,0)</f>
        <v>carlos.silva292@gmail.com</v>
      </c>
      <c r="F299" s="36" t="s">
        <v>408</v>
      </c>
      <c r="G299" s="36" t="s">
        <v>2667</v>
      </c>
      <c r="H299" s="38">
        <v>1200</v>
      </c>
      <c r="I299" s="49">
        <v>2</v>
      </c>
      <c r="J299" s="49" t="str">
        <f>VLOOKUP(Dados_Cursos[[#This Row],[ID]],Apoio!A292:H1292,4,0)</f>
        <v>Cabinda</v>
      </c>
      <c r="K299" s="37" t="s">
        <v>113</v>
      </c>
      <c r="L299" s="37" t="s">
        <v>111</v>
      </c>
      <c r="M299" s="53"/>
    </row>
    <row r="300" spans="1:13" ht="20.100000000000001" customHeight="1" x14ac:dyDescent="0.25">
      <c r="A300" s="49">
        <v>293</v>
      </c>
      <c r="B300" s="55">
        <v>45407</v>
      </c>
      <c r="C300" s="36" t="str">
        <f>UPPER(TEXT(Dados_Cursos[[#This Row],[Data]],"mmm"))</f>
        <v>ABR</v>
      </c>
      <c r="D300" s="52" t="s">
        <v>1672</v>
      </c>
      <c r="E300" s="49" t="str">
        <f>VLOOKUP(Dados_Cursos[[#This Row],[ID]],Apoio!A293:H1293,2,0)</f>
        <v>rui.monteiro293@gmail.com</v>
      </c>
      <c r="F300" s="36" t="s">
        <v>409</v>
      </c>
      <c r="G300" s="36" t="s">
        <v>2666</v>
      </c>
      <c r="H300" s="38">
        <v>1500</v>
      </c>
      <c r="I300" s="49">
        <v>8</v>
      </c>
      <c r="J300" s="49" t="str">
        <f>VLOOKUP(Dados_Cursos[[#This Row],[ID]],Apoio!A293:H1293,4,0)</f>
        <v>Cuando</v>
      </c>
      <c r="K300" s="37" t="s">
        <v>113</v>
      </c>
      <c r="L300" s="37" t="s">
        <v>110</v>
      </c>
      <c r="M300" s="53"/>
    </row>
    <row r="301" spans="1:13" ht="20.100000000000001" customHeight="1" x14ac:dyDescent="0.25">
      <c r="A301" s="49">
        <v>294</v>
      </c>
      <c r="B301" s="55">
        <v>45354</v>
      </c>
      <c r="C301" s="36" t="str">
        <f>UPPER(TEXT(Dados_Cursos[[#This Row],[Data]],"mmm"))</f>
        <v>MAR</v>
      </c>
      <c r="D301" s="52" t="s">
        <v>1177</v>
      </c>
      <c r="E301" s="49" t="str">
        <f>VLOOKUP(Dados_Cursos[[#This Row],[ID]],Apoio!A294:H1294,2,0)</f>
        <v>luís.fernandes294@gmail.com</v>
      </c>
      <c r="F301" s="36" t="s">
        <v>410</v>
      </c>
      <c r="G301" s="36" t="s">
        <v>2666</v>
      </c>
      <c r="H301" s="38">
        <v>800</v>
      </c>
      <c r="I301" s="49">
        <v>8</v>
      </c>
      <c r="J301" s="49" t="str">
        <f>VLOOKUP(Dados_Cursos[[#This Row],[ID]],Apoio!A294:H1294,4,0)</f>
        <v>Cuanza Sul</v>
      </c>
      <c r="K301" s="37" t="s">
        <v>112</v>
      </c>
      <c r="L301" s="37" t="s">
        <v>109</v>
      </c>
      <c r="M301" s="53"/>
    </row>
    <row r="302" spans="1:13" ht="20.100000000000001" customHeight="1" x14ac:dyDescent="0.25">
      <c r="A302" s="49">
        <v>295</v>
      </c>
      <c r="B302" s="55">
        <v>45506</v>
      </c>
      <c r="C302" s="36" t="str">
        <f>UPPER(TEXT(Dados_Cursos[[#This Row],[Data]],"mmm"))</f>
        <v>AGO</v>
      </c>
      <c r="D302" s="52" t="s">
        <v>1541</v>
      </c>
      <c r="E302" s="49" t="str">
        <f>VLOOKUP(Dados_Cursos[[#This Row],[ID]],Apoio!A295:H1295,2,0)</f>
        <v>francisco.monteiro295@gmail.com</v>
      </c>
      <c r="F302" s="36" t="s">
        <v>411</v>
      </c>
      <c r="G302" s="36" t="s">
        <v>2667</v>
      </c>
      <c r="H302" s="38">
        <v>1200</v>
      </c>
      <c r="I302" s="49">
        <v>12</v>
      </c>
      <c r="J302" s="49" t="str">
        <f>VLOOKUP(Dados_Cursos[[#This Row],[ID]],Apoio!A295:H1295,4,0)</f>
        <v>Moxico</v>
      </c>
      <c r="K302" s="37" t="s">
        <v>113</v>
      </c>
      <c r="L302" s="37" t="s">
        <v>110</v>
      </c>
      <c r="M302" s="53"/>
    </row>
    <row r="303" spans="1:13" ht="20.100000000000001" customHeight="1" x14ac:dyDescent="0.25">
      <c r="A303" s="49">
        <v>296</v>
      </c>
      <c r="B303" s="55">
        <v>45613</v>
      </c>
      <c r="C303" s="36" t="str">
        <f>UPPER(TEXT(Dados_Cursos[[#This Row],[Data]],"mmm"))</f>
        <v>NOV</v>
      </c>
      <c r="D303" s="52" t="s">
        <v>1685</v>
      </c>
      <c r="E303" s="49" t="str">
        <f>VLOOKUP(Dados_Cursos[[#This Row],[ID]],Apoio!A296:H1296,2,0)</f>
        <v>daniel.tavares296@gmail.com</v>
      </c>
      <c r="F303" s="36" t="s">
        <v>412</v>
      </c>
      <c r="G303" s="36" t="s">
        <v>2667</v>
      </c>
      <c r="H303" s="38">
        <v>1200</v>
      </c>
      <c r="I303" s="49">
        <v>9</v>
      </c>
      <c r="J303" s="49" t="str">
        <f>VLOOKUP(Dados_Cursos[[#This Row],[ID]],Apoio!A296:H1296,4,0)</f>
        <v>Cubango</v>
      </c>
      <c r="K303" s="37" t="s">
        <v>113</v>
      </c>
      <c r="L303" s="37" t="s">
        <v>110</v>
      </c>
      <c r="M303" s="53"/>
    </row>
    <row r="304" spans="1:13" ht="20.100000000000001" customHeight="1" x14ac:dyDescent="0.25">
      <c r="A304" s="49">
        <v>297</v>
      </c>
      <c r="B304" s="55">
        <v>45574</v>
      </c>
      <c r="C304" s="36" t="str">
        <f>UPPER(TEXT(Dados_Cursos[[#This Row],[Data]],"mmm"))</f>
        <v>OUT</v>
      </c>
      <c r="D304" s="52" t="s">
        <v>1687</v>
      </c>
      <c r="E304" s="49" t="str">
        <f>VLOOKUP(Dados_Cursos[[#This Row],[ID]],Apoio!A297:H1297,2,0)</f>
        <v>paulo.santos297@gmail.com</v>
      </c>
      <c r="F304" s="36" t="s">
        <v>413</v>
      </c>
      <c r="G304" s="36" t="s">
        <v>2666</v>
      </c>
      <c r="H304" s="38">
        <v>1500</v>
      </c>
      <c r="I304" s="49">
        <v>15</v>
      </c>
      <c r="J304" s="49" t="str">
        <f>VLOOKUP(Dados_Cursos[[#This Row],[ID]],Apoio!A297:H1297,4,0)</f>
        <v>Lunda Norte</v>
      </c>
      <c r="K304" s="37" t="s">
        <v>113</v>
      </c>
      <c r="L304" s="37" t="s">
        <v>111</v>
      </c>
      <c r="M304" s="53"/>
    </row>
    <row r="305" spans="1:13" ht="20.100000000000001" customHeight="1" x14ac:dyDescent="0.25">
      <c r="A305" s="49">
        <v>298</v>
      </c>
      <c r="B305" s="55">
        <v>45457</v>
      </c>
      <c r="C305" s="36" t="str">
        <f>UPPER(TEXT(Dados_Cursos[[#This Row],[Data]],"mmm"))</f>
        <v>JUN</v>
      </c>
      <c r="D305" s="52" t="s">
        <v>1571</v>
      </c>
      <c r="E305" s="49" t="str">
        <f>VLOOKUP(Dados_Cursos[[#This Row],[ID]],Apoio!A298:H1298,2,0)</f>
        <v>isabel.gomes298@gmail.com</v>
      </c>
      <c r="F305" s="36" t="s">
        <v>414</v>
      </c>
      <c r="G305" s="36" t="s">
        <v>2667</v>
      </c>
      <c r="H305" s="38">
        <v>1200</v>
      </c>
      <c r="I305" s="49">
        <v>11</v>
      </c>
      <c r="J305" s="49" t="str">
        <f>VLOOKUP(Dados_Cursos[[#This Row],[ID]],Apoio!A298:H1298,4,0)</f>
        <v>Icolo e Bengo</v>
      </c>
      <c r="K305" s="37" t="s">
        <v>113</v>
      </c>
      <c r="L305" s="37" t="s">
        <v>111</v>
      </c>
      <c r="M305" s="53"/>
    </row>
    <row r="306" spans="1:13" ht="20.100000000000001" customHeight="1" x14ac:dyDescent="0.25">
      <c r="A306" s="49">
        <v>299</v>
      </c>
      <c r="B306" s="55">
        <v>45572</v>
      </c>
      <c r="C306" s="36" t="str">
        <f>UPPER(TEXT(Dados_Cursos[[#This Row],[Data]],"mmm"))</f>
        <v>OUT</v>
      </c>
      <c r="D306" s="52" t="s">
        <v>1690</v>
      </c>
      <c r="E306" s="49" t="str">
        <f>VLOOKUP(Dados_Cursos[[#This Row],[ID]],Apoio!A299:H1299,2,0)</f>
        <v>benedito.tavares299@gmail.com</v>
      </c>
      <c r="F306" s="36" t="s">
        <v>415</v>
      </c>
      <c r="G306" s="36" t="s">
        <v>2667</v>
      </c>
      <c r="H306" s="38">
        <v>1200</v>
      </c>
      <c r="I306" s="49">
        <v>11</v>
      </c>
      <c r="J306" s="49" t="str">
        <f>VLOOKUP(Dados_Cursos[[#This Row],[ID]],Apoio!A299:H1299,4,0)</f>
        <v>Moxico</v>
      </c>
      <c r="K306" s="37" t="s">
        <v>112</v>
      </c>
      <c r="L306" s="37" t="s">
        <v>109</v>
      </c>
      <c r="M306" s="53"/>
    </row>
    <row r="307" spans="1:13" ht="20.100000000000001" customHeight="1" x14ac:dyDescent="0.25">
      <c r="A307" s="49">
        <v>300</v>
      </c>
      <c r="B307" s="55">
        <v>45373</v>
      </c>
      <c r="C307" s="36" t="str">
        <f>UPPER(TEXT(Dados_Cursos[[#This Row],[Data]],"mmm"))</f>
        <v>MAR</v>
      </c>
      <c r="D307" s="52" t="s">
        <v>1692</v>
      </c>
      <c r="E307" s="49" t="str">
        <f>VLOOKUP(Dados_Cursos[[#This Row],[ID]],Apoio!A300:H1300,2,0)</f>
        <v>joão.fernandes300@gmail.com</v>
      </c>
      <c r="F307" s="36" t="s">
        <v>416</v>
      </c>
      <c r="G307" s="36" t="s">
        <v>2666</v>
      </c>
      <c r="H307" s="38">
        <v>800</v>
      </c>
      <c r="I307" s="49">
        <v>2</v>
      </c>
      <c r="J307" s="49" t="str">
        <f>VLOOKUP(Dados_Cursos[[#This Row],[ID]],Apoio!A300:H1300,4,0)</f>
        <v>Lunda Norte</v>
      </c>
      <c r="K307" s="37" t="s">
        <v>112</v>
      </c>
      <c r="L307" s="37" t="s">
        <v>109</v>
      </c>
      <c r="M307" s="53"/>
    </row>
    <row r="308" spans="1:13" ht="20.100000000000001" customHeight="1" x14ac:dyDescent="0.25">
      <c r="A308" s="49">
        <v>301</v>
      </c>
      <c r="B308" s="55">
        <v>45565</v>
      </c>
      <c r="C308" s="36" t="str">
        <f>UPPER(TEXT(Dados_Cursos[[#This Row],[Data]],"mmm"))</f>
        <v>SET</v>
      </c>
      <c r="D308" s="52" t="s">
        <v>1694</v>
      </c>
      <c r="E308" s="49" t="str">
        <f>VLOOKUP(Dados_Cursos[[#This Row],[ID]],Apoio!A301:H1301,2,0)</f>
        <v>antónio.pinto301@gmail.com</v>
      </c>
      <c r="F308" s="36" t="s">
        <v>417</v>
      </c>
      <c r="G308" s="36" t="s">
        <v>2666</v>
      </c>
      <c r="H308" s="38">
        <v>1500</v>
      </c>
      <c r="I308" s="49">
        <v>15</v>
      </c>
      <c r="J308" s="49" t="str">
        <f>VLOOKUP(Dados_Cursos[[#This Row],[ID]],Apoio!A301:H1301,4,0)</f>
        <v>Cuando</v>
      </c>
      <c r="K308" s="37" t="s">
        <v>113</v>
      </c>
      <c r="L308" s="37" t="s">
        <v>110</v>
      </c>
      <c r="M308" s="53"/>
    </row>
    <row r="309" spans="1:13" ht="20.100000000000001" customHeight="1" x14ac:dyDescent="0.25">
      <c r="A309" s="49">
        <v>302</v>
      </c>
      <c r="B309" s="55">
        <v>45325</v>
      </c>
      <c r="C309" s="36" t="str">
        <f>UPPER(TEXT(Dados_Cursos[[#This Row],[Data]],"mmm"))</f>
        <v>FEV</v>
      </c>
      <c r="D309" s="52" t="s">
        <v>1276</v>
      </c>
      <c r="E309" s="49" t="str">
        <f>VLOOKUP(Dados_Cursos[[#This Row],[ID]],Apoio!A302:H1302,2,0)</f>
        <v>adriano.pinto302@gmail.com</v>
      </c>
      <c r="F309" s="36" t="s">
        <v>418</v>
      </c>
      <c r="G309" s="36" t="s">
        <v>2667</v>
      </c>
      <c r="H309" s="38">
        <v>1200</v>
      </c>
      <c r="I309" s="49">
        <v>7</v>
      </c>
      <c r="J309" s="49" t="str">
        <f>VLOOKUP(Dados_Cursos[[#This Row],[ID]],Apoio!A302:H1302,4,0)</f>
        <v>Bengo</v>
      </c>
      <c r="K309" s="37" t="s">
        <v>113</v>
      </c>
      <c r="L309" s="37" t="s">
        <v>110</v>
      </c>
      <c r="M309" s="53"/>
    </row>
    <row r="310" spans="1:13" ht="20.100000000000001" customHeight="1" x14ac:dyDescent="0.25">
      <c r="A310" s="49">
        <v>303</v>
      </c>
      <c r="B310" s="55">
        <v>45303</v>
      </c>
      <c r="C310" s="36" t="str">
        <f>UPPER(TEXT(Dados_Cursos[[#This Row],[Data]],"mmm"))</f>
        <v>JAN</v>
      </c>
      <c r="D310" s="52" t="s">
        <v>1697</v>
      </c>
      <c r="E310" s="49" t="str">
        <f>VLOOKUP(Dados_Cursos[[#This Row],[ID]],Apoio!A303:H1303,2,0)</f>
        <v>nelson.lopes303@gmail.com</v>
      </c>
      <c r="F310" s="36" t="s">
        <v>419</v>
      </c>
      <c r="G310" s="36" t="s">
        <v>2666</v>
      </c>
      <c r="H310" s="38">
        <v>1500</v>
      </c>
      <c r="I310" s="49">
        <v>17</v>
      </c>
      <c r="J310" s="49" t="str">
        <f>VLOOKUP(Dados_Cursos[[#This Row],[ID]],Apoio!A303:H1303,4,0)</f>
        <v>Huambo</v>
      </c>
      <c r="K310" s="37" t="s">
        <v>112</v>
      </c>
      <c r="L310" s="37" t="s">
        <v>109</v>
      </c>
      <c r="M310" s="53"/>
    </row>
    <row r="311" spans="1:13" ht="20.100000000000001" customHeight="1" x14ac:dyDescent="0.25">
      <c r="A311" s="49">
        <v>304</v>
      </c>
      <c r="B311" s="55">
        <v>45514</v>
      </c>
      <c r="C311" s="36" t="str">
        <f>UPPER(TEXT(Dados_Cursos[[#This Row],[Data]],"mmm"))</f>
        <v>AGO</v>
      </c>
      <c r="D311" s="52" t="s">
        <v>1699</v>
      </c>
      <c r="E311" s="49" t="str">
        <f>VLOOKUP(Dados_Cursos[[#This Row],[ID]],Apoio!A304:H1304,2,0)</f>
        <v>nelson.pinto304@gmail.com</v>
      </c>
      <c r="F311" s="36" t="s">
        <v>420</v>
      </c>
      <c r="G311" s="36" t="s">
        <v>2666</v>
      </c>
      <c r="H311" s="38">
        <v>1500</v>
      </c>
      <c r="I311" s="49">
        <v>9</v>
      </c>
      <c r="J311" s="49" t="str">
        <f>VLOOKUP(Dados_Cursos[[#This Row],[ID]],Apoio!A304:H1304,4,0)</f>
        <v>Uíge</v>
      </c>
      <c r="K311" s="37" t="s">
        <v>112</v>
      </c>
      <c r="L311" s="37" t="s">
        <v>109</v>
      </c>
      <c r="M311" s="53"/>
    </row>
    <row r="312" spans="1:13" ht="20.100000000000001" customHeight="1" x14ac:dyDescent="0.25">
      <c r="A312" s="49">
        <v>305</v>
      </c>
      <c r="B312" s="55">
        <v>45316</v>
      </c>
      <c r="C312" s="36" t="str">
        <f>UPPER(TEXT(Dados_Cursos[[#This Row],[Data]],"mmm"))</f>
        <v>JAN</v>
      </c>
      <c r="D312" s="52" t="s">
        <v>1655</v>
      </c>
      <c r="E312" s="49" t="str">
        <f>VLOOKUP(Dados_Cursos[[#This Row],[ID]],Apoio!A305:H1305,2,0)</f>
        <v>cláudia.santos305@gmail.com</v>
      </c>
      <c r="F312" s="36" t="s">
        <v>421</v>
      </c>
      <c r="G312" s="36" t="s">
        <v>2666</v>
      </c>
      <c r="H312" s="38">
        <v>800</v>
      </c>
      <c r="I312" s="49">
        <v>14</v>
      </c>
      <c r="J312" s="49" t="str">
        <f>VLOOKUP(Dados_Cursos[[#This Row],[ID]],Apoio!A305:H1305,4,0)</f>
        <v>Bié</v>
      </c>
      <c r="K312" s="37" t="s">
        <v>113</v>
      </c>
      <c r="L312" s="37" t="s">
        <v>110</v>
      </c>
      <c r="M312" s="53"/>
    </row>
    <row r="313" spans="1:13" ht="20.100000000000001" customHeight="1" x14ac:dyDescent="0.25">
      <c r="A313" s="49">
        <v>306</v>
      </c>
      <c r="B313" s="55">
        <v>45414</v>
      </c>
      <c r="C313" s="36" t="str">
        <f>UPPER(TEXT(Dados_Cursos[[#This Row],[Data]],"mmm"))</f>
        <v>MAI</v>
      </c>
      <c r="D313" s="52" t="s">
        <v>1365</v>
      </c>
      <c r="E313" s="49" t="str">
        <f>VLOOKUP(Dados_Cursos[[#This Row],[ID]],Apoio!A306:H1306,2,0)</f>
        <v>maria.silva306@gmail.com</v>
      </c>
      <c r="F313" s="36" t="s">
        <v>422</v>
      </c>
      <c r="G313" s="36" t="s">
        <v>2666</v>
      </c>
      <c r="H313" s="38">
        <v>1500</v>
      </c>
      <c r="I313" s="49">
        <v>20</v>
      </c>
      <c r="J313" s="49" t="str">
        <f>VLOOKUP(Dados_Cursos[[#This Row],[ID]],Apoio!A306:H1306,4,0)</f>
        <v>Cuando</v>
      </c>
      <c r="K313" s="37" t="s">
        <v>113</v>
      </c>
      <c r="L313" s="37" t="s">
        <v>110</v>
      </c>
      <c r="M313" s="53"/>
    </row>
    <row r="314" spans="1:13" ht="20.100000000000001" customHeight="1" x14ac:dyDescent="0.25">
      <c r="A314" s="49">
        <v>307</v>
      </c>
      <c r="B314" s="55">
        <v>45446</v>
      </c>
      <c r="C314" s="36" t="str">
        <f>UPPER(TEXT(Dados_Cursos[[#This Row],[Data]],"mmm"))</f>
        <v>JUN</v>
      </c>
      <c r="D314" s="52" t="s">
        <v>1450</v>
      </c>
      <c r="E314" s="49" t="str">
        <f>VLOOKUP(Dados_Cursos[[#This Row],[ID]],Apoio!A307:H1307,2,0)</f>
        <v>luís.tavares307@gmail.com</v>
      </c>
      <c r="F314" s="36" t="s">
        <v>423</v>
      </c>
      <c r="G314" s="36" t="s">
        <v>2667</v>
      </c>
      <c r="H314" s="38">
        <v>1200</v>
      </c>
      <c r="I314" s="49">
        <v>5</v>
      </c>
      <c r="J314" s="49" t="str">
        <f>VLOOKUP(Dados_Cursos[[#This Row],[ID]],Apoio!A307:H1307,4,0)</f>
        <v>Namibe</v>
      </c>
      <c r="K314" s="37" t="s">
        <v>112</v>
      </c>
      <c r="L314" s="37" t="s">
        <v>109</v>
      </c>
      <c r="M314" s="53"/>
    </row>
    <row r="315" spans="1:13" ht="20.100000000000001" customHeight="1" x14ac:dyDescent="0.25">
      <c r="A315" s="49">
        <v>308</v>
      </c>
      <c r="B315" s="55">
        <v>45375</v>
      </c>
      <c r="C315" s="36" t="str">
        <f>UPPER(TEXT(Dados_Cursos[[#This Row],[Data]],"mmm"))</f>
        <v>MAR</v>
      </c>
      <c r="D315" s="52" t="s">
        <v>1245</v>
      </c>
      <c r="E315" s="49" t="str">
        <f>VLOOKUP(Dados_Cursos[[#This Row],[ID]],Apoio!A308:H1308,2,0)</f>
        <v>josé.lopes308@gmail.com</v>
      </c>
      <c r="F315" s="36" t="s">
        <v>424</v>
      </c>
      <c r="G315" s="36" t="s">
        <v>2666</v>
      </c>
      <c r="H315" s="38">
        <v>1500</v>
      </c>
      <c r="I315" s="49">
        <v>3</v>
      </c>
      <c r="J315" s="49" t="str">
        <f>VLOOKUP(Dados_Cursos[[#This Row],[ID]],Apoio!A308:H1308,4,0)</f>
        <v>Benguela</v>
      </c>
      <c r="K315" s="37" t="s">
        <v>113</v>
      </c>
      <c r="L315" s="37" t="s">
        <v>110</v>
      </c>
      <c r="M315" s="53"/>
    </row>
    <row r="316" spans="1:13" ht="20.100000000000001" customHeight="1" x14ac:dyDescent="0.25">
      <c r="A316" s="49">
        <v>309</v>
      </c>
      <c r="B316" s="55">
        <v>45410</v>
      </c>
      <c r="C316" s="36" t="str">
        <f>UPPER(TEXT(Dados_Cursos[[#This Row],[Data]],"mmm"))</f>
        <v>ABR</v>
      </c>
      <c r="D316" s="52" t="s">
        <v>1705</v>
      </c>
      <c r="E316" s="49" t="str">
        <f>VLOOKUP(Dados_Cursos[[#This Row],[ID]],Apoio!A309:H1309,2,0)</f>
        <v>joaquim.costa309@gmail.com</v>
      </c>
      <c r="F316" s="36" t="s">
        <v>425</v>
      </c>
      <c r="G316" s="36" t="s">
        <v>2666</v>
      </c>
      <c r="H316" s="38">
        <v>1500</v>
      </c>
      <c r="I316" s="49">
        <v>10</v>
      </c>
      <c r="J316" s="49" t="str">
        <f>VLOOKUP(Dados_Cursos[[#This Row],[ID]],Apoio!A309:H1309,4,0)</f>
        <v>Cabinda</v>
      </c>
      <c r="K316" s="37" t="s">
        <v>113</v>
      </c>
      <c r="L316" s="37" t="s">
        <v>111</v>
      </c>
      <c r="M316" s="53"/>
    </row>
    <row r="317" spans="1:13" ht="20.100000000000001" customHeight="1" x14ac:dyDescent="0.25">
      <c r="A317" s="49">
        <v>310</v>
      </c>
      <c r="B317" s="55">
        <v>45470</v>
      </c>
      <c r="C317" s="36" t="str">
        <f>UPPER(TEXT(Dados_Cursos[[#This Row],[Data]],"mmm"))</f>
        <v>JUN</v>
      </c>
      <c r="D317" s="52" t="s">
        <v>1375</v>
      </c>
      <c r="E317" s="49" t="str">
        <f>VLOOKUP(Dados_Cursos[[#This Row],[ID]],Apoio!A310:H1310,2,0)</f>
        <v>teresa.rodrigues310@gmail.com</v>
      </c>
      <c r="F317" s="36" t="s">
        <v>426</v>
      </c>
      <c r="G317" s="36" t="s">
        <v>2666</v>
      </c>
      <c r="H317" s="38">
        <v>800</v>
      </c>
      <c r="I317" s="49">
        <v>2</v>
      </c>
      <c r="J317" s="49" t="str">
        <f>VLOOKUP(Dados_Cursos[[#This Row],[ID]],Apoio!A310:H1310,4,0)</f>
        <v>Cabinda</v>
      </c>
      <c r="K317" s="37" t="s">
        <v>113</v>
      </c>
      <c r="L317" s="37" t="s">
        <v>110</v>
      </c>
      <c r="M317" s="53"/>
    </row>
    <row r="318" spans="1:13" ht="20.100000000000001" customHeight="1" x14ac:dyDescent="0.25">
      <c r="A318" s="49">
        <v>311</v>
      </c>
      <c r="B318" s="55">
        <v>45445</v>
      </c>
      <c r="C318" s="36" t="str">
        <f>UPPER(TEXT(Dados_Cursos[[#This Row],[Data]],"mmm"))</f>
        <v>JUN</v>
      </c>
      <c r="D318" s="52" t="s">
        <v>1245</v>
      </c>
      <c r="E318" s="49" t="str">
        <f>VLOOKUP(Dados_Cursos[[#This Row],[ID]],Apoio!A311:H1311,2,0)</f>
        <v>josé.lopes311@gmail.com</v>
      </c>
      <c r="F318" s="36" t="s">
        <v>427</v>
      </c>
      <c r="G318" s="36" t="s">
        <v>2666</v>
      </c>
      <c r="H318" s="38">
        <v>800</v>
      </c>
      <c r="I318" s="49">
        <v>17</v>
      </c>
      <c r="J318" s="49" t="str">
        <f>VLOOKUP(Dados_Cursos[[#This Row],[ID]],Apoio!A311:H1311,4,0)</f>
        <v>Cuanza Sul</v>
      </c>
      <c r="K318" s="37" t="s">
        <v>112</v>
      </c>
      <c r="L318" s="37" t="s">
        <v>109</v>
      </c>
      <c r="M318" s="53"/>
    </row>
    <row r="319" spans="1:13" ht="20.100000000000001" customHeight="1" x14ac:dyDescent="0.25">
      <c r="A319" s="49">
        <v>312</v>
      </c>
      <c r="B319" s="55">
        <v>45527</v>
      </c>
      <c r="C319" s="36" t="str">
        <f>UPPER(TEXT(Dados_Cursos[[#This Row],[Data]],"mmm"))</f>
        <v>AGO</v>
      </c>
      <c r="D319" s="52" t="s">
        <v>1709</v>
      </c>
      <c r="E319" s="49" t="str">
        <f>VLOOKUP(Dados_Cursos[[#This Row],[ID]],Apoio!A312:H1312,2,0)</f>
        <v>isabel.fernandes312@gmail.com</v>
      </c>
      <c r="F319" s="36" t="s">
        <v>428</v>
      </c>
      <c r="G319" s="36" t="s">
        <v>2666</v>
      </c>
      <c r="H319" s="38">
        <v>1500</v>
      </c>
      <c r="I319" s="49">
        <v>6</v>
      </c>
      <c r="J319" s="49" t="str">
        <f>VLOOKUP(Dados_Cursos[[#This Row],[ID]],Apoio!A312:H1312,4,0)</f>
        <v>Icolo e Bengo</v>
      </c>
      <c r="K319" s="37" t="s">
        <v>113</v>
      </c>
      <c r="L319" s="37" t="s">
        <v>111</v>
      </c>
      <c r="M319" s="53"/>
    </row>
    <row r="320" spans="1:13" ht="20.100000000000001" customHeight="1" x14ac:dyDescent="0.25">
      <c r="A320" s="49">
        <v>313</v>
      </c>
      <c r="B320" s="55">
        <v>45602</v>
      </c>
      <c r="C320" s="36" t="str">
        <f>UPPER(TEXT(Dados_Cursos[[#This Row],[Data]],"mmm"))</f>
        <v>NOV</v>
      </c>
      <c r="D320" s="52" t="s">
        <v>1711</v>
      </c>
      <c r="E320" s="49" t="str">
        <f>VLOOKUP(Dados_Cursos[[#This Row],[ID]],Apoio!A313:H1313,2,0)</f>
        <v>helena.pereira313@gmail.com</v>
      </c>
      <c r="F320" s="36" t="s">
        <v>429</v>
      </c>
      <c r="G320" s="36" t="s">
        <v>2667</v>
      </c>
      <c r="H320" s="38">
        <v>1200</v>
      </c>
      <c r="I320" s="49">
        <v>4</v>
      </c>
      <c r="J320" s="49" t="str">
        <f>VLOOKUP(Dados_Cursos[[#This Row],[ID]],Apoio!A313:H1313,4,0)</f>
        <v>Lunda Sul</v>
      </c>
      <c r="K320" s="37" t="s">
        <v>113</v>
      </c>
      <c r="L320" s="37" t="s">
        <v>111</v>
      </c>
      <c r="M320" s="53"/>
    </row>
    <row r="321" spans="1:13" ht="20.100000000000001" customHeight="1" x14ac:dyDescent="0.25">
      <c r="A321" s="49">
        <v>314</v>
      </c>
      <c r="B321" s="55">
        <v>45587</v>
      </c>
      <c r="C321" s="36" t="str">
        <f>UPPER(TEXT(Dados_Cursos[[#This Row],[Data]],"mmm"))</f>
        <v>OUT</v>
      </c>
      <c r="D321" s="52" t="s">
        <v>1713</v>
      </c>
      <c r="E321" s="49" t="str">
        <f>VLOOKUP(Dados_Cursos[[#This Row],[ID]],Apoio!A314:H1314,2,0)</f>
        <v>mateus.tavares314@gmail.com</v>
      </c>
      <c r="F321" s="36" t="s">
        <v>430</v>
      </c>
      <c r="G321" s="36" t="s">
        <v>2666</v>
      </c>
      <c r="H321" s="38">
        <v>1500</v>
      </c>
      <c r="I321" s="49">
        <v>3</v>
      </c>
      <c r="J321" s="49" t="str">
        <f>VLOOKUP(Dados_Cursos[[#This Row],[ID]],Apoio!A314:H1314,4,0)</f>
        <v>Luanda</v>
      </c>
      <c r="K321" s="37" t="s">
        <v>113</v>
      </c>
      <c r="L321" s="37" t="s">
        <v>111</v>
      </c>
      <c r="M321" s="53"/>
    </row>
    <row r="322" spans="1:13" ht="20.100000000000001" customHeight="1" x14ac:dyDescent="0.25">
      <c r="A322" s="49">
        <v>315</v>
      </c>
      <c r="B322" s="55">
        <v>45463</v>
      </c>
      <c r="C322" s="36" t="str">
        <f>UPPER(TEXT(Dados_Cursos[[#This Row],[Data]],"mmm"))</f>
        <v>JUN</v>
      </c>
      <c r="D322" s="52" t="s">
        <v>1349</v>
      </c>
      <c r="E322" s="49" t="str">
        <f>VLOOKUP(Dados_Cursos[[#This Row],[ID]],Apoio!A315:H1315,2,0)</f>
        <v>adriano.lopes315@gmail.com</v>
      </c>
      <c r="F322" s="36" t="s">
        <v>431</v>
      </c>
      <c r="G322" s="36" t="s">
        <v>2666</v>
      </c>
      <c r="H322" s="38">
        <v>800</v>
      </c>
      <c r="I322" s="49">
        <v>13</v>
      </c>
      <c r="J322" s="49" t="str">
        <f>VLOOKUP(Dados_Cursos[[#This Row],[ID]],Apoio!A315:H1315,4,0)</f>
        <v>Moxico Leste</v>
      </c>
      <c r="K322" s="37" t="s">
        <v>112</v>
      </c>
      <c r="L322" s="37" t="s">
        <v>109</v>
      </c>
      <c r="M322" s="53"/>
    </row>
    <row r="323" spans="1:13" ht="20.100000000000001" customHeight="1" x14ac:dyDescent="0.25">
      <c r="A323" s="49">
        <v>316</v>
      </c>
      <c r="B323" s="55">
        <v>45339</v>
      </c>
      <c r="C323" s="36" t="str">
        <f>UPPER(TEXT(Dados_Cursos[[#This Row],[Data]],"mmm"))</f>
        <v>FEV</v>
      </c>
      <c r="D323" s="52" t="s">
        <v>1141</v>
      </c>
      <c r="E323" s="49" t="str">
        <f>VLOOKUP(Dados_Cursos[[#This Row],[ID]],Apoio!A316:H1316,2,0)</f>
        <v>fátima.fernandes316@gmail.com</v>
      </c>
      <c r="F323" s="36" t="s">
        <v>432</v>
      </c>
      <c r="G323" s="36" t="s">
        <v>2667</v>
      </c>
      <c r="H323" s="38">
        <v>1200</v>
      </c>
      <c r="I323" s="49">
        <v>7</v>
      </c>
      <c r="J323" s="49" t="str">
        <f>VLOOKUP(Dados_Cursos[[#This Row],[ID]],Apoio!A316:H1316,4,0)</f>
        <v>Malanje</v>
      </c>
      <c r="K323" s="37" t="s">
        <v>113</v>
      </c>
      <c r="L323" s="37" t="s">
        <v>110</v>
      </c>
      <c r="M323" s="53"/>
    </row>
    <row r="324" spans="1:13" ht="20.100000000000001" customHeight="1" x14ac:dyDescent="0.25">
      <c r="A324" s="49">
        <v>317</v>
      </c>
      <c r="B324" s="55">
        <v>45476</v>
      </c>
      <c r="C324" s="36" t="str">
        <f>UPPER(TEXT(Dados_Cursos[[#This Row],[Data]],"mmm"))</f>
        <v>JUL</v>
      </c>
      <c r="D324" s="52" t="s">
        <v>1717</v>
      </c>
      <c r="E324" s="49" t="str">
        <f>VLOOKUP(Dados_Cursos[[#This Row],[ID]],Apoio!A317:H1317,2,0)</f>
        <v>domingos.monteiro317@gmail.com</v>
      </c>
      <c r="F324" s="36" t="s">
        <v>433</v>
      </c>
      <c r="G324" s="36" t="s">
        <v>2666</v>
      </c>
      <c r="H324" s="38">
        <v>1500</v>
      </c>
      <c r="I324" s="49">
        <v>16</v>
      </c>
      <c r="J324" s="49" t="str">
        <f>VLOOKUP(Dados_Cursos[[#This Row],[ID]],Apoio!A317:H1317,4,0)</f>
        <v>Bengo</v>
      </c>
      <c r="K324" s="37" t="s">
        <v>113</v>
      </c>
      <c r="L324" s="37" t="s">
        <v>111</v>
      </c>
      <c r="M324" s="53"/>
    </row>
    <row r="325" spans="1:13" ht="20.100000000000001" customHeight="1" x14ac:dyDescent="0.25">
      <c r="A325" s="49">
        <v>318</v>
      </c>
      <c r="B325" s="55">
        <v>45582</v>
      </c>
      <c r="C325" s="36" t="str">
        <f>UPPER(TEXT(Dados_Cursos[[#This Row],[Data]],"mmm"))</f>
        <v>OUT</v>
      </c>
      <c r="D325" s="52" t="s">
        <v>1719</v>
      </c>
      <c r="E325" s="49" t="str">
        <f>VLOOKUP(Dados_Cursos[[#This Row],[ID]],Apoio!A318:H1318,2,0)</f>
        <v>samuel.santos318@gmail.com</v>
      </c>
      <c r="F325" s="36" t="s">
        <v>434</v>
      </c>
      <c r="G325" s="36" t="s">
        <v>2666</v>
      </c>
      <c r="H325" s="38">
        <v>1500</v>
      </c>
      <c r="I325" s="49">
        <v>8</v>
      </c>
      <c r="J325" s="49" t="str">
        <f>VLOOKUP(Dados_Cursos[[#This Row],[ID]],Apoio!A318:H1318,4,0)</f>
        <v>Cuanza Sul</v>
      </c>
      <c r="K325" s="37" t="s">
        <v>113</v>
      </c>
      <c r="L325" s="37" t="s">
        <v>110</v>
      </c>
      <c r="M325" s="53"/>
    </row>
    <row r="326" spans="1:13" ht="20.100000000000001" customHeight="1" x14ac:dyDescent="0.25">
      <c r="A326" s="49">
        <v>319</v>
      </c>
      <c r="B326" s="55">
        <v>45650</v>
      </c>
      <c r="C326" s="36" t="str">
        <f>UPPER(TEXT(Dados_Cursos[[#This Row],[Data]],"mmm"))</f>
        <v>DEZ</v>
      </c>
      <c r="D326" s="52" t="s">
        <v>1721</v>
      </c>
      <c r="E326" s="49" t="str">
        <f>VLOOKUP(Dados_Cursos[[#This Row],[ID]],Apoio!A319:H1319,2,0)</f>
        <v>rui.soares319@gmail.com</v>
      </c>
      <c r="F326" s="36" t="s">
        <v>435</v>
      </c>
      <c r="G326" s="36" t="s">
        <v>2666</v>
      </c>
      <c r="H326" s="38">
        <v>1500</v>
      </c>
      <c r="I326" s="49">
        <v>1</v>
      </c>
      <c r="J326" s="49" t="str">
        <f>VLOOKUP(Dados_Cursos[[#This Row],[ID]],Apoio!A319:H1319,4,0)</f>
        <v>Moxico Leste</v>
      </c>
      <c r="K326" s="37" t="s">
        <v>113</v>
      </c>
      <c r="L326" s="37" t="s">
        <v>111</v>
      </c>
      <c r="M326" s="53"/>
    </row>
    <row r="327" spans="1:13" ht="20.100000000000001" customHeight="1" x14ac:dyDescent="0.25">
      <c r="A327" s="49">
        <v>320</v>
      </c>
      <c r="B327" s="55">
        <v>45533</v>
      </c>
      <c r="C327" s="36" t="str">
        <f>UPPER(TEXT(Dados_Cursos[[#This Row],[Data]],"mmm"))</f>
        <v>AGO</v>
      </c>
      <c r="D327" s="52" t="s">
        <v>1723</v>
      </c>
      <c r="E327" s="49" t="str">
        <f>VLOOKUP(Dados_Cursos[[#This Row],[ID]],Apoio!A320:H1320,2,0)</f>
        <v>fátima.lukeba320@gmail.com</v>
      </c>
      <c r="F327" s="36" t="s">
        <v>436</v>
      </c>
      <c r="G327" s="36" t="s">
        <v>2666</v>
      </c>
      <c r="H327" s="38">
        <v>1500</v>
      </c>
      <c r="I327" s="49">
        <v>5</v>
      </c>
      <c r="J327" s="49" t="str">
        <f>VLOOKUP(Dados_Cursos[[#This Row],[ID]],Apoio!A320:H1320,4,0)</f>
        <v>Cuando</v>
      </c>
      <c r="K327" s="37" t="s">
        <v>113</v>
      </c>
      <c r="L327" s="37" t="s">
        <v>111</v>
      </c>
      <c r="M327" s="53"/>
    </row>
    <row r="328" spans="1:13" ht="20.100000000000001" customHeight="1" x14ac:dyDescent="0.25">
      <c r="A328" s="49">
        <v>321</v>
      </c>
      <c r="B328" s="55">
        <v>45373</v>
      </c>
      <c r="C328" s="36" t="str">
        <f>UPPER(TEXT(Dados_Cursos[[#This Row],[Data]],"mmm"))</f>
        <v>MAR</v>
      </c>
      <c r="D328" s="52" t="s">
        <v>1725</v>
      </c>
      <c r="E328" s="49" t="str">
        <f>VLOOKUP(Dados_Cursos[[#This Row],[ID]],Apoio!A321:H1321,2,0)</f>
        <v>fátima.andrade321@gmail.com</v>
      </c>
      <c r="F328" s="36" t="s">
        <v>437</v>
      </c>
      <c r="G328" s="36" t="s">
        <v>2667</v>
      </c>
      <c r="H328" s="38">
        <v>1200</v>
      </c>
      <c r="I328" s="49">
        <v>3</v>
      </c>
      <c r="J328" s="49" t="str">
        <f>VLOOKUP(Dados_Cursos[[#This Row],[ID]],Apoio!A321:H1321,4,0)</f>
        <v>Luanda</v>
      </c>
      <c r="K328" s="37" t="s">
        <v>112</v>
      </c>
      <c r="L328" s="37" t="s">
        <v>109</v>
      </c>
      <c r="M328" s="53"/>
    </row>
    <row r="329" spans="1:13" ht="20.100000000000001" customHeight="1" x14ac:dyDescent="0.25">
      <c r="A329" s="49">
        <v>322</v>
      </c>
      <c r="B329" s="55">
        <v>45419</v>
      </c>
      <c r="C329" s="36" t="str">
        <f>UPPER(TEXT(Dados_Cursos[[#This Row],[Data]],"mmm"))</f>
        <v>MAI</v>
      </c>
      <c r="D329" s="52" t="s">
        <v>1727</v>
      </c>
      <c r="E329" s="49" t="str">
        <f>VLOOKUP(Dados_Cursos[[#This Row],[ID]],Apoio!A322:H1322,2,0)</f>
        <v>pedro.silva322@gmail.com</v>
      </c>
      <c r="F329" s="36" t="s">
        <v>438</v>
      </c>
      <c r="G329" s="36" t="s">
        <v>2666</v>
      </c>
      <c r="H329" s="38">
        <v>800</v>
      </c>
      <c r="I329" s="49">
        <v>11</v>
      </c>
      <c r="J329" s="49" t="str">
        <f>VLOOKUP(Dados_Cursos[[#This Row],[ID]],Apoio!A322:H1322,4,0)</f>
        <v>Icolo e Bengo</v>
      </c>
      <c r="K329" s="37" t="s">
        <v>112</v>
      </c>
      <c r="L329" s="37" t="s">
        <v>109</v>
      </c>
      <c r="M329" s="53"/>
    </row>
    <row r="330" spans="1:13" ht="20.100000000000001" customHeight="1" x14ac:dyDescent="0.25">
      <c r="A330" s="49">
        <v>323</v>
      </c>
      <c r="B330" s="55">
        <v>45410</v>
      </c>
      <c r="C330" s="36" t="str">
        <f>UPPER(TEXT(Dados_Cursos[[#This Row],[Data]],"mmm"))</f>
        <v>ABR</v>
      </c>
      <c r="D330" s="52" t="s">
        <v>1729</v>
      </c>
      <c r="E330" s="49" t="str">
        <f>VLOOKUP(Dados_Cursos[[#This Row],[ID]],Apoio!A323:H1323,2,0)</f>
        <v>josé.lukeba323@gmail.com</v>
      </c>
      <c r="F330" s="36" t="s">
        <v>439</v>
      </c>
      <c r="G330" s="36" t="s">
        <v>2667</v>
      </c>
      <c r="H330" s="38">
        <v>1200</v>
      </c>
      <c r="I330" s="49">
        <v>19</v>
      </c>
      <c r="J330" s="49" t="str">
        <f>VLOOKUP(Dados_Cursos[[#This Row],[ID]],Apoio!A323:H1323,4,0)</f>
        <v>Luanda</v>
      </c>
      <c r="K330" s="37" t="s">
        <v>113</v>
      </c>
      <c r="L330" s="37" t="s">
        <v>110</v>
      </c>
      <c r="M330" s="53"/>
    </row>
    <row r="331" spans="1:13" ht="20.100000000000001" customHeight="1" x14ac:dyDescent="0.25">
      <c r="A331" s="49">
        <v>324</v>
      </c>
      <c r="B331" s="55">
        <v>45498</v>
      </c>
      <c r="C331" s="36" t="str">
        <f>UPPER(TEXT(Dados_Cursos[[#This Row],[Data]],"mmm"))</f>
        <v>JUL</v>
      </c>
      <c r="D331" s="52" t="s">
        <v>1601</v>
      </c>
      <c r="E331" s="49" t="str">
        <f>VLOOKUP(Dados_Cursos[[#This Row],[ID]],Apoio!A324:H1324,2,0)</f>
        <v>maria.domingues324@gmail.com</v>
      </c>
      <c r="F331" s="36" t="s">
        <v>440</v>
      </c>
      <c r="G331" s="36" t="s">
        <v>2666</v>
      </c>
      <c r="H331" s="38">
        <v>800</v>
      </c>
      <c r="I331" s="49">
        <v>4</v>
      </c>
      <c r="J331" s="49" t="str">
        <f>VLOOKUP(Dados_Cursos[[#This Row],[ID]],Apoio!A324:H1324,4,0)</f>
        <v>Bié</v>
      </c>
      <c r="K331" s="37" t="s">
        <v>113</v>
      </c>
      <c r="L331" s="37" t="s">
        <v>110</v>
      </c>
      <c r="M331" s="53"/>
    </row>
    <row r="332" spans="1:13" ht="20.100000000000001" customHeight="1" x14ac:dyDescent="0.25">
      <c r="A332" s="49">
        <v>325</v>
      </c>
      <c r="B332" s="55">
        <v>45628</v>
      </c>
      <c r="C332" s="36" t="str">
        <f>UPPER(TEXT(Dados_Cursos[[#This Row],[Data]],"mmm"))</f>
        <v>DEZ</v>
      </c>
      <c r="D332" s="52" t="s">
        <v>1732</v>
      </c>
      <c r="E332" s="49" t="str">
        <f>VLOOKUP(Dados_Cursos[[#This Row],[ID]],Apoio!A325:H1325,2,0)</f>
        <v>antónio.andrade325@gmail.com</v>
      </c>
      <c r="F332" s="36" t="s">
        <v>441</v>
      </c>
      <c r="G332" s="36" t="s">
        <v>2667</v>
      </c>
      <c r="H332" s="38">
        <v>1200</v>
      </c>
      <c r="I332" s="49">
        <v>14</v>
      </c>
      <c r="J332" s="49" t="str">
        <f>VLOOKUP(Dados_Cursos[[#This Row],[ID]],Apoio!A325:H1325,4,0)</f>
        <v>Malanje</v>
      </c>
      <c r="K332" s="37" t="s">
        <v>112</v>
      </c>
      <c r="L332" s="37" t="s">
        <v>109</v>
      </c>
      <c r="M332" s="53"/>
    </row>
    <row r="333" spans="1:13" ht="20.100000000000001" customHeight="1" x14ac:dyDescent="0.25">
      <c r="A333" s="49">
        <v>326</v>
      </c>
      <c r="B333" s="55">
        <v>45512</v>
      </c>
      <c r="C333" s="36" t="str">
        <f>UPPER(TEXT(Dados_Cursos[[#This Row],[Data]],"mmm"))</f>
        <v>AGO</v>
      </c>
      <c r="D333" s="52" t="s">
        <v>1414</v>
      </c>
      <c r="E333" s="49" t="str">
        <f>VLOOKUP(Dados_Cursos[[#This Row],[ID]],Apoio!A326:H1326,2,0)</f>
        <v>manuel.lopes326@gmail.com</v>
      </c>
      <c r="F333" s="36" t="s">
        <v>442</v>
      </c>
      <c r="G333" s="36" t="s">
        <v>2666</v>
      </c>
      <c r="H333" s="38">
        <v>1500</v>
      </c>
      <c r="I333" s="49">
        <v>11</v>
      </c>
      <c r="J333" s="49" t="str">
        <f>VLOOKUP(Dados_Cursos[[#This Row],[ID]],Apoio!A326:H1326,4,0)</f>
        <v>Namibe</v>
      </c>
      <c r="K333" s="37" t="s">
        <v>113</v>
      </c>
      <c r="L333" s="37" t="s">
        <v>110</v>
      </c>
      <c r="M333" s="53"/>
    </row>
    <row r="334" spans="1:13" ht="20.100000000000001" customHeight="1" x14ac:dyDescent="0.25">
      <c r="A334" s="49">
        <v>327</v>
      </c>
      <c r="B334" s="55">
        <v>45631</v>
      </c>
      <c r="C334" s="36" t="str">
        <f>UPPER(TEXT(Dados_Cursos[[#This Row],[Data]],"mmm"))</f>
        <v>DEZ</v>
      </c>
      <c r="D334" s="52" t="s">
        <v>1735</v>
      </c>
      <c r="E334" s="49" t="str">
        <f>VLOOKUP(Dados_Cursos[[#This Row],[ID]],Apoio!A327:H1327,2,0)</f>
        <v>luís.soares327@gmail.com</v>
      </c>
      <c r="F334" s="36" t="s">
        <v>443</v>
      </c>
      <c r="G334" s="36" t="s">
        <v>2667</v>
      </c>
      <c r="H334" s="38">
        <v>1200</v>
      </c>
      <c r="I334" s="49">
        <v>20</v>
      </c>
      <c r="J334" s="49" t="str">
        <f>VLOOKUP(Dados_Cursos[[#This Row],[ID]],Apoio!A327:H1327,4,0)</f>
        <v>Benguela</v>
      </c>
      <c r="K334" s="37" t="s">
        <v>113</v>
      </c>
      <c r="L334" s="37" t="s">
        <v>2649</v>
      </c>
      <c r="M334" s="53"/>
    </row>
    <row r="335" spans="1:13" ht="20.100000000000001" customHeight="1" x14ac:dyDescent="0.25">
      <c r="A335" s="49">
        <v>328</v>
      </c>
      <c r="B335" s="55">
        <v>45493</v>
      </c>
      <c r="C335" s="36" t="str">
        <f>UPPER(TEXT(Dados_Cursos[[#This Row],[Data]],"mmm"))</f>
        <v>JUL</v>
      </c>
      <c r="D335" s="52" t="s">
        <v>1588</v>
      </c>
      <c r="E335" s="49" t="str">
        <f>VLOOKUP(Dados_Cursos[[#This Row],[ID]],Apoio!A328:H1328,2,0)</f>
        <v>marta.david328@gmail.com</v>
      </c>
      <c r="F335" s="36" t="s">
        <v>444</v>
      </c>
      <c r="G335" s="36" t="s">
        <v>2666</v>
      </c>
      <c r="H335" s="38">
        <v>1500</v>
      </c>
      <c r="I335" s="49">
        <v>12</v>
      </c>
      <c r="J335" s="49" t="str">
        <f>VLOOKUP(Dados_Cursos[[#This Row],[ID]],Apoio!A328:H1328,4,0)</f>
        <v>Zaire</v>
      </c>
      <c r="K335" s="37" t="s">
        <v>112</v>
      </c>
      <c r="L335" s="37" t="s">
        <v>109</v>
      </c>
      <c r="M335" s="53"/>
    </row>
    <row r="336" spans="1:13" ht="20.100000000000001" customHeight="1" x14ac:dyDescent="0.25">
      <c r="A336" s="49">
        <v>329</v>
      </c>
      <c r="B336" s="55">
        <v>45485</v>
      </c>
      <c r="C336" s="36" t="str">
        <f>UPPER(TEXT(Dados_Cursos[[#This Row],[Data]],"mmm"))</f>
        <v>JUL</v>
      </c>
      <c r="D336" s="52" t="s">
        <v>1738</v>
      </c>
      <c r="E336" s="49" t="str">
        <f>VLOOKUP(Dados_Cursos[[#This Row],[ID]],Apoio!A329:H1329,2,0)</f>
        <v>ana.pinto329@gmail.com</v>
      </c>
      <c r="F336" s="36" t="s">
        <v>445</v>
      </c>
      <c r="G336" s="36" t="s">
        <v>2666</v>
      </c>
      <c r="H336" s="38">
        <v>800</v>
      </c>
      <c r="I336" s="49">
        <v>10</v>
      </c>
      <c r="J336" s="49" t="str">
        <f>VLOOKUP(Dados_Cursos[[#This Row],[ID]],Apoio!A329:H1329,4,0)</f>
        <v>Huambo</v>
      </c>
      <c r="K336" s="37" t="s">
        <v>112</v>
      </c>
      <c r="L336" s="37" t="s">
        <v>109</v>
      </c>
      <c r="M336" s="53"/>
    </row>
    <row r="337" spans="1:13" ht="20.100000000000001" customHeight="1" x14ac:dyDescent="0.25">
      <c r="A337" s="49">
        <v>330</v>
      </c>
      <c r="B337" s="55">
        <v>45376</v>
      </c>
      <c r="C337" s="36" t="str">
        <f>UPPER(TEXT(Dados_Cursos[[#This Row],[Data]],"mmm"))</f>
        <v>MAR</v>
      </c>
      <c r="D337" s="52" t="s">
        <v>1740</v>
      </c>
      <c r="E337" s="49" t="str">
        <f>VLOOKUP(Dados_Cursos[[#This Row],[ID]],Apoio!A330:H1330,2,0)</f>
        <v>fátima.barbosa330@gmail.com</v>
      </c>
      <c r="F337" s="36" t="s">
        <v>446</v>
      </c>
      <c r="G337" s="36" t="s">
        <v>2666</v>
      </c>
      <c r="H337" s="38">
        <v>800</v>
      </c>
      <c r="I337" s="49">
        <v>8</v>
      </c>
      <c r="J337" s="49" t="str">
        <f>VLOOKUP(Dados_Cursos[[#This Row],[ID]],Apoio!A330:H1330,4,0)</f>
        <v>Lunda Norte</v>
      </c>
      <c r="K337" s="37" t="s">
        <v>113</v>
      </c>
      <c r="L337" s="37" t="s">
        <v>111</v>
      </c>
      <c r="M337" s="53"/>
    </row>
    <row r="338" spans="1:13" ht="20.100000000000001" customHeight="1" x14ac:dyDescent="0.25">
      <c r="A338" s="49">
        <v>331</v>
      </c>
      <c r="B338" s="55">
        <v>45552</v>
      </c>
      <c r="C338" s="36" t="str">
        <f>UPPER(TEXT(Dados_Cursos[[#This Row],[Data]],"mmm"))</f>
        <v>SET</v>
      </c>
      <c r="D338" s="52" t="s">
        <v>1742</v>
      </c>
      <c r="E338" s="49" t="str">
        <f>VLOOKUP(Dados_Cursos[[#This Row],[ID]],Apoio!A331:H1331,2,0)</f>
        <v>francisco.domingues331@gmail.com</v>
      </c>
      <c r="F338" s="36" t="s">
        <v>447</v>
      </c>
      <c r="G338" s="36" t="s">
        <v>2666</v>
      </c>
      <c r="H338" s="38">
        <v>1500</v>
      </c>
      <c r="I338" s="49">
        <v>15</v>
      </c>
      <c r="J338" s="49" t="str">
        <f>VLOOKUP(Dados_Cursos[[#This Row],[ID]],Apoio!A331:H1331,4,0)</f>
        <v>Icolo e Bengo</v>
      </c>
      <c r="K338" s="37" t="s">
        <v>112</v>
      </c>
      <c r="L338" s="37" t="s">
        <v>109</v>
      </c>
      <c r="M338" s="53"/>
    </row>
    <row r="339" spans="1:13" ht="20.100000000000001" customHeight="1" x14ac:dyDescent="0.25">
      <c r="A339" s="49">
        <v>332</v>
      </c>
      <c r="B339" s="55">
        <v>45473</v>
      </c>
      <c r="C339" s="36" t="str">
        <f>UPPER(TEXT(Dados_Cursos[[#This Row],[Data]],"mmm"))</f>
        <v>JUN</v>
      </c>
      <c r="D339" s="52" t="s">
        <v>1744</v>
      </c>
      <c r="E339" s="49" t="str">
        <f>VLOOKUP(Dados_Cursos[[#This Row],[ID]],Apoio!A332:H1332,2,0)</f>
        <v>bruno.almeida332@gmail.com</v>
      </c>
      <c r="F339" s="36" t="s">
        <v>448</v>
      </c>
      <c r="G339" s="36" t="s">
        <v>2666</v>
      </c>
      <c r="H339" s="38">
        <v>1500</v>
      </c>
      <c r="I339" s="49">
        <v>19</v>
      </c>
      <c r="J339" s="49" t="str">
        <f>VLOOKUP(Dados_Cursos[[#This Row],[ID]],Apoio!A332:H1332,4,0)</f>
        <v>Lunda Norte</v>
      </c>
      <c r="K339" s="37" t="s">
        <v>112</v>
      </c>
      <c r="L339" s="37" t="s">
        <v>109</v>
      </c>
      <c r="M339" s="53"/>
    </row>
    <row r="340" spans="1:13" ht="20.100000000000001" customHeight="1" x14ac:dyDescent="0.25">
      <c r="A340" s="49">
        <v>333</v>
      </c>
      <c r="B340" s="55">
        <v>45567</v>
      </c>
      <c r="C340" s="36" t="str">
        <f>UPPER(TEXT(Dados_Cursos[[#This Row],[Data]],"mmm"))</f>
        <v>OUT</v>
      </c>
      <c r="D340" s="52" t="s">
        <v>1531</v>
      </c>
      <c r="E340" s="49" t="str">
        <f>VLOOKUP(Dados_Cursos[[#This Row],[ID]],Apoio!A333:H1333,2,0)</f>
        <v>bruno.monteiro333@gmail.com</v>
      </c>
      <c r="F340" s="36" t="s">
        <v>449</v>
      </c>
      <c r="G340" s="36" t="s">
        <v>2666</v>
      </c>
      <c r="H340" s="38">
        <v>1500</v>
      </c>
      <c r="I340" s="49">
        <v>4</v>
      </c>
      <c r="J340" s="49" t="str">
        <f>VLOOKUP(Dados_Cursos[[#This Row],[ID]],Apoio!A333:H1333,4,0)</f>
        <v>Cunene</v>
      </c>
      <c r="K340" s="37" t="s">
        <v>113</v>
      </c>
      <c r="L340" s="37" t="s">
        <v>110</v>
      </c>
      <c r="M340" s="53"/>
    </row>
    <row r="341" spans="1:13" ht="20.100000000000001" customHeight="1" x14ac:dyDescent="0.25">
      <c r="A341" s="49">
        <v>334</v>
      </c>
      <c r="B341" s="55">
        <v>45649</v>
      </c>
      <c r="C341" s="36" t="str">
        <f>UPPER(TEXT(Dados_Cursos[[#This Row],[Data]],"mmm"))</f>
        <v>DEZ</v>
      </c>
      <c r="D341" s="52" t="s">
        <v>1747</v>
      </c>
      <c r="E341" s="49" t="str">
        <f>VLOOKUP(Dados_Cursos[[#This Row],[ID]],Apoio!A334:H1334,2,0)</f>
        <v>marta.lukeba334@gmail.com</v>
      </c>
      <c r="F341" s="36" t="s">
        <v>450</v>
      </c>
      <c r="G341" s="36" t="s">
        <v>2666</v>
      </c>
      <c r="H341" s="38">
        <v>800</v>
      </c>
      <c r="I341" s="49">
        <v>7</v>
      </c>
      <c r="J341" s="49" t="str">
        <f>VLOOKUP(Dados_Cursos[[#This Row],[ID]],Apoio!A334:H1334,4,0)</f>
        <v>Uíge</v>
      </c>
      <c r="K341" s="37" t="s">
        <v>113</v>
      </c>
      <c r="L341" s="37" t="s">
        <v>2649</v>
      </c>
      <c r="M341" s="53"/>
    </row>
    <row r="342" spans="1:13" ht="20.100000000000001" customHeight="1" x14ac:dyDescent="0.25">
      <c r="A342" s="49">
        <v>335</v>
      </c>
      <c r="B342" s="55">
        <v>45580</v>
      </c>
      <c r="C342" s="36" t="str">
        <f>UPPER(TEXT(Dados_Cursos[[#This Row],[Data]],"mmm"))</f>
        <v>OUT</v>
      </c>
      <c r="D342" s="52" t="s">
        <v>1595</v>
      </c>
      <c r="E342" s="49" t="str">
        <f>VLOOKUP(Dados_Cursos[[#This Row],[ID]],Apoio!A335:H1335,2,0)</f>
        <v>ana.santos335@gmail.com</v>
      </c>
      <c r="F342" s="36" t="s">
        <v>451</v>
      </c>
      <c r="G342" s="36" t="s">
        <v>2666</v>
      </c>
      <c r="H342" s="38">
        <v>800</v>
      </c>
      <c r="I342" s="49">
        <v>17</v>
      </c>
      <c r="J342" s="49" t="str">
        <f>VLOOKUP(Dados_Cursos[[#This Row],[ID]],Apoio!A335:H1335,4,0)</f>
        <v>Lunda Sul</v>
      </c>
      <c r="K342" s="37" t="s">
        <v>113</v>
      </c>
      <c r="L342" s="37" t="s">
        <v>110</v>
      </c>
      <c r="M342" s="53"/>
    </row>
    <row r="343" spans="1:13" ht="20.100000000000001" customHeight="1" x14ac:dyDescent="0.25">
      <c r="A343" s="49">
        <v>336</v>
      </c>
      <c r="B343" s="55">
        <v>45383</v>
      </c>
      <c r="C343" s="36" t="str">
        <f>UPPER(TEXT(Dados_Cursos[[#This Row],[Data]],"mmm"))</f>
        <v>ABR</v>
      </c>
      <c r="D343" s="52" t="s">
        <v>1169</v>
      </c>
      <c r="E343" s="49" t="str">
        <f>VLOOKUP(Dados_Cursos[[#This Row],[ID]],Apoio!A336:H1336,2,0)</f>
        <v>pedro.lopes336@gmail.com</v>
      </c>
      <c r="F343" s="36" t="s">
        <v>452</v>
      </c>
      <c r="G343" s="36" t="s">
        <v>2666</v>
      </c>
      <c r="H343" s="38">
        <v>800</v>
      </c>
      <c r="I343" s="49">
        <v>9</v>
      </c>
      <c r="J343" s="49" t="str">
        <f>VLOOKUP(Dados_Cursos[[#This Row],[ID]],Apoio!A336:H1336,4,0)</f>
        <v>Cuanza Sul</v>
      </c>
      <c r="K343" s="37" t="s">
        <v>113</v>
      </c>
      <c r="L343" s="37" t="s">
        <v>110</v>
      </c>
      <c r="M343" s="53"/>
    </row>
    <row r="344" spans="1:13" ht="20.100000000000001" customHeight="1" x14ac:dyDescent="0.25">
      <c r="A344" s="49">
        <v>337</v>
      </c>
      <c r="B344" s="55">
        <v>45557</v>
      </c>
      <c r="C344" s="36" t="str">
        <f>UPPER(TEXT(Dados_Cursos[[#This Row],[Data]],"mmm"))</f>
        <v>SET</v>
      </c>
      <c r="D344" s="52" t="s">
        <v>1560</v>
      </c>
      <c r="E344" s="49" t="str">
        <f>VLOOKUP(Dados_Cursos[[#This Row],[ID]],Apoio!A337:H1337,2,0)</f>
        <v>joaquim.rodrigues337@gmail.com</v>
      </c>
      <c r="F344" s="36" t="s">
        <v>453</v>
      </c>
      <c r="G344" s="36" t="s">
        <v>2666</v>
      </c>
      <c r="H344" s="38">
        <v>1500</v>
      </c>
      <c r="I344" s="49">
        <v>7</v>
      </c>
      <c r="J344" s="49" t="str">
        <f>VLOOKUP(Dados_Cursos[[#This Row],[ID]],Apoio!A337:H1337,4,0)</f>
        <v>Uíge</v>
      </c>
      <c r="K344" s="37" t="s">
        <v>113</v>
      </c>
      <c r="L344" s="37" t="s">
        <v>110</v>
      </c>
      <c r="M344" s="53"/>
    </row>
    <row r="345" spans="1:13" ht="20.100000000000001" customHeight="1" x14ac:dyDescent="0.25">
      <c r="A345" s="49">
        <v>338</v>
      </c>
      <c r="B345" s="55">
        <v>45571</v>
      </c>
      <c r="C345" s="36" t="str">
        <f>UPPER(TEXT(Dados_Cursos[[#This Row],[Data]],"mmm"))</f>
        <v>OUT</v>
      </c>
      <c r="D345" s="52" t="s">
        <v>1752</v>
      </c>
      <c r="E345" s="49" t="str">
        <f>VLOOKUP(Dados_Cursos[[#This Row],[ID]],Apoio!A338:H1338,2,0)</f>
        <v>david.rodrigues338@gmail.com</v>
      </c>
      <c r="F345" s="36" t="s">
        <v>454</v>
      </c>
      <c r="G345" s="36" t="s">
        <v>2667</v>
      </c>
      <c r="H345" s="38">
        <v>1200</v>
      </c>
      <c r="I345" s="49">
        <v>20</v>
      </c>
      <c r="J345" s="49" t="str">
        <f>VLOOKUP(Dados_Cursos[[#This Row],[ID]],Apoio!A338:H1338,4,0)</f>
        <v>Malanje</v>
      </c>
      <c r="K345" s="37" t="s">
        <v>112</v>
      </c>
      <c r="L345" s="37" t="s">
        <v>109</v>
      </c>
      <c r="M345" s="53"/>
    </row>
    <row r="346" spans="1:13" ht="20.100000000000001" customHeight="1" x14ac:dyDescent="0.25">
      <c r="A346" s="49">
        <v>339</v>
      </c>
      <c r="B346" s="55">
        <v>45536</v>
      </c>
      <c r="C346" s="36" t="str">
        <f>UPPER(TEXT(Dados_Cursos[[#This Row],[Data]],"mmm"))</f>
        <v>SET</v>
      </c>
      <c r="D346" s="52" t="s">
        <v>1754</v>
      </c>
      <c r="E346" s="49" t="str">
        <f>VLOOKUP(Dados_Cursos[[#This Row],[ID]],Apoio!A339:H1339,2,0)</f>
        <v>helena.lopes339@gmail.com</v>
      </c>
      <c r="F346" s="36" t="s">
        <v>455</v>
      </c>
      <c r="G346" s="36" t="s">
        <v>2667</v>
      </c>
      <c r="H346" s="38">
        <v>1200</v>
      </c>
      <c r="I346" s="49">
        <v>18</v>
      </c>
      <c r="J346" s="49" t="str">
        <f>VLOOKUP(Dados_Cursos[[#This Row],[ID]],Apoio!A339:H1339,4,0)</f>
        <v>Bié</v>
      </c>
      <c r="K346" s="37" t="s">
        <v>113</v>
      </c>
      <c r="L346" s="37" t="s">
        <v>110</v>
      </c>
      <c r="M346" s="53"/>
    </row>
    <row r="347" spans="1:13" ht="20.100000000000001" customHeight="1" x14ac:dyDescent="0.25">
      <c r="A347" s="49">
        <v>340</v>
      </c>
      <c r="B347" s="55">
        <v>45382</v>
      </c>
      <c r="C347" s="36" t="str">
        <f>UPPER(TEXT(Dados_Cursos[[#This Row],[Data]],"mmm"))</f>
        <v>MAR</v>
      </c>
      <c r="D347" s="52" t="s">
        <v>1674</v>
      </c>
      <c r="E347" s="49" t="str">
        <f>VLOOKUP(Dados_Cursos[[#This Row],[ID]],Apoio!A340:H1340,2,0)</f>
        <v>joão.tavares340@gmail.com</v>
      </c>
      <c r="F347" s="36" t="s">
        <v>456</v>
      </c>
      <c r="G347" s="36" t="s">
        <v>2666</v>
      </c>
      <c r="H347" s="38">
        <v>1500</v>
      </c>
      <c r="I347" s="49">
        <v>1</v>
      </c>
      <c r="J347" s="49" t="str">
        <f>VLOOKUP(Dados_Cursos[[#This Row],[ID]],Apoio!A340:H1340,4,0)</f>
        <v>Zaire</v>
      </c>
      <c r="K347" s="37" t="s">
        <v>113</v>
      </c>
      <c r="L347" s="37" t="s">
        <v>111</v>
      </c>
      <c r="M347" s="53"/>
    </row>
    <row r="348" spans="1:13" ht="20.100000000000001" customHeight="1" x14ac:dyDescent="0.25">
      <c r="A348" s="49">
        <v>341</v>
      </c>
      <c r="B348" s="55">
        <v>45646</v>
      </c>
      <c r="C348" s="36" t="str">
        <f>UPPER(TEXT(Dados_Cursos[[#This Row],[Data]],"mmm"))</f>
        <v>DEZ</v>
      </c>
      <c r="D348" s="52" t="s">
        <v>1757</v>
      </c>
      <c r="E348" s="49" t="str">
        <f>VLOOKUP(Dados_Cursos[[#This Row],[ID]],Apoio!A341:H1341,2,0)</f>
        <v>josé.monteiro341@gmail.com</v>
      </c>
      <c r="F348" s="36" t="s">
        <v>457</v>
      </c>
      <c r="G348" s="36" t="s">
        <v>2666</v>
      </c>
      <c r="H348" s="38">
        <v>800</v>
      </c>
      <c r="I348" s="49">
        <v>20</v>
      </c>
      <c r="J348" s="49" t="str">
        <f>VLOOKUP(Dados_Cursos[[#This Row],[ID]],Apoio!A341:H1341,4,0)</f>
        <v>Cuando</v>
      </c>
      <c r="K348" s="37" t="s">
        <v>113</v>
      </c>
      <c r="L348" s="37" t="s">
        <v>110</v>
      </c>
      <c r="M348" s="53"/>
    </row>
    <row r="349" spans="1:13" ht="20.100000000000001" customHeight="1" x14ac:dyDescent="0.25">
      <c r="A349" s="49">
        <v>342</v>
      </c>
      <c r="B349" s="55">
        <v>45521</v>
      </c>
      <c r="C349" s="36" t="str">
        <f>UPPER(TEXT(Dados_Cursos[[#This Row],[Data]],"mmm"))</f>
        <v>AGO</v>
      </c>
      <c r="D349" s="52" t="s">
        <v>1759</v>
      </c>
      <c r="E349" s="49" t="str">
        <f>VLOOKUP(Dados_Cursos[[#This Row],[ID]],Apoio!A342:H1342,2,0)</f>
        <v>cláudia.rodrigues342@gmail.com</v>
      </c>
      <c r="F349" s="36" t="s">
        <v>458</v>
      </c>
      <c r="G349" s="36" t="s">
        <v>2666</v>
      </c>
      <c r="H349" s="38">
        <v>800</v>
      </c>
      <c r="I349" s="49">
        <v>16</v>
      </c>
      <c r="J349" s="49" t="str">
        <f>VLOOKUP(Dados_Cursos[[#This Row],[ID]],Apoio!A342:H1342,4,0)</f>
        <v>Malanje</v>
      </c>
      <c r="K349" s="37" t="s">
        <v>113</v>
      </c>
      <c r="L349" s="37" t="s">
        <v>111</v>
      </c>
      <c r="M349" s="53"/>
    </row>
    <row r="350" spans="1:13" ht="20.100000000000001" customHeight="1" x14ac:dyDescent="0.25">
      <c r="A350" s="49">
        <v>343</v>
      </c>
      <c r="B350" s="55">
        <v>45562</v>
      </c>
      <c r="C350" s="36" t="str">
        <f>UPPER(TEXT(Dados_Cursos[[#This Row],[Data]],"mmm"))</f>
        <v>SET</v>
      </c>
      <c r="D350" s="52" t="s">
        <v>1663</v>
      </c>
      <c r="E350" s="49" t="str">
        <f>VLOOKUP(Dados_Cursos[[#This Row],[ID]],Apoio!A343:H1343,2,0)</f>
        <v>domingos.barbosa343@gmail.com</v>
      </c>
      <c r="F350" s="36" t="s">
        <v>459</v>
      </c>
      <c r="G350" s="36" t="s">
        <v>2667</v>
      </c>
      <c r="H350" s="38">
        <v>1200</v>
      </c>
      <c r="I350" s="49">
        <v>8</v>
      </c>
      <c r="J350" s="49" t="str">
        <f>VLOOKUP(Dados_Cursos[[#This Row],[ID]],Apoio!A343:H1343,4,0)</f>
        <v>Zaire</v>
      </c>
      <c r="K350" s="37" t="s">
        <v>113</v>
      </c>
      <c r="L350" s="37" t="s">
        <v>111</v>
      </c>
      <c r="M350" s="53"/>
    </row>
    <row r="351" spans="1:13" ht="20.100000000000001" customHeight="1" x14ac:dyDescent="0.25">
      <c r="A351" s="49">
        <v>344</v>
      </c>
      <c r="B351" s="55">
        <v>45575</v>
      </c>
      <c r="C351" s="36" t="str">
        <f>UPPER(TEXT(Dados_Cursos[[#This Row],[Data]],"mmm"))</f>
        <v>OUT</v>
      </c>
      <c r="D351" s="52" t="s">
        <v>1762</v>
      </c>
      <c r="E351" s="49" t="str">
        <f>VLOOKUP(Dados_Cursos[[#This Row],[ID]],Apoio!A344:H1344,2,0)</f>
        <v>daniel.monteiro344@gmail.com</v>
      </c>
      <c r="F351" s="36" t="s">
        <v>460</v>
      </c>
      <c r="G351" s="36" t="s">
        <v>2666</v>
      </c>
      <c r="H351" s="38">
        <v>1500</v>
      </c>
      <c r="I351" s="49">
        <v>10</v>
      </c>
      <c r="J351" s="49" t="str">
        <f>VLOOKUP(Dados_Cursos[[#This Row],[ID]],Apoio!A344:H1344,4,0)</f>
        <v>Bié</v>
      </c>
      <c r="K351" s="37" t="s">
        <v>112</v>
      </c>
      <c r="L351" s="37" t="s">
        <v>109</v>
      </c>
      <c r="M351" s="53"/>
    </row>
    <row r="352" spans="1:13" ht="20.100000000000001" customHeight="1" x14ac:dyDescent="0.25">
      <c r="A352" s="49">
        <v>345</v>
      </c>
      <c r="B352" s="55">
        <v>45455</v>
      </c>
      <c r="C352" s="36" t="str">
        <f>UPPER(TEXT(Dados_Cursos[[#This Row],[Data]],"mmm"))</f>
        <v>JUN</v>
      </c>
      <c r="D352" s="52" t="s">
        <v>1764</v>
      </c>
      <c r="E352" s="49" t="str">
        <f>VLOOKUP(Dados_Cursos[[#This Row],[ID]],Apoio!A345:H1345,2,0)</f>
        <v>domingos.soares345@gmail.com</v>
      </c>
      <c r="F352" s="36" t="s">
        <v>461</v>
      </c>
      <c r="G352" s="36" t="s">
        <v>2667</v>
      </c>
      <c r="H352" s="38">
        <v>1200</v>
      </c>
      <c r="I352" s="49">
        <v>3</v>
      </c>
      <c r="J352" s="49" t="str">
        <f>VLOOKUP(Dados_Cursos[[#This Row],[ID]],Apoio!A345:H1345,4,0)</f>
        <v>Bié</v>
      </c>
      <c r="K352" s="37" t="s">
        <v>113</v>
      </c>
      <c r="L352" s="37" t="s">
        <v>2649</v>
      </c>
      <c r="M352" s="53"/>
    </row>
    <row r="353" spans="1:13" ht="20.100000000000001" customHeight="1" x14ac:dyDescent="0.25">
      <c r="A353" s="49">
        <v>346</v>
      </c>
      <c r="B353" s="55">
        <v>45360</v>
      </c>
      <c r="C353" s="36" t="str">
        <f>UPPER(TEXT(Dados_Cursos[[#This Row],[Data]],"mmm"))</f>
        <v>MAR</v>
      </c>
      <c r="D353" s="52" t="s">
        <v>1766</v>
      </c>
      <c r="E353" s="49" t="str">
        <f>VLOOKUP(Dados_Cursos[[#This Row],[ID]],Apoio!A346:H1346,2,0)</f>
        <v>cláudia.lukeba346@gmail.com</v>
      </c>
      <c r="F353" s="36" t="s">
        <v>462</v>
      </c>
      <c r="G353" s="36" t="s">
        <v>2666</v>
      </c>
      <c r="H353" s="38">
        <v>800</v>
      </c>
      <c r="I353" s="49">
        <v>3</v>
      </c>
      <c r="J353" s="49" t="str">
        <f>VLOOKUP(Dados_Cursos[[#This Row],[ID]],Apoio!A346:H1346,4,0)</f>
        <v>Huambo</v>
      </c>
      <c r="K353" s="37" t="s">
        <v>113</v>
      </c>
      <c r="L353" s="37" t="s">
        <v>110</v>
      </c>
      <c r="M353" s="53"/>
    </row>
    <row r="354" spans="1:13" ht="20.100000000000001" customHeight="1" x14ac:dyDescent="0.25">
      <c r="A354" s="49">
        <v>347</v>
      </c>
      <c r="B354" s="55">
        <v>45494</v>
      </c>
      <c r="C354" s="36" t="str">
        <f>UPPER(TEXT(Dados_Cursos[[#This Row],[Data]],"mmm"))</f>
        <v>JUL</v>
      </c>
      <c r="D354" s="52" t="s">
        <v>1768</v>
      </c>
      <c r="E354" s="49" t="str">
        <f>VLOOKUP(Dados_Cursos[[#This Row],[ID]],Apoio!A347:H1347,2,0)</f>
        <v>david.pereira347@gmail.com</v>
      </c>
      <c r="F354" s="36" t="s">
        <v>463</v>
      </c>
      <c r="G354" s="36" t="s">
        <v>2667</v>
      </c>
      <c r="H354" s="38">
        <v>1200</v>
      </c>
      <c r="I354" s="49">
        <v>6</v>
      </c>
      <c r="J354" s="49" t="str">
        <f>VLOOKUP(Dados_Cursos[[#This Row],[ID]],Apoio!A347:H1347,4,0)</f>
        <v>Bengo</v>
      </c>
      <c r="K354" s="37" t="s">
        <v>113</v>
      </c>
      <c r="L354" s="37" t="s">
        <v>111</v>
      </c>
      <c r="M354" s="53"/>
    </row>
    <row r="355" spans="1:13" ht="20.100000000000001" customHeight="1" x14ac:dyDescent="0.25">
      <c r="A355" s="49">
        <v>348</v>
      </c>
      <c r="B355" s="55">
        <v>45656</v>
      </c>
      <c r="C355" s="36" t="str">
        <f>UPPER(TEXT(Dados_Cursos[[#This Row],[Data]],"mmm"))</f>
        <v>DEZ</v>
      </c>
      <c r="D355" s="52" t="s">
        <v>1601</v>
      </c>
      <c r="E355" s="49" t="str">
        <f>VLOOKUP(Dados_Cursos[[#This Row],[ID]],Apoio!A348:H1348,2,0)</f>
        <v>maria.domingues348@gmail.com</v>
      </c>
      <c r="F355" s="36" t="s">
        <v>464</v>
      </c>
      <c r="G355" s="36" t="s">
        <v>2667</v>
      </c>
      <c r="H355" s="38">
        <v>1200</v>
      </c>
      <c r="I355" s="49">
        <v>16</v>
      </c>
      <c r="J355" s="49" t="str">
        <f>VLOOKUP(Dados_Cursos[[#This Row],[ID]],Apoio!A348:H1348,4,0)</f>
        <v>Huambo</v>
      </c>
      <c r="K355" s="37" t="s">
        <v>113</v>
      </c>
      <c r="L355" s="37" t="s">
        <v>110</v>
      </c>
      <c r="M355" s="53"/>
    </row>
    <row r="356" spans="1:13" ht="20.100000000000001" customHeight="1" x14ac:dyDescent="0.25">
      <c r="A356" s="49">
        <v>349</v>
      </c>
      <c r="B356" s="55">
        <v>45467</v>
      </c>
      <c r="C356" s="36" t="str">
        <f>UPPER(TEXT(Dados_Cursos[[#This Row],[Data]],"mmm"))</f>
        <v>JUN</v>
      </c>
      <c r="D356" s="52" t="s">
        <v>1421</v>
      </c>
      <c r="E356" s="49" t="str">
        <f>VLOOKUP(Dados_Cursos[[#This Row],[ID]],Apoio!A349:H1349,2,0)</f>
        <v>carlos.pereira349@gmail.com</v>
      </c>
      <c r="F356" s="36" t="s">
        <v>465</v>
      </c>
      <c r="G356" s="36" t="s">
        <v>2666</v>
      </c>
      <c r="H356" s="38">
        <v>800</v>
      </c>
      <c r="I356" s="49">
        <v>18</v>
      </c>
      <c r="J356" s="49" t="str">
        <f>VLOOKUP(Dados_Cursos[[#This Row],[ID]],Apoio!A349:H1349,4,0)</f>
        <v>Namibe</v>
      </c>
      <c r="K356" s="37" t="s">
        <v>113</v>
      </c>
      <c r="L356" s="37" t="s">
        <v>110</v>
      </c>
      <c r="M356" s="53"/>
    </row>
    <row r="357" spans="1:13" ht="20.100000000000001" customHeight="1" x14ac:dyDescent="0.25">
      <c r="A357" s="49">
        <v>350</v>
      </c>
      <c r="B357" s="55">
        <v>45592</v>
      </c>
      <c r="C357" s="36" t="str">
        <f>UPPER(TEXT(Dados_Cursos[[#This Row],[Data]],"mmm"))</f>
        <v>OUT</v>
      </c>
      <c r="D357" s="52" t="s">
        <v>1421</v>
      </c>
      <c r="E357" s="49" t="str">
        <f>VLOOKUP(Dados_Cursos[[#This Row],[ID]],Apoio!A350:H1350,2,0)</f>
        <v>carlos.pereira350@gmail.com</v>
      </c>
      <c r="F357" s="36" t="s">
        <v>466</v>
      </c>
      <c r="G357" s="36" t="s">
        <v>2666</v>
      </c>
      <c r="H357" s="38">
        <v>1500</v>
      </c>
      <c r="I357" s="49">
        <v>11</v>
      </c>
      <c r="J357" s="49" t="str">
        <f>VLOOKUP(Dados_Cursos[[#This Row],[ID]],Apoio!A350:H1350,4,0)</f>
        <v>Luanda</v>
      </c>
      <c r="K357" s="37" t="s">
        <v>113</v>
      </c>
      <c r="L357" s="37" t="s">
        <v>111</v>
      </c>
      <c r="M357" s="53"/>
    </row>
    <row r="358" spans="1:13" ht="20.100000000000001" customHeight="1" x14ac:dyDescent="0.25">
      <c r="A358" s="49">
        <v>351</v>
      </c>
      <c r="B358" s="55">
        <v>45656</v>
      </c>
      <c r="C358" s="36" t="str">
        <f>UPPER(TEXT(Dados_Cursos[[#This Row],[Data]],"mmm"))</f>
        <v>DEZ</v>
      </c>
      <c r="D358" s="52" t="s">
        <v>1175</v>
      </c>
      <c r="E358" s="49" t="str">
        <f>VLOOKUP(Dados_Cursos[[#This Row],[ID]],Apoio!A351:H1351,2,0)</f>
        <v>helena.miguel351@gmail.com</v>
      </c>
      <c r="F358" s="36" t="s">
        <v>467</v>
      </c>
      <c r="G358" s="36" t="s">
        <v>2666</v>
      </c>
      <c r="H358" s="38">
        <v>800</v>
      </c>
      <c r="I358" s="49">
        <v>18</v>
      </c>
      <c r="J358" s="49" t="str">
        <f>VLOOKUP(Dados_Cursos[[#This Row],[ID]],Apoio!A351:H1351,4,0)</f>
        <v>Moxico</v>
      </c>
      <c r="K358" s="37" t="s">
        <v>113</v>
      </c>
      <c r="L358" s="37" t="s">
        <v>110</v>
      </c>
      <c r="M358" s="53"/>
    </row>
    <row r="359" spans="1:13" ht="20.100000000000001" customHeight="1" x14ac:dyDescent="0.25">
      <c r="A359" s="49">
        <v>352</v>
      </c>
      <c r="B359" s="55">
        <v>45484</v>
      </c>
      <c r="C359" s="36" t="str">
        <f>UPPER(TEXT(Dados_Cursos[[#This Row],[Data]],"mmm"))</f>
        <v>JUL</v>
      </c>
      <c r="D359" s="52" t="s">
        <v>1752</v>
      </c>
      <c r="E359" s="49" t="str">
        <f>VLOOKUP(Dados_Cursos[[#This Row],[ID]],Apoio!A352:H1352,2,0)</f>
        <v>david.rodrigues352@gmail.com</v>
      </c>
      <c r="F359" s="36" t="s">
        <v>468</v>
      </c>
      <c r="G359" s="36" t="s">
        <v>2667</v>
      </c>
      <c r="H359" s="38">
        <v>1200</v>
      </c>
      <c r="I359" s="49">
        <v>4</v>
      </c>
      <c r="J359" s="49" t="str">
        <f>VLOOKUP(Dados_Cursos[[#This Row],[ID]],Apoio!A352:H1352,4,0)</f>
        <v>Benguela</v>
      </c>
      <c r="K359" s="37" t="s">
        <v>113</v>
      </c>
      <c r="L359" s="37" t="s">
        <v>111</v>
      </c>
      <c r="M359" s="53"/>
    </row>
    <row r="360" spans="1:13" ht="20.100000000000001" customHeight="1" x14ac:dyDescent="0.25">
      <c r="A360" s="49">
        <v>353</v>
      </c>
      <c r="B360" s="55">
        <v>45631</v>
      </c>
      <c r="C360" s="36" t="str">
        <f>UPPER(TEXT(Dados_Cursos[[#This Row],[Data]],"mmm"))</f>
        <v>DEZ</v>
      </c>
      <c r="D360" s="52" t="s">
        <v>1392</v>
      </c>
      <c r="E360" s="49" t="str">
        <f>VLOOKUP(Dados_Cursos[[#This Row],[ID]],Apoio!A353:H1353,2,0)</f>
        <v>helena.gomes353@gmail.com</v>
      </c>
      <c r="F360" s="36" t="s">
        <v>469</v>
      </c>
      <c r="G360" s="36" t="s">
        <v>2666</v>
      </c>
      <c r="H360" s="38">
        <v>1500</v>
      </c>
      <c r="I360" s="49">
        <v>6</v>
      </c>
      <c r="J360" s="49" t="str">
        <f>VLOOKUP(Dados_Cursos[[#This Row],[ID]],Apoio!A353:H1353,4,0)</f>
        <v>Cunene</v>
      </c>
      <c r="K360" s="37" t="s">
        <v>113</v>
      </c>
      <c r="L360" s="37" t="s">
        <v>110</v>
      </c>
      <c r="M360" s="53"/>
    </row>
    <row r="361" spans="1:13" ht="20.100000000000001" customHeight="1" x14ac:dyDescent="0.25">
      <c r="A361" s="49">
        <v>354</v>
      </c>
      <c r="B361" s="55">
        <v>45339</v>
      </c>
      <c r="C361" s="36" t="str">
        <f>UPPER(TEXT(Dados_Cursos[[#This Row],[Data]],"mmm"))</f>
        <v>FEV</v>
      </c>
      <c r="D361" s="52" t="s">
        <v>1776</v>
      </c>
      <c r="E361" s="49" t="str">
        <f>VLOOKUP(Dados_Cursos[[#This Row],[ID]],Apoio!A354:H1354,2,0)</f>
        <v>benedito.fernandes354@gmail.com</v>
      </c>
      <c r="F361" s="36" t="s">
        <v>470</v>
      </c>
      <c r="G361" s="36" t="s">
        <v>2666</v>
      </c>
      <c r="H361" s="38">
        <v>800</v>
      </c>
      <c r="I361" s="49">
        <v>18</v>
      </c>
      <c r="J361" s="49" t="str">
        <f>VLOOKUP(Dados_Cursos[[#This Row],[ID]],Apoio!A354:H1354,4,0)</f>
        <v>Cunene</v>
      </c>
      <c r="K361" s="37" t="s">
        <v>112</v>
      </c>
      <c r="L361" s="37" t="s">
        <v>109</v>
      </c>
      <c r="M361" s="53"/>
    </row>
    <row r="362" spans="1:13" ht="20.100000000000001" customHeight="1" x14ac:dyDescent="0.25">
      <c r="A362" s="49">
        <v>355</v>
      </c>
      <c r="B362" s="55">
        <v>45539</v>
      </c>
      <c r="C362" s="36" t="str">
        <f>UPPER(TEXT(Dados_Cursos[[#This Row],[Data]],"mmm"))</f>
        <v>SET</v>
      </c>
      <c r="D362" s="52" t="s">
        <v>1418</v>
      </c>
      <c r="E362" s="49" t="str">
        <f>VLOOKUP(Dados_Cursos[[#This Row],[ID]],Apoio!A355:H1355,2,0)</f>
        <v>francisco.barbosa355@gmail.com</v>
      </c>
      <c r="F362" s="36" t="s">
        <v>471</v>
      </c>
      <c r="G362" s="36" t="s">
        <v>2665</v>
      </c>
      <c r="H362" s="38">
        <v>1500</v>
      </c>
      <c r="I362" s="49">
        <v>2</v>
      </c>
      <c r="J362" s="49" t="str">
        <f>VLOOKUP(Dados_Cursos[[#This Row],[ID]],Apoio!A355:H1355,4,0)</f>
        <v>Cubango</v>
      </c>
      <c r="K362" s="37" t="s">
        <v>113</v>
      </c>
      <c r="L362" s="37" t="s">
        <v>110</v>
      </c>
      <c r="M362" s="53"/>
    </row>
    <row r="363" spans="1:13" ht="20.100000000000001" customHeight="1" x14ac:dyDescent="0.25">
      <c r="A363" s="49">
        <v>356</v>
      </c>
      <c r="B363" s="55">
        <v>45515</v>
      </c>
      <c r="C363" s="36" t="str">
        <f>UPPER(TEXT(Dados_Cursos[[#This Row],[Data]],"mmm"))</f>
        <v>AGO</v>
      </c>
      <c r="D363" s="52" t="s">
        <v>1779</v>
      </c>
      <c r="E363" s="49" t="str">
        <f>VLOOKUP(Dados_Cursos[[#This Row],[ID]],Apoio!A356:H1356,2,0)</f>
        <v>nelson.soares356@gmail.com</v>
      </c>
      <c r="F363" s="36" t="s">
        <v>472</v>
      </c>
      <c r="G363" s="36" t="s">
        <v>2667</v>
      </c>
      <c r="H363" s="38">
        <v>1200</v>
      </c>
      <c r="I363" s="49">
        <v>13</v>
      </c>
      <c r="J363" s="49" t="str">
        <f>VLOOKUP(Dados_Cursos[[#This Row],[ID]],Apoio!A356:H1356,4,0)</f>
        <v>Cuanza Norte</v>
      </c>
      <c r="K363" s="37" t="s">
        <v>112</v>
      </c>
      <c r="L363" s="37" t="s">
        <v>109</v>
      </c>
      <c r="M363" s="53"/>
    </row>
    <row r="364" spans="1:13" ht="20.100000000000001" customHeight="1" x14ac:dyDescent="0.25">
      <c r="A364" s="49">
        <v>357</v>
      </c>
      <c r="B364" s="55">
        <v>45540</v>
      </c>
      <c r="C364" s="36" t="str">
        <f>UPPER(TEXT(Dados_Cursos[[#This Row],[Data]],"mmm"))</f>
        <v>SET</v>
      </c>
      <c r="D364" s="52" t="s">
        <v>1781</v>
      </c>
      <c r="E364" s="49" t="str">
        <f>VLOOKUP(Dados_Cursos[[#This Row],[ID]],Apoio!A357:H1357,2,0)</f>
        <v>josé.barbosa357@gmail.com</v>
      </c>
      <c r="F364" s="36" t="s">
        <v>473</v>
      </c>
      <c r="G364" s="36" t="s">
        <v>2666</v>
      </c>
      <c r="H364" s="38">
        <v>800</v>
      </c>
      <c r="I364" s="49">
        <v>8</v>
      </c>
      <c r="J364" s="49" t="str">
        <f>VLOOKUP(Dados_Cursos[[#This Row],[ID]],Apoio!A357:H1357,4,0)</f>
        <v>Benguela</v>
      </c>
      <c r="K364" s="37" t="s">
        <v>113</v>
      </c>
      <c r="L364" s="37" t="s">
        <v>2649</v>
      </c>
      <c r="M364" s="53"/>
    </row>
    <row r="365" spans="1:13" ht="20.100000000000001" customHeight="1" x14ac:dyDescent="0.25">
      <c r="A365" s="49">
        <v>358</v>
      </c>
      <c r="B365" s="55">
        <v>45346</v>
      </c>
      <c r="C365" s="36" t="str">
        <f>UPPER(TEXT(Dados_Cursos[[#This Row],[Data]],"mmm"))</f>
        <v>FEV</v>
      </c>
      <c r="D365" s="52" t="s">
        <v>1363</v>
      </c>
      <c r="E365" s="49" t="str">
        <f>VLOOKUP(Dados_Cursos[[#This Row],[ID]],Apoio!A358:H1358,2,0)</f>
        <v>helena.andrade358@gmail.com</v>
      </c>
      <c r="F365" s="36" t="s">
        <v>474</v>
      </c>
      <c r="G365" s="36" t="s">
        <v>2665</v>
      </c>
      <c r="H365" s="38">
        <v>1500</v>
      </c>
      <c r="I365" s="49">
        <v>12</v>
      </c>
      <c r="J365" s="49" t="str">
        <f>VLOOKUP(Dados_Cursos[[#This Row],[ID]],Apoio!A358:H1358,4,0)</f>
        <v>Cuanza Norte</v>
      </c>
      <c r="K365" s="37" t="s">
        <v>113</v>
      </c>
      <c r="L365" s="37" t="s">
        <v>111</v>
      </c>
      <c r="M365" s="53"/>
    </row>
    <row r="366" spans="1:13" ht="20.100000000000001" customHeight="1" x14ac:dyDescent="0.25">
      <c r="A366" s="49">
        <v>359</v>
      </c>
      <c r="B366" s="55">
        <v>45441</v>
      </c>
      <c r="C366" s="36" t="str">
        <f>UPPER(TEXT(Dados_Cursos[[#This Row],[Data]],"mmm"))</f>
        <v>MAI</v>
      </c>
      <c r="D366" s="52" t="s">
        <v>1725</v>
      </c>
      <c r="E366" s="49" t="str">
        <f>VLOOKUP(Dados_Cursos[[#This Row],[ID]],Apoio!A359:H1359,2,0)</f>
        <v>fátima.andrade359@gmail.com</v>
      </c>
      <c r="F366" s="36" t="s">
        <v>475</v>
      </c>
      <c r="G366" s="36" t="s">
        <v>2667</v>
      </c>
      <c r="H366" s="38">
        <v>1200</v>
      </c>
      <c r="I366" s="49">
        <v>11</v>
      </c>
      <c r="J366" s="49" t="str">
        <f>VLOOKUP(Dados_Cursos[[#This Row],[ID]],Apoio!A359:H1359,4,0)</f>
        <v>Luanda</v>
      </c>
      <c r="K366" s="37" t="s">
        <v>113</v>
      </c>
      <c r="L366" s="37" t="s">
        <v>110</v>
      </c>
      <c r="M366" s="53"/>
    </row>
    <row r="367" spans="1:13" ht="20.100000000000001" customHeight="1" x14ac:dyDescent="0.25">
      <c r="A367" s="49">
        <v>360</v>
      </c>
      <c r="B367" s="55">
        <v>45517</v>
      </c>
      <c r="C367" s="36" t="str">
        <f>UPPER(TEXT(Dados_Cursos[[#This Row],[Data]],"mmm"))</f>
        <v>AGO</v>
      </c>
      <c r="D367" s="52" t="s">
        <v>1785</v>
      </c>
      <c r="E367" s="49" t="str">
        <f>VLOOKUP(Dados_Cursos[[#This Row],[ID]],Apoio!A360:H1360,2,0)</f>
        <v>daniel.barbosa360@gmail.com</v>
      </c>
      <c r="F367" s="36" t="s">
        <v>476</v>
      </c>
      <c r="G367" s="36" t="s">
        <v>2667</v>
      </c>
      <c r="H367" s="38">
        <v>1200</v>
      </c>
      <c r="I367" s="49">
        <v>19</v>
      </c>
      <c r="J367" s="49" t="str">
        <f>VLOOKUP(Dados_Cursos[[#This Row],[ID]],Apoio!A360:H1360,4,0)</f>
        <v>Huíla</v>
      </c>
      <c r="K367" s="37" t="s">
        <v>113</v>
      </c>
      <c r="L367" s="37" t="s">
        <v>111</v>
      </c>
      <c r="M367" s="53"/>
    </row>
    <row r="368" spans="1:13" ht="20.100000000000001" customHeight="1" x14ac:dyDescent="0.25">
      <c r="A368" s="49">
        <v>361</v>
      </c>
      <c r="B368" s="55">
        <v>45482</v>
      </c>
      <c r="C368" s="36" t="str">
        <f>UPPER(TEXT(Dados_Cursos[[#This Row],[Data]],"mmm"))</f>
        <v>JUL</v>
      </c>
      <c r="D368" s="52" t="s">
        <v>1787</v>
      </c>
      <c r="E368" s="49" t="str">
        <f>VLOOKUP(Dados_Cursos[[#This Row],[ID]],Apoio!A361:H1361,2,0)</f>
        <v>sofia.andrade361@gmail.com</v>
      </c>
      <c r="F368" s="36" t="s">
        <v>477</v>
      </c>
      <c r="G368" s="36" t="s">
        <v>2666</v>
      </c>
      <c r="H368" s="38">
        <v>800</v>
      </c>
      <c r="I368" s="49">
        <v>1</v>
      </c>
      <c r="J368" s="49" t="str">
        <f>VLOOKUP(Dados_Cursos[[#This Row],[ID]],Apoio!A361:H1361,4,0)</f>
        <v>Cuanza Sul</v>
      </c>
      <c r="K368" s="37" t="s">
        <v>113</v>
      </c>
      <c r="L368" s="37" t="s">
        <v>111</v>
      </c>
      <c r="M368" s="53"/>
    </row>
    <row r="369" spans="1:13" ht="20.100000000000001" customHeight="1" x14ac:dyDescent="0.25">
      <c r="A369" s="49">
        <v>362</v>
      </c>
      <c r="B369" s="55">
        <v>45394</v>
      </c>
      <c r="C369" s="36" t="str">
        <f>UPPER(TEXT(Dados_Cursos[[#This Row],[Data]],"mmm"))</f>
        <v>ABR</v>
      </c>
      <c r="D369" s="52" t="s">
        <v>1789</v>
      </c>
      <c r="E369" s="49" t="str">
        <f>VLOOKUP(Dados_Cursos[[#This Row],[ID]],Apoio!A362:H1362,2,0)</f>
        <v>rosa.pinto362@gmail.com</v>
      </c>
      <c r="F369" s="36" t="s">
        <v>478</v>
      </c>
      <c r="G369" s="36" t="s">
        <v>2667</v>
      </c>
      <c r="H369" s="38">
        <v>1200</v>
      </c>
      <c r="I369" s="49">
        <v>14</v>
      </c>
      <c r="J369" s="49" t="str">
        <f>VLOOKUP(Dados_Cursos[[#This Row],[ID]],Apoio!A362:H1362,4,0)</f>
        <v>Icolo e Bengo</v>
      </c>
      <c r="K369" s="37" t="s">
        <v>113</v>
      </c>
      <c r="L369" s="37" t="s">
        <v>111</v>
      </c>
      <c r="M369" s="53"/>
    </row>
    <row r="370" spans="1:13" ht="20.100000000000001" customHeight="1" x14ac:dyDescent="0.25">
      <c r="A370" s="49">
        <v>363</v>
      </c>
      <c r="B370" s="55">
        <v>45637</v>
      </c>
      <c r="C370" s="36" t="str">
        <f>UPPER(TEXT(Dados_Cursos[[#This Row],[Data]],"mmm"))</f>
        <v>DEZ</v>
      </c>
      <c r="D370" s="52" t="s">
        <v>1270</v>
      </c>
      <c r="E370" s="49" t="str">
        <f>VLOOKUP(Dados_Cursos[[#This Row],[ID]],Apoio!A363:H1363,2,0)</f>
        <v>nelson.silva363@gmail.com</v>
      </c>
      <c r="F370" s="36" t="s">
        <v>479</v>
      </c>
      <c r="G370" s="36" t="s">
        <v>2667</v>
      </c>
      <c r="H370" s="38">
        <v>1200</v>
      </c>
      <c r="I370" s="49">
        <v>13</v>
      </c>
      <c r="J370" s="49" t="str">
        <f>VLOOKUP(Dados_Cursos[[#This Row],[ID]],Apoio!A363:H1363,4,0)</f>
        <v>Moxico Leste</v>
      </c>
      <c r="K370" s="37" t="s">
        <v>113</v>
      </c>
      <c r="L370" s="37" t="s">
        <v>111</v>
      </c>
      <c r="M370" s="53"/>
    </row>
    <row r="371" spans="1:13" ht="20.100000000000001" customHeight="1" x14ac:dyDescent="0.25">
      <c r="A371" s="49">
        <v>364</v>
      </c>
      <c r="B371" s="55">
        <v>45652</v>
      </c>
      <c r="C371" s="36" t="str">
        <f>UPPER(TEXT(Dados_Cursos[[#This Row],[Data]],"mmm"))</f>
        <v>DEZ</v>
      </c>
      <c r="D371" s="52" t="s">
        <v>1792</v>
      </c>
      <c r="E371" s="49" t="str">
        <f>VLOOKUP(Dados_Cursos[[#This Row],[ID]],Apoio!A364:H1364,2,0)</f>
        <v>antónio.monteiro364@gmail.com</v>
      </c>
      <c r="F371" s="36" t="s">
        <v>480</v>
      </c>
      <c r="G371" s="36" t="s">
        <v>2667</v>
      </c>
      <c r="H371" s="38">
        <v>1200</v>
      </c>
      <c r="I371" s="49">
        <v>11</v>
      </c>
      <c r="J371" s="49" t="str">
        <f>VLOOKUP(Dados_Cursos[[#This Row],[ID]],Apoio!A364:H1364,4,0)</f>
        <v>Huíla</v>
      </c>
      <c r="K371" s="37" t="s">
        <v>112</v>
      </c>
      <c r="L371" s="37" t="s">
        <v>109</v>
      </c>
      <c r="M371" s="53"/>
    </row>
    <row r="372" spans="1:13" ht="20.100000000000001" customHeight="1" x14ac:dyDescent="0.25">
      <c r="A372" s="49">
        <v>365</v>
      </c>
      <c r="B372" s="55">
        <v>45650</v>
      </c>
      <c r="C372" s="36" t="str">
        <f>UPPER(TEXT(Dados_Cursos[[#This Row],[Data]],"mmm"))</f>
        <v>DEZ</v>
      </c>
      <c r="D372" s="52" t="s">
        <v>1794</v>
      </c>
      <c r="E372" s="49" t="str">
        <f>VLOOKUP(Dados_Cursos[[#This Row],[ID]],Apoio!A365:H1365,2,0)</f>
        <v>luís.lopes365@gmail.com</v>
      </c>
      <c r="F372" s="36" t="s">
        <v>481</v>
      </c>
      <c r="G372" s="36" t="s">
        <v>2666</v>
      </c>
      <c r="H372" s="38">
        <v>800</v>
      </c>
      <c r="I372" s="49">
        <v>17</v>
      </c>
      <c r="J372" s="49" t="str">
        <f>VLOOKUP(Dados_Cursos[[#This Row],[ID]],Apoio!A365:H1365,4,0)</f>
        <v>Uíge</v>
      </c>
      <c r="K372" s="37" t="s">
        <v>113</v>
      </c>
      <c r="L372" s="37" t="s">
        <v>2649</v>
      </c>
      <c r="M372" s="53"/>
    </row>
    <row r="373" spans="1:13" ht="20.100000000000001" customHeight="1" x14ac:dyDescent="0.25">
      <c r="A373" s="49">
        <v>366</v>
      </c>
      <c r="B373" s="55">
        <v>45583</v>
      </c>
      <c r="C373" s="36" t="str">
        <f>UPPER(TEXT(Dados_Cursos[[#This Row],[Data]],"mmm"))</f>
        <v>OUT</v>
      </c>
      <c r="D373" s="52" t="s">
        <v>1796</v>
      </c>
      <c r="E373" s="49" t="str">
        <f>VLOOKUP(Dados_Cursos[[#This Row],[ID]],Apoio!A366:H1366,2,0)</f>
        <v>rui.silva366@gmail.com</v>
      </c>
      <c r="F373" s="36" t="s">
        <v>482</v>
      </c>
      <c r="G373" s="36" t="s">
        <v>2666</v>
      </c>
      <c r="H373" s="38">
        <v>800</v>
      </c>
      <c r="I373" s="49">
        <v>14</v>
      </c>
      <c r="J373" s="49" t="str">
        <f>VLOOKUP(Dados_Cursos[[#This Row],[ID]],Apoio!A366:H1366,4,0)</f>
        <v>Moxico</v>
      </c>
      <c r="K373" s="37" t="s">
        <v>113</v>
      </c>
      <c r="L373" s="37" t="s">
        <v>2649</v>
      </c>
      <c r="M373" s="53"/>
    </row>
    <row r="374" spans="1:13" ht="20.100000000000001" customHeight="1" x14ac:dyDescent="0.25">
      <c r="A374" s="49">
        <v>367</v>
      </c>
      <c r="B374" s="55">
        <v>45435</v>
      </c>
      <c r="C374" s="36" t="str">
        <f>UPPER(TEXT(Dados_Cursos[[#This Row],[Data]],"mmm"))</f>
        <v>MAI</v>
      </c>
      <c r="D374" s="52" t="s">
        <v>1798</v>
      </c>
      <c r="E374" s="49" t="str">
        <f>VLOOKUP(Dados_Cursos[[#This Row],[ID]],Apoio!A367:H1367,2,0)</f>
        <v>daniel.lopes367@gmail.com</v>
      </c>
      <c r="F374" s="36" t="s">
        <v>483</v>
      </c>
      <c r="G374" s="36" t="s">
        <v>2665</v>
      </c>
      <c r="H374" s="38">
        <v>1500</v>
      </c>
      <c r="I374" s="49">
        <v>3</v>
      </c>
      <c r="J374" s="49" t="str">
        <f>VLOOKUP(Dados_Cursos[[#This Row],[ID]],Apoio!A367:H1367,4,0)</f>
        <v>Cuanza Sul</v>
      </c>
      <c r="K374" s="37" t="s">
        <v>113</v>
      </c>
      <c r="L374" s="37" t="s">
        <v>111</v>
      </c>
      <c r="M374" s="53"/>
    </row>
    <row r="375" spans="1:13" ht="20.100000000000001" customHeight="1" x14ac:dyDescent="0.25">
      <c r="A375" s="49">
        <v>368</v>
      </c>
      <c r="B375" s="55">
        <v>45382</v>
      </c>
      <c r="C375" s="36" t="str">
        <f>UPPER(TEXT(Dados_Cursos[[#This Row],[Data]],"mmm"))</f>
        <v>MAR</v>
      </c>
      <c r="D375" s="52" t="s">
        <v>1295</v>
      </c>
      <c r="E375" s="49" t="str">
        <f>VLOOKUP(Dados_Cursos[[#This Row],[ID]],Apoio!A368:H1368,2,0)</f>
        <v>daniel.domingues368@gmail.com</v>
      </c>
      <c r="F375" s="36" t="s">
        <v>484</v>
      </c>
      <c r="G375" s="36" t="s">
        <v>2667</v>
      </c>
      <c r="H375" s="38">
        <v>1200</v>
      </c>
      <c r="I375" s="49">
        <v>15</v>
      </c>
      <c r="J375" s="49" t="str">
        <f>VLOOKUP(Dados_Cursos[[#This Row],[ID]],Apoio!A368:H1368,4,0)</f>
        <v>Moxico Leste</v>
      </c>
      <c r="K375" s="37" t="s">
        <v>113</v>
      </c>
      <c r="L375" s="37" t="s">
        <v>110</v>
      </c>
      <c r="M375" s="53"/>
    </row>
    <row r="376" spans="1:13" ht="20.100000000000001" customHeight="1" x14ac:dyDescent="0.25">
      <c r="A376" s="49">
        <v>369</v>
      </c>
      <c r="B376" s="55">
        <v>45531</v>
      </c>
      <c r="C376" s="36" t="str">
        <f>UPPER(TEXT(Dados_Cursos[[#This Row],[Data]],"mmm"))</f>
        <v>AGO</v>
      </c>
      <c r="D376" s="52" t="s">
        <v>1801</v>
      </c>
      <c r="E376" s="49" t="str">
        <f>VLOOKUP(Dados_Cursos[[#This Row],[ID]],Apoio!A369:H1369,2,0)</f>
        <v>maria.pinto369@gmail.com</v>
      </c>
      <c r="F376" s="36" t="s">
        <v>485</v>
      </c>
      <c r="G376" s="36" t="s">
        <v>2667</v>
      </c>
      <c r="H376" s="38">
        <v>1200</v>
      </c>
      <c r="I376" s="49">
        <v>5</v>
      </c>
      <c r="J376" s="49" t="str">
        <f>VLOOKUP(Dados_Cursos[[#This Row],[ID]],Apoio!A369:H1369,4,0)</f>
        <v>Cabinda</v>
      </c>
      <c r="K376" s="37" t="s">
        <v>112</v>
      </c>
      <c r="L376" s="37" t="s">
        <v>109</v>
      </c>
      <c r="M376" s="53"/>
    </row>
    <row r="377" spans="1:13" ht="20.100000000000001" customHeight="1" x14ac:dyDescent="0.25">
      <c r="A377" s="49">
        <v>370</v>
      </c>
      <c r="B377" s="55">
        <v>45342</v>
      </c>
      <c r="C377" s="36" t="str">
        <f>UPPER(TEXT(Dados_Cursos[[#This Row],[Data]],"mmm"))</f>
        <v>FEV</v>
      </c>
      <c r="D377" s="52" t="s">
        <v>1803</v>
      </c>
      <c r="E377" s="49" t="str">
        <f>VLOOKUP(Dados_Cursos[[#This Row],[ID]],Apoio!A370:H1370,2,0)</f>
        <v>pedro.pinto370@gmail.com</v>
      </c>
      <c r="F377" s="36" t="s">
        <v>486</v>
      </c>
      <c r="G377" s="36" t="s">
        <v>2667</v>
      </c>
      <c r="H377" s="38">
        <v>1200</v>
      </c>
      <c r="I377" s="49">
        <v>9</v>
      </c>
      <c r="J377" s="49" t="str">
        <f>VLOOKUP(Dados_Cursos[[#This Row],[ID]],Apoio!A370:H1370,4,0)</f>
        <v>Bié</v>
      </c>
      <c r="K377" s="37" t="s">
        <v>113</v>
      </c>
      <c r="L377" s="37" t="s">
        <v>110</v>
      </c>
      <c r="M377" s="53"/>
    </row>
    <row r="378" spans="1:13" ht="20.100000000000001" customHeight="1" x14ac:dyDescent="0.25">
      <c r="A378" s="49">
        <v>371</v>
      </c>
      <c r="B378" s="55">
        <v>45546</v>
      </c>
      <c r="C378" s="36" t="str">
        <f>UPPER(TEXT(Dados_Cursos[[#This Row],[Data]],"mmm"))</f>
        <v>SET</v>
      </c>
      <c r="D378" s="52" t="s">
        <v>1438</v>
      </c>
      <c r="E378" s="49" t="str">
        <f>VLOOKUP(Dados_Cursos[[#This Row],[ID]],Apoio!A371:H1371,2,0)</f>
        <v>isabel.lopes371@gmail.com</v>
      </c>
      <c r="F378" s="36" t="s">
        <v>487</v>
      </c>
      <c r="G378" s="36" t="s">
        <v>2665</v>
      </c>
      <c r="H378" s="38">
        <v>1500</v>
      </c>
      <c r="I378" s="49">
        <v>5</v>
      </c>
      <c r="J378" s="49" t="str">
        <f>VLOOKUP(Dados_Cursos[[#This Row],[ID]],Apoio!A371:H1371,4,0)</f>
        <v>Uíge</v>
      </c>
      <c r="K378" s="37" t="s">
        <v>112</v>
      </c>
      <c r="L378" s="37" t="s">
        <v>109</v>
      </c>
      <c r="M378" s="53"/>
    </row>
    <row r="379" spans="1:13" ht="20.100000000000001" customHeight="1" x14ac:dyDescent="0.25">
      <c r="A379" s="49">
        <v>372</v>
      </c>
      <c r="B379" s="55">
        <v>45592</v>
      </c>
      <c r="C379" s="36" t="str">
        <f>UPPER(TEXT(Dados_Cursos[[#This Row],[Data]],"mmm"))</f>
        <v>OUT</v>
      </c>
      <c r="D379" s="52" t="s">
        <v>1806</v>
      </c>
      <c r="E379" s="49" t="str">
        <f>VLOOKUP(Dados_Cursos[[#This Row],[ID]],Apoio!A372:H1372,2,0)</f>
        <v>rosa.santos372@gmail.com</v>
      </c>
      <c r="F379" s="36" t="s">
        <v>488</v>
      </c>
      <c r="G379" s="36" t="s">
        <v>2665</v>
      </c>
      <c r="H379" s="38">
        <v>1500</v>
      </c>
      <c r="I379" s="49">
        <v>3</v>
      </c>
      <c r="J379" s="49" t="str">
        <f>VLOOKUP(Dados_Cursos[[#This Row],[ID]],Apoio!A372:H1372,4,0)</f>
        <v>Zaire</v>
      </c>
      <c r="K379" s="37" t="s">
        <v>112</v>
      </c>
      <c r="L379" s="37" t="s">
        <v>109</v>
      </c>
      <c r="M379" s="53"/>
    </row>
    <row r="380" spans="1:13" ht="20.100000000000001" customHeight="1" x14ac:dyDescent="0.25">
      <c r="A380" s="49">
        <v>373</v>
      </c>
      <c r="B380" s="55">
        <v>45549</v>
      </c>
      <c r="C380" s="36" t="str">
        <f>UPPER(TEXT(Dados_Cursos[[#This Row],[Data]],"mmm"))</f>
        <v>SET</v>
      </c>
      <c r="D380" s="52" t="s">
        <v>1305</v>
      </c>
      <c r="E380" s="49" t="str">
        <f>VLOOKUP(Dados_Cursos[[#This Row],[ID]],Apoio!A373:H1373,2,0)</f>
        <v>isabel.monteiro373@gmail.com</v>
      </c>
      <c r="F380" s="36" t="s">
        <v>489</v>
      </c>
      <c r="G380" s="36" t="s">
        <v>2665</v>
      </c>
      <c r="H380" s="38">
        <v>1500</v>
      </c>
      <c r="I380" s="49">
        <v>8</v>
      </c>
      <c r="J380" s="49" t="str">
        <f>VLOOKUP(Dados_Cursos[[#This Row],[ID]],Apoio!A373:H1373,4,0)</f>
        <v>Lunda Norte</v>
      </c>
      <c r="K380" s="37" t="s">
        <v>112</v>
      </c>
      <c r="L380" s="37" t="s">
        <v>109</v>
      </c>
      <c r="M380" s="53"/>
    </row>
    <row r="381" spans="1:13" ht="20.100000000000001" customHeight="1" x14ac:dyDescent="0.25">
      <c r="A381" s="49">
        <v>374</v>
      </c>
      <c r="B381" s="55">
        <v>45426</v>
      </c>
      <c r="C381" s="36" t="str">
        <f>UPPER(TEXT(Dados_Cursos[[#This Row],[Data]],"mmm"))</f>
        <v>MAI</v>
      </c>
      <c r="D381" s="52" t="s">
        <v>1809</v>
      </c>
      <c r="E381" s="49" t="str">
        <f>VLOOKUP(Dados_Cursos[[#This Row],[ID]],Apoio!A374:H1374,2,0)</f>
        <v>francisco.david374@gmail.com</v>
      </c>
      <c r="F381" s="36" t="s">
        <v>490</v>
      </c>
      <c r="G381" s="36" t="s">
        <v>2667</v>
      </c>
      <c r="H381" s="38">
        <v>1200</v>
      </c>
      <c r="I381" s="49">
        <v>19</v>
      </c>
      <c r="J381" s="49" t="str">
        <f>VLOOKUP(Dados_Cursos[[#This Row],[ID]],Apoio!A374:H1374,4,0)</f>
        <v>Cabinda</v>
      </c>
      <c r="K381" s="37" t="s">
        <v>113</v>
      </c>
      <c r="L381" s="37" t="s">
        <v>2649</v>
      </c>
      <c r="M381" s="53"/>
    </row>
    <row r="382" spans="1:13" ht="20.100000000000001" customHeight="1" x14ac:dyDescent="0.25">
      <c r="A382" s="49">
        <v>375</v>
      </c>
      <c r="B382" s="55">
        <v>45639</v>
      </c>
      <c r="C382" s="36" t="str">
        <f>UPPER(TEXT(Dados_Cursos[[#This Row],[Data]],"mmm"))</f>
        <v>DEZ</v>
      </c>
      <c r="D382" s="52" t="s">
        <v>1811</v>
      </c>
      <c r="E382" s="49" t="str">
        <f>VLOOKUP(Dados_Cursos[[#This Row],[ID]],Apoio!A375:H1375,2,0)</f>
        <v>helena.domingues375@gmail.com</v>
      </c>
      <c r="F382" s="36" t="s">
        <v>491</v>
      </c>
      <c r="G382" s="36" t="s">
        <v>2667</v>
      </c>
      <c r="H382" s="38">
        <v>1200</v>
      </c>
      <c r="I382" s="49">
        <v>5</v>
      </c>
      <c r="J382" s="49" t="str">
        <f>VLOOKUP(Dados_Cursos[[#This Row],[ID]],Apoio!A375:H1375,4,0)</f>
        <v>Bengo</v>
      </c>
      <c r="K382" s="37" t="s">
        <v>113</v>
      </c>
      <c r="L382" s="37" t="s">
        <v>2649</v>
      </c>
      <c r="M382" s="53"/>
    </row>
    <row r="383" spans="1:13" ht="20.100000000000001" customHeight="1" x14ac:dyDescent="0.25">
      <c r="A383" s="49">
        <v>376</v>
      </c>
      <c r="B383" s="55">
        <v>45437</v>
      </c>
      <c r="C383" s="36" t="str">
        <f>UPPER(TEXT(Dados_Cursos[[#This Row],[Data]],"mmm"))</f>
        <v>MAI</v>
      </c>
      <c r="D383" s="52" t="s">
        <v>1421</v>
      </c>
      <c r="E383" s="49" t="str">
        <f>VLOOKUP(Dados_Cursos[[#This Row],[ID]],Apoio!A376:H1376,2,0)</f>
        <v>carlos.pereira376@gmail.com</v>
      </c>
      <c r="F383" s="36" t="s">
        <v>492</v>
      </c>
      <c r="G383" s="36" t="s">
        <v>2667</v>
      </c>
      <c r="H383" s="38">
        <v>1200</v>
      </c>
      <c r="I383" s="49">
        <v>6</v>
      </c>
      <c r="J383" s="49" t="str">
        <f>VLOOKUP(Dados_Cursos[[#This Row],[ID]],Apoio!A376:H1376,4,0)</f>
        <v>Zaire</v>
      </c>
      <c r="K383" s="37" t="s">
        <v>112</v>
      </c>
      <c r="L383" s="37" t="s">
        <v>109</v>
      </c>
      <c r="M383" s="53"/>
    </row>
    <row r="384" spans="1:13" ht="20.100000000000001" customHeight="1" x14ac:dyDescent="0.25">
      <c r="A384" s="49">
        <v>377</v>
      </c>
      <c r="B384" s="55">
        <v>45573</v>
      </c>
      <c r="C384" s="36" t="str">
        <f>UPPER(TEXT(Dados_Cursos[[#This Row],[Data]],"mmm"))</f>
        <v>OUT</v>
      </c>
      <c r="D384" s="52" t="s">
        <v>1814</v>
      </c>
      <c r="E384" s="49" t="str">
        <f>VLOOKUP(Dados_Cursos[[#This Row],[ID]],Apoio!A377:H1377,2,0)</f>
        <v>daniel.almeida377@gmail.com</v>
      </c>
      <c r="F384" s="36" t="s">
        <v>493</v>
      </c>
      <c r="G384" s="36" t="s">
        <v>2667</v>
      </c>
      <c r="H384" s="38">
        <v>1200</v>
      </c>
      <c r="I384" s="49">
        <v>13</v>
      </c>
      <c r="J384" s="49" t="str">
        <f>VLOOKUP(Dados_Cursos[[#This Row],[ID]],Apoio!A377:H1377,4,0)</f>
        <v>Bengo</v>
      </c>
      <c r="K384" s="37" t="s">
        <v>112</v>
      </c>
      <c r="L384" s="37" t="s">
        <v>109</v>
      </c>
      <c r="M384" s="53"/>
    </row>
    <row r="385" spans="1:13" ht="20.100000000000001" customHeight="1" x14ac:dyDescent="0.25">
      <c r="A385" s="49">
        <v>378</v>
      </c>
      <c r="B385" s="55">
        <v>45302</v>
      </c>
      <c r="C385" s="36" t="str">
        <f>UPPER(TEXT(Dados_Cursos[[#This Row],[Data]],"mmm"))</f>
        <v>JAN</v>
      </c>
      <c r="D385" s="52" t="s">
        <v>1816</v>
      </c>
      <c r="E385" s="49" t="str">
        <f>VLOOKUP(Dados_Cursos[[#This Row],[ID]],Apoio!A378:H1378,2,0)</f>
        <v>daniel.fernandes378@gmail.com</v>
      </c>
      <c r="F385" s="36" t="s">
        <v>494</v>
      </c>
      <c r="G385" s="36" t="s">
        <v>2666</v>
      </c>
      <c r="H385" s="38">
        <v>800</v>
      </c>
      <c r="I385" s="49">
        <v>19</v>
      </c>
      <c r="J385" s="49" t="str">
        <f>VLOOKUP(Dados_Cursos[[#This Row],[ID]],Apoio!A378:H1378,4,0)</f>
        <v>Zaire</v>
      </c>
      <c r="K385" s="37" t="s">
        <v>113</v>
      </c>
      <c r="L385" s="37" t="s">
        <v>111</v>
      </c>
      <c r="M385" s="53"/>
    </row>
    <row r="386" spans="1:13" ht="20.100000000000001" customHeight="1" x14ac:dyDescent="0.25">
      <c r="A386" s="49">
        <v>379</v>
      </c>
      <c r="B386" s="55">
        <v>45317</v>
      </c>
      <c r="C386" s="36" t="str">
        <f>UPPER(TEXT(Dados_Cursos[[#This Row],[Data]],"mmm"))</f>
        <v>JAN</v>
      </c>
      <c r="D386" s="52" t="s">
        <v>1436</v>
      </c>
      <c r="E386" s="49" t="str">
        <f>VLOOKUP(Dados_Cursos[[#This Row],[ID]],Apoio!A379:H1379,2,0)</f>
        <v>nelson.david379@gmail.com</v>
      </c>
      <c r="F386" s="36" t="s">
        <v>495</v>
      </c>
      <c r="G386" s="36" t="s">
        <v>2667</v>
      </c>
      <c r="H386" s="38">
        <v>1200</v>
      </c>
      <c r="I386" s="49">
        <v>2</v>
      </c>
      <c r="J386" s="49" t="str">
        <f>VLOOKUP(Dados_Cursos[[#This Row],[ID]],Apoio!A379:H1379,4,0)</f>
        <v>Huambo</v>
      </c>
      <c r="K386" s="37" t="s">
        <v>113</v>
      </c>
      <c r="L386" s="37" t="s">
        <v>2649</v>
      </c>
      <c r="M386" s="53"/>
    </row>
    <row r="387" spans="1:13" ht="20.100000000000001" customHeight="1" x14ac:dyDescent="0.25">
      <c r="A387" s="49">
        <v>380</v>
      </c>
      <c r="B387" s="55">
        <v>45361</v>
      </c>
      <c r="C387" s="36" t="str">
        <f>UPPER(TEXT(Dados_Cursos[[#This Row],[Data]],"mmm"))</f>
        <v>MAR</v>
      </c>
      <c r="D387" s="52" t="s">
        <v>1819</v>
      </c>
      <c r="E387" s="49" t="str">
        <f>VLOOKUP(Dados_Cursos[[#This Row],[ID]],Apoio!A380:H1380,2,0)</f>
        <v>maria.lukeba380@gmail.com</v>
      </c>
      <c r="F387" s="36" t="s">
        <v>496</v>
      </c>
      <c r="G387" s="36" t="s">
        <v>2667</v>
      </c>
      <c r="H387" s="38">
        <v>1200</v>
      </c>
      <c r="I387" s="49">
        <v>6</v>
      </c>
      <c r="J387" s="49" t="str">
        <f>VLOOKUP(Dados_Cursos[[#This Row],[ID]],Apoio!A380:H1380,4,0)</f>
        <v>Cunene</v>
      </c>
      <c r="K387" s="37" t="s">
        <v>112</v>
      </c>
      <c r="L387" s="37" t="s">
        <v>109</v>
      </c>
      <c r="M387" s="53"/>
    </row>
    <row r="388" spans="1:13" ht="20.100000000000001" customHeight="1" x14ac:dyDescent="0.25">
      <c r="A388" s="49">
        <v>381</v>
      </c>
      <c r="B388" s="55">
        <v>45541</v>
      </c>
      <c r="C388" s="36" t="str">
        <f>UPPER(TEXT(Dados_Cursos[[#This Row],[Data]],"mmm"))</f>
        <v>SET</v>
      </c>
      <c r="D388" s="52" t="s">
        <v>1404</v>
      </c>
      <c r="E388" s="49" t="str">
        <f>VLOOKUP(Dados_Cursos[[#This Row],[ID]],Apoio!A381:H1381,2,0)</f>
        <v>sofia.monteiro381@gmail.com</v>
      </c>
      <c r="F388" s="36" t="s">
        <v>497</v>
      </c>
      <c r="G388" s="36" t="s">
        <v>2665</v>
      </c>
      <c r="H388" s="38">
        <v>1500</v>
      </c>
      <c r="I388" s="49">
        <v>7</v>
      </c>
      <c r="J388" s="49" t="str">
        <f>VLOOKUP(Dados_Cursos[[#This Row],[ID]],Apoio!A381:H1381,4,0)</f>
        <v>Moxico</v>
      </c>
      <c r="K388" s="37" t="s">
        <v>113</v>
      </c>
      <c r="L388" s="37" t="s">
        <v>110</v>
      </c>
      <c r="M388" s="53"/>
    </row>
    <row r="389" spans="1:13" ht="20.100000000000001" customHeight="1" x14ac:dyDescent="0.25">
      <c r="A389" s="49">
        <v>382</v>
      </c>
      <c r="B389" s="55">
        <v>45654</v>
      </c>
      <c r="C389" s="36" t="str">
        <f>UPPER(TEXT(Dados_Cursos[[#This Row],[Data]],"mmm"))</f>
        <v>DEZ</v>
      </c>
      <c r="D389" s="52" t="s">
        <v>1822</v>
      </c>
      <c r="E389" s="49" t="str">
        <f>VLOOKUP(Dados_Cursos[[#This Row],[ID]],Apoio!A382:H1382,2,0)</f>
        <v>bruno.pereira382@gmail.com</v>
      </c>
      <c r="F389" s="36" t="s">
        <v>498</v>
      </c>
      <c r="G389" s="36" t="s">
        <v>2666</v>
      </c>
      <c r="H389" s="38">
        <v>800</v>
      </c>
      <c r="I389" s="49">
        <v>12</v>
      </c>
      <c r="J389" s="49" t="str">
        <f>VLOOKUP(Dados_Cursos[[#This Row],[ID]],Apoio!A382:H1382,4,0)</f>
        <v>Lunda Sul</v>
      </c>
      <c r="K389" s="37" t="s">
        <v>113</v>
      </c>
      <c r="L389" s="37" t="s">
        <v>111</v>
      </c>
      <c r="M389" s="53"/>
    </row>
    <row r="390" spans="1:13" ht="20.100000000000001" customHeight="1" x14ac:dyDescent="0.25">
      <c r="A390" s="49">
        <v>383</v>
      </c>
      <c r="B390" s="55">
        <v>45322</v>
      </c>
      <c r="C390" s="36" t="str">
        <f>UPPER(TEXT(Dados_Cursos[[#This Row],[Data]],"mmm"))</f>
        <v>JAN</v>
      </c>
      <c r="D390" s="52" t="s">
        <v>1824</v>
      </c>
      <c r="E390" s="49" t="str">
        <f>VLOOKUP(Dados_Cursos[[#This Row],[ID]],Apoio!A383:H1383,2,0)</f>
        <v>rosa.domingues383@gmail.com</v>
      </c>
      <c r="F390" s="36" t="s">
        <v>499</v>
      </c>
      <c r="G390" s="36" t="s">
        <v>2665</v>
      </c>
      <c r="H390" s="38">
        <v>1500</v>
      </c>
      <c r="I390" s="49">
        <v>13</v>
      </c>
      <c r="J390" s="49" t="str">
        <f>VLOOKUP(Dados_Cursos[[#This Row],[ID]],Apoio!A383:H1383,4,0)</f>
        <v>Lunda Norte</v>
      </c>
      <c r="K390" s="37" t="s">
        <v>113</v>
      </c>
      <c r="L390" s="37" t="s">
        <v>111</v>
      </c>
      <c r="M390" s="53"/>
    </row>
    <row r="391" spans="1:13" ht="20.100000000000001" customHeight="1" x14ac:dyDescent="0.25">
      <c r="A391" s="49">
        <v>384</v>
      </c>
      <c r="B391" s="55">
        <v>45602</v>
      </c>
      <c r="C391" s="36" t="str">
        <f>UPPER(TEXT(Dados_Cursos[[#This Row],[Data]],"mmm"))</f>
        <v>NOV</v>
      </c>
      <c r="D391" s="52" t="s">
        <v>1135</v>
      </c>
      <c r="E391" s="49" t="str">
        <f>VLOOKUP(Dados_Cursos[[#This Row],[ID]],Apoio!A384:H1384,2,0)</f>
        <v>bruno.barbosa384@gmail.com</v>
      </c>
      <c r="F391" s="36" t="s">
        <v>500</v>
      </c>
      <c r="G391" s="36" t="s">
        <v>2666</v>
      </c>
      <c r="H391" s="38">
        <v>800</v>
      </c>
      <c r="I391" s="49">
        <v>11</v>
      </c>
      <c r="J391" s="49" t="str">
        <f>VLOOKUP(Dados_Cursos[[#This Row],[ID]],Apoio!A384:H1384,4,0)</f>
        <v>Icolo e Bengo</v>
      </c>
      <c r="K391" s="37" t="s">
        <v>113</v>
      </c>
      <c r="L391" s="37" t="s">
        <v>2649</v>
      </c>
      <c r="M391" s="53"/>
    </row>
    <row r="392" spans="1:13" ht="20.100000000000001" customHeight="1" x14ac:dyDescent="0.25">
      <c r="A392" s="49">
        <v>385</v>
      </c>
      <c r="B392" s="55">
        <v>45372</v>
      </c>
      <c r="C392" s="36" t="str">
        <f>UPPER(TEXT(Dados_Cursos[[#This Row],[Data]],"mmm"))</f>
        <v>MAR</v>
      </c>
      <c r="D392" s="52" t="s">
        <v>1335</v>
      </c>
      <c r="E392" s="49" t="str">
        <f>VLOOKUP(Dados_Cursos[[#This Row],[ID]],Apoio!A385:H1385,2,0)</f>
        <v>rosa.barbosa385@gmail.com</v>
      </c>
      <c r="F392" s="36" t="s">
        <v>501</v>
      </c>
      <c r="G392" s="36" t="s">
        <v>2665</v>
      </c>
      <c r="H392" s="38">
        <v>1500</v>
      </c>
      <c r="I392" s="49">
        <v>12</v>
      </c>
      <c r="J392" s="49" t="str">
        <f>VLOOKUP(Dados_Cursos[[#This Row],[ID]],Apoio!A385:H1385,4,0)</f>
        <v>Moxico</v>
      </c>
      <c r="K392" s="37" t="s">
        <v>113</v>
      </c>
      <c r="L392" s="37" t="s">
        <v>111</v>
      </c>
      <c r="M392" s="53"/>
    </row>
    <row r="393" spans="1:13" ht="20.100000000000001" customHeight="1" x14ac:dyDescent="0.25">
      <c r="A393" s="49">
        <v>386</v>
      </c>
      <c r="B393" s="55">
        <v>45325</v>
      </c>
      <c r="C393" s="36" t="str">
        <f>UPPER(TEXT(Dados_Cursos[[#This Row],[Data]],"mmm"))</f>
        <v>FEV</v>
      </c>
      <c r="D393" s="52" t="s">
        <v>1828</v>
      </c>
      <c r="E393" s="49" t="str">
        <f>VLOOKUP(Dados_Cursos[[#This Row],[ID]],Apoio!A386:H1386,2,0)</f>
        <v>antónio.silva386@gmail.com</v>
      </c>
      <c r="F393" s="36" t="s">
        <v>502</v>
      </c>
      <c r="G393" s="36" t="s">
        <v>2667</v>
      </c>
      <c r="H393" s="38">
        <v>1200</v>
      </c>
      <c r="I393" s="49">
        <v>7</v>
      </c>
      <c r="J393" s="49" t="str">
        <f>VLOOKUP(Dados_Cursos[[#This Row],[ID]],Apoio!A386:H1386,4,0)</f>
        <v>Zaire</v>
      </c>
      <c r="K393" s="37" t="s">
        <v>113</v>
      </c>
      <c r="L393" s="37" t="s">
        <v>111</v>
      </c>
      <c r="M393" s="53"/>
    </row>
    <row r="394" spans="1:13" ht="20.100000000000001" customHeight="1" x14ac:dyDescent="0.25">
      <c r="A394" s="49">
        <v>387</v>
      </c>
      <c r="B394" s="55">
        <v>45493</v>
      </c>
      <c r="C394" s="36" t="str">
        <f>UPPER(TEXT(Dados_Cursos[[#This Row],[Data]],"mmm"))</f>
        <v>JUL</v>
      </c>
      <c r="D394" s="52" t="s">
        <v>1380</v>
      </c>
      <c r="E394" s="49" t="str">
        <f>VLOOKUP(Dados_Cursos[[#This Row],[ID]],Apoio!A387:H1387,2,0)</f>
        <v>benedito.lopes387@gmail.com</v>
      </c>
      <c r="F394" s="36" t="s">
        <v>503</v>
      </c>
      <c r="G394" s="36" t="s">
        <v>2665</v>
      </c>
      <c r="H394" s="38">
        <v>1500</v>
      </c>
      <c r="I394" s="49">
        <v>4</v>
      </c>
      <c r="J394" s="49" t="str">
        <f>VLOOKUP(Dados_Cursos[[#This Row],[ID]],Apoio!A387:H1387,4,0)</f>
        <v>Cuando</v>
      </c>
      <c r="K394" s="37" t="s">
        <v>113</v>
      </c>
      <c r="L394" s="37" t="s">
        <v>111</v>
      </c>
      <c r="M394" s="53"/>
    </row>
    <row r="395" spans="1:13" ht="20.100000000000001" customHeight="1" x14ac:dyDescent="0.25">
      <c r="A395" s="49">
        <v>388</v>
      </c>
      <c r="B395" s="55">
        <v>45403</v>
      </c>
      <c r="C395" s="36" t="str">
        <f>UPPER(TEXT(Dados_Cursos[[#This Row],[Data]],"mmm"))</f>
        <v>ABR</v>
      </c>
      <c r="D395" s="52" t="s">
        <v>1831</v>
      </c>
      <c r="E395" s="49" t="str">
        <f>VLOOKUP(Dados_Cursos[[#This Row],[ID]],Apoio!A388:H1388,2,0)</f>
        <v>ana.lopes388@gmail.com</v>
      </c>
      <c r="F395" s="36" t="s">
        <v>504</v>
      </c>
      <c r="G395" s="36" t="s">
        <v>2665</v>
      </c>
      <c r="H395" s="38">
        <v>1500</v>
      </c>
      <c r="I395" s="49">
        <v>1</v>
      </c>
      <c r="J395" s="49" t="str">
        <f>VLOOKUP(Dados_Cursos[[#This Row],[ID]],Apoio!A388:H1388,4,0)</f>
        <v>Benguela</v>
      </c>
      <c r="K395" s="37" t="s">
        <v>113</v>
      </c>
      <c r="L395" s="37" t="s">
        <v>111</v>
      </c>
      <c r="M395" s="53"/>
    </row>
    <row r="396" spans="1:13" ht="20.100000000000001" customHeight="1" x14ac:dyDescent="0.25">
      <c r="A396" s="49">
        <v>389</v>
      </c>
      <c r="B396" s="55">
        <v>45599</v>
      </c>
      <c r="C396" s="36" t="str">
        <f>UPPER(TEXT(Dados_Cursos[[#This Row],[Data]],"mmm"))</f>
        <v>NOV</v>
      </c>
      <c r="D396" s="52" t="s">
        <v>1833</v>
      </c>
      <c r="E396" s="49" t="str">
        <f>VLOOKUP(Dados_Cursos[[#This Row],[ID]],Apoio!A389:H1389,2,0)</f>
        <v>pedro.monteiro389@gmail.com</v>
      </c>
      <c r="F396" s="36" t="s">
        <v>505</v>
      </c>
      <c r="G396" s="36" t="s">
        <v>2667</v>
      </c>
      <c r="H396" s="38">
        <v>1200</v>
      </c>
      <c r="I396" s="49">
        <v>7</v>
      </c>
      <c r="J396" s="49" t="str">
        <f>VLOOKUP(Dados_Cursos[[#This Row],[ID]],Apoio!A389:H1389,4,0)</f>
        <v>Bengo</v>
      </c>
      <c r="K396" s="37" t="s">
        <v>113</v>
      </c>
      <c r="L396" s="37" t="s">
        <v>2649</v>
      </c>
      <c r="M396" s="53"/>
    </row>
    <row r="397" spans="1:13" ht="20.100000000000001" customHeight="1" x14ac:dyDescent="0.25">
      <c r="A397" s="49">
        <v>390</v>
      </c>
      <c r="B397" s="55">
        <v>45354</v>
      </c>
      <c r="C397" s="36" t="str">
        <f>UPPER(TEXT(Dados_Cursos[[#This Row],[Data]],"mmm"))</f>
        <v>MAR</v>
      </c>
      <c r="D397" s="52" t="s">
        <v>1835</v>
      </c>
      <c r="E397" s="49" t="str">
        <f>VLOOKUP(Dados_Cursos[[#This Row],[ID]],Apoio!A390:H1390,2,0)</f>
        <v>domingos.pinto390@gmail.com</v>
      </c>
      <c r="F397" s="36" t="s">
        <v>506</v>
      </c>
      <c r="G397" s="36" t="s">
        <v>2665</v>
      </c>
      <c r="H397" s="38">
        <v>1500</v>
      </c>
      <c r="I397" s="49">
        <v>11</v>
      </c>
      <c r="J397" s="49" t="str">
        <f>VLOOKUP(Dados_Cursos[[#This Row],[ID]],Apoio!A390:H1390,4,0)</f>
        <v>Huambo</v>
      </c>
      <c r="K397" s="37" t="s">
        <v>112</v>
      </c>
      <c r="L397" s="37" t="s">
        <v>109</v>
      </c>
      <c r="M397" s="53"/>
    </row>
    <row r="398" spans="1:13" ht="20.100000000000001" customHeight="1" x14ac:dyDescent="0.25">
      <c r="A398" s="49">
        <v>391</v>
      </c>
      <c r="B398" s="55">
        <v>45536</v>
      </c>
      <c r="C398" s="36" t="str">
        <f>UPPER(TEXT(Dados_Cursos[[#This Row],[Data]],"mmm"))</f>
        <v>SET</v>
      </c>
      <c r="D398" s="52" t="s">
        <v>1837</v>
      </c>
      <c r="E398" s="49" t="str">
        <f>VLOOKUP(Dados_Cursos[[#This Row],[ID]],Apoio!A391:H1391,2,0)</f>
        <v>domingos.rodrigues391@gmail.com</v>
      </c>
      <c r="F398" s="36" t="s">
        <v>507</v>
      </c>
      <c r="G398" s="36" t="s">
        <v>2667</v>
      </c>
      <c r="H398" s="38">
        <v>1200</v>
      </c>
      <c r="I398" s="49">
        <v>3</v>
      </c>
      <c r="J398" s="49" t="str">
        <f>VLOOKUP(Dados_Cursos[[#This Row],[ID]],Apoio!A391:H1391,4,0)</f>
        <v>Cuanza Norte</v>
      </c>
      <c r="K398" s="37" t="s">
        <v>113</v>
      </c>
      <c r="L398" s="37" t="s">
        <v>2649</v>
      </c>
      <c r="M398" s="53"/>
    </row>
    <row r="399" spans="1:13" ht="20.100000000000001" customHeight="1" x14ac:dyDescent="0.25">
      <c r="A399" s="49">
        <v>392</v>
      </c>
      <c r="B399" s="55">
        <v>45366</v>
      </c>
      <c r="C399" s="36" t="str">
        <f>UPPER(TEXT(Dados_Cursos[[#This Row],[Data]],"mmm"))</f>
        <v>MAR</v>
      </c>
      <c r="D399" s="52" t="s">
        <v>1839</v>
      </c>
      <c r="E399" s="49" t="str">
        <f>VLOOKUP(Dados_Cursos[[#This Row],[ID]],Apoio!A392:H1392,2,0)</f>
        <v>ana.monteiro392@gmail.com</v>
      </c>
      <c r="F399" s="36" t="s">
        <v>508</v>
      </c>
      <c r="G399" s="36" t="s">
        <v>2666</v>
      </c>
      <c r="H399" s="38">
        <v>800</v>
      </c>
      <c r="I399" s="49">
        <v>8</v>
      </c>
      <c r="J399" s="49" t="str">
        <f>VLOOKUP(Dados_Cursos[[#This Row],[ID]],Apoio!A392:H1392,4,0)</f>
        <v>Cuanza Sul</v>
      </c>
      <c r="K399" s="37" t="s">
        <v>113</v>
      </c>
      <c r="L399" s="37" t="s">
        <v>111</v>
      </c>
      <c r="M399" s="53"/>
    </row>
    <row r="400" spans="1:13" ht="20.100000000000001" customHeight="1" x14ac:dyDescent="0.25">
      <c r="A400" s="49">
        <v>393</v>
      </c>
      <c r="B400" s="55">
        <v>45510</v>
      </c>
      <c r="C400" s="36" t="str">
        <f>UPPER(TEXT(Dados_Cursos[[#This Row],[Data]],"mmm"))</f>
        <v>AGO</v>
      </c>
      <c r="D400" s="52" t="s">
        <v>1841</v>
      </c>
      <c r="E400" s="49" t="str">
        <f>VLOOKUP(Dados_Cursos[[#This Row],[ID]],Apoio!A393:H1393,2,0)</f>
        <v>daniel.david393@gmail.com</v>
      </c>
      <c r="F400" s="36" t="s">
        <v>509</v>
      </c>
      <c r="G400" s="36" t="s">
        <v>2665</v>
      </c>
      <c r="H400" s="38">
        <v>1500</v>
      </c>
      <c r="I400" s="49">
        <v>6</v>
      </c>
      <c r="J400" s="49" t="str">
        <f>VLOOKUP(Dados_Cursos[[#This Row],[ID]],Apoio!A393:H1393,4,0)</f>
        <v>Cabinda</v>
      </c>
      <c r="K400" s="37" t="s">
        <v>113</v>
      </c>
      <c r="L400" s="37" t="s">
        <v>111</v>
      </c>
      <c r="M400" s="53"/>
    </row>
    <row r="401" spans="1:13" ht="20.100000000000001" customHeight="1" x14ac:dyDescent="0.25">
      <c r="A401" s="49">
        <v>394</v>
      </c>
      <c r="B401" s="55">
        <v>45385</v>
      </c>
      <c r="C401" s="36" t="str">
        <f>UPPER(TEXT(Dados_Cursos[[#This Row],[Data]],"mmm"))</f>
        <v>ABR</v>
      </c>
      <c r="D401" s="52" t="s">
        <v>1484</v>
      </c>
      <c r="E401" s="49" t="str">
        <f>VLOOKUP(Dados_Cursos[[#This Row],[ID]],Apoio!A394:H1394,2,0)</f>
        <v>isabel.costa394@gmail.com</v>
      </c>
      <c r="F401" s="36" t="s">
        <v>510</v>
      </c>
      <c r="G401" s="36" t="s">
        <v>2665</v>
      </c>
      <c r="H401" s="38">
        <v>1500</v>
      </c>
      <c r="I401" s="49">
        <v>15</v>
      </c>
      <c r="J401" s="49" t="str">
        <f>VLOOKUP(Dados_Cursos[[#This Row],[ID]],Apoio!A394:H1394,4,0)</f>
        <v>Cubango</v>
      </c>
      <c r="K401" s="37" t="s">
        <v>113</v>
      </c>
      <c r="L401" s="37" t="s">
        <v>111</v>
      </c>
      <c r="M401" s="53"/>
    </row>
    <row r="402" spans="1:13" ht="20.100000000000001" customHeight="1" x14ac:dyDescent="0.25">
      <c r="A402" s="49">
        <v>395</v>
      </c>
      <c r="B402" s="55">
        <v>45457</v>
      </c>
      <c r="C402" s="36" t="str">
        <f>UPPER(TEXT(Dados_Cursos[[#This Row],[Data]],"mmm"))</f>
        <v>JUN</v>
      </c>
      <c r="D402" s="52" t="s">
        <v>1732</v>
      </c>
      <c r="E402" s="49" t="str">
        <f>VLOOKUP(Dados_Cursos[[#This Row],[ID]],Apoio!A395:H1395,2,0)</f>
        <v>antónio.andrade395@gmail.com</v>
      </c>
      <c r="F402" s="36" t="s">
        <v>511</v>
      </c>
      <c r="G402" s="36" t="s">
        <v>2666</v>
      </c>
      <c r="H402" s="38">
        <v>800</v>
      </c>
      <c r="I402" s="49">
        <v>7</v>
      </c>
      <c r="J402" s="49" t="str">
        <f>VLOOKUP(Dados_Cursos[[#This Row],[ID]],Apoio!A395:H1395,4,0)</f>
        <v>Lunda Norte</v>
      </c>
      <c r="K402" s="37" t="s">
        <v>113</v>
      </c>
      <c r="L402" s="37" t="s">
        <v>111</v>
      </c>
      <c r="M402" s="53"/>
    </row>
    <row r="403" spans="1:13" ht="20.100000000000001" customHeight="1" x14ac:dyDescent="0.25">
      <c r="A403" s="49">
        <v>396</v>
      </c>
      <c r="B403" s="55">
        <v>45462</v>
      </c>
      <c r="C403" s="36" t="str">
        <f>UPPER(TEXT(Dados_Cursos[[#This Row],[Data]],"mmm"))</f>
        <v>JUN</v>
      </c>
      <c r="D403" s="52" t="s">
        <v>1845</v>
      </c>
      <c r="E403" s="49" t="str">
        <f>VLOOKUP(Dados_Cursos[[#This Row],[ID]],Apoio!A396:H1396,2,0)</f>
        <v>carlos.costa396@gmail.com</v>
      </c>
      <c r="F403" s="36" t="s">
        <v>512</v>
      </c>
      <c r="G403" s="36" t="s">
        <v>2667</v>
      </c>
      <c r="H403" s="38">
        <v>1200</v>
      </c>
      <c r="I403" s="49">
        <v>19</v>
      </c>
      <c r="J403" s="49" t="str">
        <f>VLOOKUP(Dados_Cursos[[#This Row],[ID]],Apoio!A396:H1396,4,0)</f>
        <v>Huambo</v>
      </c>
      <c r="K403" s="37" t="s">
        <v>112</v>
      </c>
      <c r="L403" s="37" t="s">
        <v>109</v>
      </c>
      <c r="M403" s="53"/>
    </row>
    <row r="404" spans="1:13" ht="20.100000000000001" customHeight="1" x14ac:dyDescent="0.25">
      <c r="A404" s="49">
        <v>397</v>
      </c>
      <c r="B404" s="55">
        <v>45333</v>
      </c>
      <c r="C404" s="36" t="str">
        <f>UPPER(TEXT(Dados_Cursos[[#This Row],[Data]],"mmm"))</f>
        <v>FEV</v>
      </c>
      <c r="D404" s="52" t="s">
        <v>1809</v>
      </c>
      <c r="E404" s="49" t="str">
        <f>VLOOKUP(Dados_Cursos[[#This Row],[ID]],Apoio!A397:H1397,2,0)</f>
        <v>francisco.david397@gmail.com</v>
      </c>
      <c r="F404" s="36" t="s">
        <v>513</v>
      </c>
      <c r="G404" s="36" t="s">
        <v>2665</v>
      </c>
      <c r="H404" s="38">
        <v>1500</v>
      </c>
      <c r="I404" s="49">
        <v>16</v>
      </c>
      <c r="J404" s="49" t="str">
        <f>VLOOKUP(Dados_Cursos[[#This Row],[ID]],Apoio!A397:H1397,4,0)</f>
        <v>Bengo</v>
      </c>
      <c r="K404" s="37" t="s">
        <v>113</v>
      </c>
      <c r="L404" s="37" t="s">
        <v>110</v>
      </c>
      <c r="M404" s="53"/>
    </row>
    <row r="405" spans="1:13" ht="20.100000000000001" customHeight="1" x14ac:dyDescent="0.25">
      <c r="A405" s="49">
        <v>398</v>
      </c>
      <c r="B405" s="55">
        <v>45423</v>
      </c>
      <c r="C405" s="36" t="str">
        <f>UPPER(TEXT(Dados_Cursos[[#This Row],[Data]],"mmm"))</f>
        <v>MAI</v>
      </c>
      <c r="D405" s="52" t="s">
        <v>1175</v>
      </c>
      <c r="E405" s="49" t="str">
        <f>VLOOKUP(Dados_Cursos[[#This Row],[ID]],Apoio!A398:H1398,2,0)</f>
        <v>helena.miguel398@gmail.com</v>
      </c>
      <c r="F405" s="36" t="s">
        <v>514</v>
      </c>
      <c r="G405" s="36" t="s">
        <v>2666</v>
      </c>
      <c r="H405" s="38">
        <v>800</v>
      </c>
      <c r="I405" s="49">
        <v>6</v>
      </c>
      <c r="J405" s="49" t="str">
        <f>VLOOKUP(Dados_Cursos[[#This Row],[ID]],Apoio!A398:H1398,4,0)</f>
        <v>Icolo e Bengo</v>
      </c>
      <c r="K405" s="37" t="s">
        <v>113</v>
      </c>
      <c r="L405" s="37" t="s">
        <v>110</v>
      </c>
      <c r="M405" s="53"/>
    </row>
    <row r="406" spans="1:13" ht="20.100000000000001" customHeight="1" x14ac:dyDescent="0.25">
      <c r="A406" s="49">
        <v>399</v>
      </c>
      <c r="B406" s="55">
        <v>45570</v>
      </c>
      <c r="C406" s="36" t="str">
        <f>UPPER(TEXT(Dados_Cursos[[#This Row],[Data]],"mmm"))</f>
        <v>OUT</v>
      </c>
      <c r="D406" s="52" t="s">
        <v>1386</v>
      </c>
      <c r="E406" s="49" t="str">
        <f>VLOOKUP(Dados_Cursos[[#This Row],[ID]],Apoio!A399:H1399,2,0)</f>
        <v>joão.monteiro399@gmail.com</v>
      </c>
      <c r="F406" s="36" t="s">
        <v>515</v>
      </c>
      <c r="G406" s="36" t="s">
        <v>2665</v>
      </c>
      <c r="H406" s="38">
        <v>1500</v>
      </c>
      <c r="I406" s="49">
        <v>5</v>
      </c>
      <c r="J406" s="49" t="str">
        <f>VLOOKUP(Dados_Cursos[[#This Row],[ID]],Apoio!A399:H1399,4,0)</f>
        <v>Cabinda</v>
      </c>
      <c r="K406" s="37" t="s">
        <v>112</v>
      </c>
      <c r="L406" s="37" t="s">
        <v>109</v>
      </c>
      <c r="M406" s="53"/>
    </row>
    <row r="407" spans="1:13" ht="20.100000000000001" customHeight="1" x14ac:dyDescent="0.25">
      <c r="A407" s="49">
        <v>400</v>
      </c>
      <c r="B407" s="55">
        <v>45340</v>
      </c>
      <c r="C407" s="36" t="str">
        <f>UPPER(TEXT(Dados_Cursos[[#This Row],[Data]],"mmm"))</f>
        <v>FEV</v>
      </c>
      <c r="D407" s="52" t="s">
        <v>1850</v>
      </c>
      <c r="E407" s="49" t="str">
        <f>VLOOKUP(Dados_Cursos[[#This Row],[ID]],Apoio!A400:H1400,2,0)</f>
        <v>marta.tavares400@gmail.com</v>
      </c>
      <c r="F407" s="36" t="s">
        <v>516</v>
      </c>
      <c r="G407" s="36" t="s">
        <v>2665</v>
      </c>
      <c r="H407" s="38">
        <v>1500</v>
      </c>
      <c r="I407" s="49">
        <v>17</v>
      </c>
      <c r="J407" s="49" t="str">
        <f>VLOOKUP(Dados_Cursos[[#This Row],[ID]],Apoio!A400:H1400,4,0)</f>
        <v>Cubango</v>
      </c>
      <c r="K407" s="37" t="s">
        <v>112</v>
      </c>
      <c r="L407" s="37" t="s">
        <v>109</v>
      </c>
      <c r="M407" s="53"/>
    </row>
    <row r="408" spans="1:13" ht="20.100000000000001" customHeight="1" x14ac:dyDescent="0.25">
      <c r="A408" s="49">
        <v>401</v>
      </c>
      <c r="B408" s="55">
        <v>45342</v>
      </c>
      <c r="C408" s="36" t="str">
        <f>UPPER(TEXT(Dados_Cursos[[#This Row],[Data]],"mmm"))</f>
        <v>FEV</v>
      </c>
      <c r="D408" s="52" t="s">
        <v>1599</v>
      </c>
      <c r="E408" s="49" t="str">
        <f>VLOOKUP(Dados_Cursos[[#This Row],[ID]],Apoio!A401:H1401,2,0)</f>
        <v>paulo.monteiro401@gmail.com</v>
      </c>
      <c r="F408" s="36" t="s">
        <v>517</v>
      </c>
      <c r="G408" s="36" t="s">
        <v>2667</v>
      </c>
      <c r="H408" s="38">
        <v>1200</v>
      </c>
      <c r="I408" s="49">
        <v>1</v>
      </c>
      <c r="J408" s="49" t="str">
        <f>VLOOKUP(Dados_Cursos[[#This Row],[ID]],Apoio!A401:H1401,4,0)</f>
        <v>Lunda Sul</v>
      </c>
      <c r="K408" s="37" t="s">
        <v>113</v>
      </c>
      <c r="L408" s="37" t="s">
        <v>2649</v>
      </c>
      <c r="M408" s="53"/>
    </row>
    <row r="409" spans="1:13" ht="20.100000000000001" customHeight="1" x14ac:dyDescent="0.25">
      <c r="A409" s="49">
        <v>402</v>
      </c>
      <c r="B409" s="55">
        <v>45565</v>
      </c>
      <c r="C409" s="36" t="str">
        <f>UPPER(TEXT(Dados_Cursos[[#This Row],[Data]],"mmm"))</f>
        <v>SET</v>
      </c>
      <c r="D409" s="52" t="s">
        <v>1408</v>
      </c>
      <c r="E409" s="49" t="str">
        <f>VLOOKUP(Dados_Cursos[[#This Row],[ID]],Apoio!A402:H1402,2,0)</f>
        <v>david.martins402@gmail.com</v>
      </c>
      <c r="F409" s="36" t="s">
        <v>518</v>
      </c>
      <c r="G409" s="36" t="s">
        <v>2665</v>
      </c>
      <c r="H409" s="38">
        <v>1500</v>
      </c>
      <c r="I409" s="49">
        <v>10</v>
      </c>
      <c r="J409" s="49" t="str">
        <f>VLOOKUP(Dados_Cursos[[#This Row],[ID]],Apoio!A402:H1402,4,0)</f>
        <v>Lunda Norte</v>
      </c>
      <c r="K409" s="37" t="s">
        <v>113</v>
      </c>
      <c r="L409" s="37" t="s">
        <v>110</v>
      </c>
      <c r="M409" s="53"/>
    </row>
    <row r="410" spans="1:13" ht="20.100000000000001" customHeight="1" x14ac:dyDescent="0.25">
      <c r="A410" s="49">
        <v>403</v>
      </c>
      <c r="B410" s="55">
        <v>45341</v>
      </c>
      <c r="C410" s="36" t="str">
        <f>UPPER(TEXT(Dados_Cursos[[#This Row],[Data]],"mmm"))</f>
        <v>FEV</v>
      </c>
      <c r="D410" s="52" t="s">
        <v>1643</v>
      </c>
      <c r="E410" s="49" t="str">
        <f>VLOOKUP(Dados_Cursos[[#This Row],[ID]],Apoio!A403:H1403,2,0)</f>
        <v>ana.pereira403@gmail.com</v>
      </c>
      <c r="F410" s="36" t="s">
        <v>519</v>
      </c>
      <c r="G410" s="36" t="s">
        <v>2667</v>
      </c>
      <c r="H410" s="38">
        <v>1200</v>
      </c>
      <c r="I410" s="49">
        <v>19</v>
      </c>
      <c r="J410" s="49" t="str">
        <f>VLOOKUP(Dados_Cursos[[#This Row],[ID]],Apoio!A403:H1403,4,0)</f>
        <v>Cabinda</v>
      </c>
      <c r="K410" s="37" t="s">
        <v>112</v>
      </c>
      <c r="L410" s="37" t="s">
        <v>109</v>
      </c>
      <c r="M410" s="53"/>
    </row>
    <row r="411" spans="1:13" ht="20.100000000000001" customHeight="1" x14ac:dyDescent="0.25">
      <c r="A411" s="49">
        <v>404</v>
      </c>
      <c r="B411" s="55">
        <v>45524</v>
      </c>
      <c r="C411" s="36" t="str">
        <f>UPPER(TEXT(Dados_Cursos[[#This Row],[Data]],"mmm"))</f>
        <v>AGO</v>
      </c>
      <c r="D411" s="52" t="s">
        <v>1855</v>
      </c>
      <c r="E411" s="49" t="str">
        <f>VLOOKUP(Dados_Cursos[[#This Row],[ID]],Apoio!A404:H1404,2,0)</f>
        <v>mateus.miguel404@gmail.com</v>
      </c>
      <c r="F411" s="36" t="s">
        <v>520</v>
      </c>
      <c r="G411" s="36" t="s">
        <v>2666</v>
      </c>
      <c r="H411" s="38">
        <v>800</v>
      </c>
      <c r="I411" s="49">
        <v>4</v>
      </c>
      <c r="J411" s="49" t="str">
        <f>VLOOKUP(Dados_Cursos[[#This Row],[ID]],Apoio!A404:H1404,4,0)</f>
        <v>Luanda</v>
      </c>
      <c r="K411" s="37" t="s">
        <v>113</v>
      </c>
      <c r="L411" s="37" t="s">
        <v>110</v>
      </c>
      <c r="M411" s="53"/>
    </row>
    <row r="412" spans="1:13" ht="20.100000000000001" customHeight="1" x14ac:dyDescent="0.25">
      <c r="A412" s="49">
        <v>405</v>
      </c>
      <c r="B412" s="55">
        <v>45606</v>
      </c>
      <c r="C412" s="36" t="str">
        <f>UPPER(TEXT(Dados_Cursos[[#This Row],[Data]],"mmm"))</f>
        <v>NOV</v>
      </c>
      <c r="D412" s="52" t="s">
        <v>1857</v>
      </c>
      <c r="E412" s="49" t="str">
        <f>VLOOKUP(Dados_Cursos[[#This Row],[ID]],Apoio!A405:H1405,2,0)</f>
        <v>fátima.david405@gmail.com</v>
      </c>
      <c r="F412" s="36" t="s">
        <v>521</v>
      </c>
      <c r="G412" s="36" t="s">
        <v>2665</v>
      </c>
      <c r="H412" s="38">
        <v>1500</v>
      </c>
      <c r="I412" s="49">
        <v>6</v>
      </c>
      <c r="J412" s="49" t="str">
        <f>VLOOKUP(Dados_Cursos[[#This Row],[ID]],Apoio!A405:H1405,4,0)</f>
        <v>Bié</v>
      </c>
      <c r="K412" s="37" t="s">
        <v>113</v>
      </c>
      <c r="L412" s="37" t="s">
        <v>111</v>
      </c>
      <c r="M412" s="53"/>
    </row>
    <row r="413" spans="1:13" ht="20.100000000000001" customHeight="1" x14ac:dyDescent="0.25">
      <c r="A413" s="49">
        <v>406</v>
      </c>
      <c r="B413" s="55">
        <v>45390</v>
      </c>
      <c r="C413" s="36" t="str">
        <f>UPPER(TEXT(Dados_Cursos[[#This Row],[Data]],"mmm"))</f>
        <v>ABR</v>
      </c>
      <c r="D413" s="52" t="s">
        <v>1859</v>
      </c>
      <c r="E413" s="49" t="str">
        <f>VLOOKUP(Dados_Cursos[[#This Row],[ID]],Apoio!A406:H1406,2,0)</f>
        <v>marta.lopes406@gmail.com</v>
      </c>
      <c r="F413" s="36" t="s">
        <v>522</v>
      </c>
      <c r="G413" s="36" t="s">
        <v>2667</v>
      </c>
      <c r="H413" s="38">
        <v>1200</v>
      </c>
      <c r="I413" s="49">
        <v>11</v>
      </c>
      <c r="J413" s="49" t="str">
        <f>VLOOKUP(Dados_Cursos[[#This Row],[ID]],Apoio!A406:H1406,4,0)</f>
        <v>Huambo</v>
      </c>
      <c r="K413" s="37" t="s">
        <v>112</v>
      </c>
      <c r="L413" s="37" t="s">
        <v>109</v>
      </c>
      <c r="M413" s="53"/>
    </row>
    <row r="414" spans="1:13" ht="20.100000000000001" customHeight="1" x14ac:dyDescent="0.25">
      <c r="A414" s="49">
        <v>407</v>
      </c>
      <c r="B414" s="55">
        <v>45637</v>
      </c>
      <c r="C414" s="36" t="str">
        <f>UPPER(TEXT(Dados_Cursos[[#This Row],[Data]],"mmm"))</f>
        <v>DEZ</v>
      </c>
      <c r="D414" s="52" t="s">
        <v>1861</v>
      </c>
      <c r="E414" s="49" t="str">
        <f>VLOOKUP(Dados_Cursos[[#This Row],[ID]],Apoio!A407:H1407,2,0)</f>
        <v>paulo.andrade407@gmail.com</v>
      </c>
      <c r="F414" s="36" t="s">
        <v>523</v>
      </c>
      <c r="G414" s="36" t="s">
        <v>2665</v>
      </c>
      <c r="H414" s="38">
        <v>1500</v>
      </c>
      <c r="I414" s="49">
        <v>7</v>
      </c>
      <c r="J414" s="49" t="str">
        <f>VLOOKUP(Dados_Cursos[[#This Row],[ID]],Apoio!A407:H1407,4,0)</f>
        <v>Cubango</v>
      </c>
      <c r="K414" s="37" t="s">
        <v>112</v>
      </c>
      <c r="L414" s="37" t="s">
        <v>109</v>
      </c>
      <c r="M414" s="53"/>
    </row>
    <row r="415" spans="1:13" ht="20.100000000000001" customHeight="1" x14ac:dyDescent="0.25">
      <c r="A415" s="49">
        <v>408</v>
      </c>
      <c r="B415" s="55">
        <v>45494</v>
      </c>
      <c r="C415" s="36" t="str">
        <f>UPPER(TEXT(Dados_Cursos[[#This Row],[Data]],"mmm"))</f>
        <v>JUL</v>
      </c>
      <c r="D415" s="52" t="s">
        <v>1438</v>
      </c>
      <c r="E415" s="49" t="str">
        <f>VLOOKUP(Dados_Cursos[[#This Row],[ID]],Apoio!A408:H1408,2,0)</f>
        <v>isabel.lopes408@gmail.com</v>
      </c>
      <c r="F415" s="36" t="s">
        <v>524</v>
      </c>
      <c r="G415" s="36" t="s">
        <v>2666</v>
      </c>
      <c r="H415" s="38">
        <v>800</v>
      </c>
      <c r="I415" s="49">
        <v>13</v>
      </c>
      <c r="J415" s="49" t="str">
        <f>VLOOKUP(Dados_Cursos[[#This Row],[ID]],Apoio!A408:H1408,4,0)</f>
        <v>Lunda Norte</v>
      </c>
      <c r="K415" s="37" t="s">
        <v>112</v>
      </c>
      <c r="L415" s="37" t="s">
        <v>109</v>
      </c>
      <c r="M415" s="53"/>
    </row>
    <row r="416" spans="1:13" ht="20.100000000000001" customHeight="1" x14ac:dyDescent="0.25">
      <c r="A416" s="49">
        <v>409</v>
      </c>
      <c r="B416" s="55">
        <v>45570</v>
      </c>
      <c r="C416" s="36" t="str">
        <f>UPPER(TEXT(Dados_Cursos[[#This Row],[Data]],"mmm"))</f>
        <v>OUT</v>
      </c>
      <c r="D416" s="52" t="s">
        <v>1864</v>
      </c>
      <c r="E416" s="49" t="str">
        <f>VLOOKUP(Dados_Cursos[[#This Row],[ID]],Apoio!A409:H1409,2,0)</f>
        <v>bruno.santos409@gmail.com</v>
      </c>
      <c r="F416" s="36" t="s">
        <v>525</v>
      </c>
      <c r="G416" s="36" t="s">
        <v>2667</v>
      </c>
      <c r="H416" s="38">
        <v>1200</v>
      </c>
      <c r="I416" s="49">
        <v>7</v>
      </c>
      <c r="J416" s="49" t="str">
        <f>VLOOKUP(Dados_Cursos[[#This Row],[ID]],Apoio!A409:H1409,4,0)</f>
        <v>Bié</v>
      </c>
      <c r="K416" s="37" t="s">
        <v>113</v>
      </c>
      <c r="L416" s="37" t="s">
        <v>2649</v>
      </c>
      <c r="M416" s="53"/>
    </row>
    <row r="417" spans="1:13" ht="20.100000000000001" customHeight="1" x14ac:dyDescent="0.25">
      <c r="A417" s="49">
        <v>410</v>
      </c>
      <c r="B417" s="55">
        <v>45537</v>
      </c>
      <c r="C417" s="36" t="str">
        <f>UPPER(TEXT(Dados_Cursos[[#This Row],[Data]],"mmm"))</f>
        <v>SET</v>
      </c>
      <c r="D417" s="52" t="s">
        <v>1543</v>
      </c>
      <c r="E417" s="49" t="str">
        <f>VLOOKUP(Dados_Cursos[[#This Row],[ID]],Apoio!A410:H1410,2,0)</f>
        <v>teresa.miguel410@gmail.com</v>
      </c>
      <c r="F417" s="36" t="s">
        <v>526</v>
      </c>
      <c r="G417" s="36" t="s">
        <v>2666</v>
      </c>
      <c r="H417" s="38">
        <v>800</v>
      </c>
      <c r="I417" s="49">
        <v>1</v>
      </c>
      <c r="J417" s="49" t="str">
        <f>VLOOKUP(Dados_Cursos[[#This Row],[ID]],Apoio!A410:H1410,4,0)</f>
        <v>Zaire</v>
      </c>
      <c r="K417" s="37" t="s">
        <v>113</v>
      </c>
      <c r="L417" s="37" t="s">
        <v>110</v>
      </c>
      <c r="M417" s="53"/>
    </row>
    <row r="418" spans="1:13" ht="20.100000000000001" customHeight="1" x14ac:dyDescent="0.25">
      <c r="A418" s="49">
        <v>411</v>
      </c>
      <c r="B418" s="55">
        <v>45548</v>
      </c>
      <c r="C418" s="36" t="str">
        <f>UPPER(TEXT(Dados_Cursos[[#This Row],[Data]],"mmm"))</f>
        <v>SET</v>
      </c>
      <c r="D418" s="52" t="s">
        <v>1629</v>
      </c>
      <c r="E418" s="49" t="str">
        <f>VLOOKUP(Dados_Cursos[[#This Row],[ID]],Apoio!A411:H1411,2,0)</f>
        <v>adriano.andrade411@gmail.com</v>
      </c>
      <c r="F418" s="36" t="s">
        <v>527</v>
      </c>
      <c r="G418" s="36" t="s">
        <v>2667</v>
      </c>
      <c r="H418" s="38">
        <v>1200</v>
      </c>
      <c r="I418" s="49">
        <v>5</v>
      </c>
      <c r="J418" s="49" t="str">
        <f>VLOOKUP(Dados_Cursos[[#This Row],[ID]],Apoio!A411:H1411,4,0)</f>
        <v>Zaire</v>
      </c>
      <c r="K418" s="37" t="s">
        <v>113</v>
      </c>
      <c r="L418" s="37" t="s">
        <v>110</v>
      </c>
      <c r="M418" s="53"/>
    </row>
    <row r="419" spans="1:13" ht="20.100000000000001" customHeight="1" x14ac:dyDescent="0.25">
      <c r="A419" s="49">
        <v>412</v>
      </c>
      <c r="B419" s="55">
        <v>45370</v>
      </c>
      <c r="C419" s="36" t="str">
        <f>UPPER(TEXT(Dados_Cursos[[#This Row],[Data]],"mmm"))</f>
        <v>MAR</v>
      </c>
      <c r="D419" s="52" t="s">
        <v>1855</v>
      </c>
      <c r="E419" s="49" t="str">
        <f>VLOOKUP(Dados_Cursos[[#This Row],[ID]],Apoio!A412:H1412,2,0)</f>
        <v>mateus.miguel412@gmail.com</v>
      </c>
      <c r="F419" s="36" t="s">
        <v>528</v>
      </c>
      <c r="G419" s="36" t="s">
        <v>2665</v>
      </c>
      <c r="H419" s="38">
        <v>1500</v>
      </c>
      <c r="I419" s="49">
        <v>11</v>
      </c>
      <c r="J419" s="49" t="str">
        <f>VLOOKUP(Dados_Cursos[[#This Row],[ID]],Apoio!A412:H1412,4,0)</f>
        <v>Cuando</v>
      </c>
      <c r="K419" s="37" t="s">
        <v>112</v>
      </c>
      <c r="L419" s="37" t="s">
        <v>109</v>
      </c>
      <c r="M419" s="53"/>
    </row>
    <row r="420" spans="1:13" ht="20.100000000000001" customHeight="1" x14ac:dyDescent="0.25">
      <c r="A420" s="49">
        <v>413</v>
      </c>
      <c r="B420" s="55">
        <v>45313</v>
      </c>
      <c r="C420" s="36" t="str">
        <f>UPPER(TEXT(Dados_Cursos[[#This Row],[Data]],"mmm"))</f>
        <v>JAN</v>
      </c>
      <c r="D420" s="52" t="s">
        <v>1193</v>
      </c>
      <c r="E420" s="49" t="str">
        <f>VLOOKUP(Dados_Cursos[[#This Row],[ID]],Apoio!A413:H1413,2,0)</f>
        <v>maria.fernandes413@gmail.com</v>
      </c>
      <c r="F420" s="36" t="s">
        <v>529</v>
      </c>
      <c r="G420" s="36" t="s">
        <v>2665</v>
      </c>
      <c r="H420" s="38">
        <v>1500</v>
      </c>
      <c r="I420" s="49">
        <v>17</v>
      </c>
      <c r="J420" s="49" t="str">
        <f>VLOOKUP(Dados_Cursos[[#This Row],[ID]],Apoio!A413:H1413,4,0)</f>
        <v>Lunda Norte</v>
      </c>
      <c r="K420" s="37" t="s">
        <v>113</v>
      </c>
      <c r="L420" s="37" t="s">
        <v>110</v>
      </c>
      <c r="M420" s="53"/>
    </row>
    <row r="421" spans="1:13" ht="20.100000000000001" customHeight="1" x14ac:dyDescent="0.25">
      <c r="A421" s="49">
        <v>414</v>
      </c>
      <c r="B421" s="55">
        <v>45579</v>
      </c>
      <c r="C421" s="36" t="str">
        <f>UPPER(TEXT(Dados_Cursos[[#This Row],[Data]],"mmm"))</f>
        <v>OUT</v>
      </c>
      <c r="D421" s="52" t="s">
        <v>1870</v>
      </c>
      <c r="E421" s="49" t="str">
        <f>VLOOKUP(Dados_Cursos[[#This Row],[ID]],Apoio!A414:H1414,2,0)</f>
        <v>cláudia.monteiro414@gmail.com</v>
      </c>
      <c r="F421" s="36" t="s">
        <v>530</v>
      </c>
      <c r="G421" s="36" t="s">
        <v>2665</v>
      </c>
      <c r="H421" s="38">
        <v>1500</v>
      </c>
      <c r="I421" s="49">
        <v>3</v>
      </c>
      <c r="J421" s="49" t="str">
        <f>VLOOKUP(Dados_Cursos[[#This Row],[ID]],Apoio!A414:H1414,4,0)</f>
        <v>Cabinda</v>
      </c>
      <c r="K421" s="37" t="s">
        <v>113</v>
      </c>
      <c r="L421" s="37" t="s">
        <v>111</v>
      </c>
      <c r="M421" s="53"/>
    </row>
    <row r="422" spans="1:13" ht="20.100000000000001" customHeight="1" x14ac:dyDescent="0.25">
      <c r="A422" s="49">
        <v>415</v>
      </c>
      <c r="B422" s="55">
        <v>45616</v>
      </c>
      <c r="C422" s="36" t="str">
        <f>UPPER(TEXT(Dados_Cursos[[#This Row],[Data]],"mmm"))</f>
        <v>NOV</v>
      </c>
      <c r="D422" s="52" t="s">
        <v>1872</v>
      </c>
      <c r="E422" s="49" t="str">
        <f>VLOOKUP(Dados_Cursos[[#This Row],[ID]],Apoio!A415:H1415,2,0)</f>
        <v>antónio.lukeba415@gmail.com</v>
      </c>
      <c r="F422" s="36" t="s">
        <v>531</v>
      </c>
      <c r="G422" s="36" t="s">
        <v>2666</v>
      </c>
      <c r="H422" s="38">
        <v>800</v>
      </c>
      <c r="I422" s="49">
        <v>9</v>
      </c>
      <c r="J422" s="49" t="str">
        <f>VLOOKUP(Dados_Cursos[[#This Row],[ID]],Apoio!A415:H1415,4,0)</f>
        <v>Huíla</v>
      </c>
      <c r="K422" s="37" t="s">
        <v>113</v>
      </c>
      <c r="L422" s="37" t="s">
        <v>110</v>
      </c>
      <c r="M422" s="53"/>
    </row>
    <row r="423" spans="1:13" ht="20.100000000000001" customHeight="1" x14ac:dyDescent="0.25">
      <c r="A423" s="49">
        <v>416</v>
      </c>
      <c r="B423" s="55">
        <v>45517</v>
      </c>
      <c r="C423" s="36" t="str">
        <f>UPPER(TEXT(Dados_Cursos[[#This Row],[Data]],"mmm"))</f>
        <v>AGO</v>
      </c>
      <c r="D423" s="52" t="s">
        <v>1358</v>
      </c>
      <c r="E423" s="49" t="str">
        <f>VLOOKUP(Dados_Cursos[[#This Row],[ID]],Apoio!A416:H1416,2,0)</f>
        <v>joão.lopes416@gmail.com</v>
      </c>
      <c r="F423" s="36" t="s">
        <v>532</v>
      </c>
      <c r="G423" s="36" t="s">
        <v>2665</v>
      </c>
      <c r="H423" s="38">
        <v>1500</v>
      </c>
      <c r="I423" s="49">
        <v>11</v>
      </c>
      <c r="J423" s="49" t="str">
        <f>VLOOKUP(Dados_Cursos[[#This Row],[ID]],Apoio!A416:H1416,4,0)</f>
        <v>Icolo e Bengo</v>
      </c>
      <c r="K423" s="37" t="s">
        <v>112</v>
      </c>
      <c r="L423" s="37" t="s">
        <v>109</v>
      </c>
      <c r="M423" s="53"/>
    </row>
    <row r="424" spans="1:13" ht="20.100000000000001" customHeight="1" x14ac:dyDescent="0.25">
      <c r="A424" s="49">
        <v>417</v>
      </c>
      <c r="B424" s="55">
        <v>45517</v>
      </c>
      <c r="C424" s="36" t="str">
        <f>UPPER(TEXT(Dados_Cursos[[#This Row],[Data]],"mmm"))</f>
        <v>AGO</v>
      </c>
      <c r="D424" s="52" t="s">
        <v>1875</v>
      </c>
      <c r="E424" s="49" t="str">
        <f>VLOOKUP(Dados_Cursos[[#This Row],[ID]],Apoio!A417:H1417,2,0)</f>
        <v>rosa.silva417@gmail.com</v>
      </c>
      <c r="F424" s="36" t="s">
        <v>533</v>
      </c>
      <c r="G424" s="36" t="s">
        <v>2665</v>
      </c>
      <c r="H424" s="38">
        <v>1500</v>
      </c>
      <c r="I424" s="49">
        <v>15</v>
      </c>
      <c r="J424" s="49" t="str">
        <f>VLOOKUP(Dados_Cursos[[#This Row],[ID]],Apoio!A417:H1417,4,0)</f>
        <v>Luanda</v>
      </c>
      <c r="K424" s="37" t="s">
        <v>113</v>
      </c>
      <c r="L424" s="37" t="s">
        <v>110</v>
      </c>
      <c r="M424" s="53"/>
    </row>
    <row r="425" spans="1:13" ht="20.100000000000001" customHeight="1" x14ac:dyDescent="0.25">
      <c r="A425" s="49">
        <v>418</v>
      </c>
      <c r="B425" s="55">
        <v>45473</v>
      </c>
      <c r="C425" s="36" t="str">
        <f>UPPER(TEXT(Dados_Cursos[[#This Row],[Data]],"mmm"))</f>
        <v>JUN</v>
      </c>
      <c r="D425" s="52" t="s">
        <v>1388</v>
      </c>
      <c r="E425" s="49" t="str">
        <f>VLOOKUP(Dados_Cursos[[#This Row],[ID]],Apoio!A418:H1418,2,0)</f>
        <v>teresa.monteiro418@gmail.com</v>
      </c>
      <c r="F425" s="36" t="s">
        <v>534</v>
      </c>
      <c r="G425" s="36" t="s">
        <v>2666</v>
      </c>
      <c r="H425" s="38">
        <v>800</v>
      </c>
      <c r="I425" s="49">
        <v>4</v>
      </c>
      <c r="J425" s="49" t="str">
        <f>VLOOKUP(Dados_Cursos[[#This Row],[ID]],Apoio!A418:H1418,4,0)</f>
        <v>Cubango</v>
      </c>
      <c r="K425" s="37" t="s">
        <v>113</v>
      </c>
      <c r="L425" s="37" t="s">
        <v>2649</v>
      </c>
      <c r="M425" s="53"/>
    </row>
    <row r="426" spans="1:13" ht="20.100000000000001" customHeight="1" x14ac:dyDescent="0.25">
      <c r="A426" s="49">
        <v>419</v>
      </c>
      <c r="B426" s="55">
        <v>45528</v>
      </c>
      <c r="C426" s="36" t="str">
        <f>UPPER(TEXT(Dados_Cursos[[#This Row],[Data]],"mmm"))</f>
        <v>AGO</v>
      </c>
      <c r="D426" s="52" t="s">
        <v>1878</v>
      </c>
      <c r="E426" s="49" t="str">
        <f>VLOOKUP(Dados_Cursos[[#This Row],[ID]],Apoio!A419:H1419,2,0)</f>
        <v>manuel.lukeba419@gmail.com</v>
      </c>
      <c r="F426" s="36" t="s">
        <v>535</v>
      </c>
      <c r="G426" s="36" t="s">
        <v>2666</v>
      </c>
      <c r="H426" s="38">
        <v>1200</v>
      </c>
      <c r="I426" s="49">
        <v>17</v>
      </c>
      <c r="J426" s="49" t="str">
        <f>VLOOKUP(Dados_Cursos[[#This Row],[ID]],Apoio!A419:H1419,4,0)</f>
        <v>Cuanza Sul</v>
      </c>
      <c r="K426" s="37" t="s">
        <v>113</v>
      </c>
      <c r="L426" s="37" t="s">
        <v>110</v>
      </c>
      <c r="M426" s="53"/>
    </row>
    <row r="427" spans="1:13" ht="20.100000000000001" customHeight="1" x14ac:dyDescent="0.25">
      <c r="A427" s="49">
        <v>420</v>
      </c>
      <c r="B427" s="55">
        <v>45446</v>
      </c>
      <c r="C427" s="36" t="str">
        <f>UPPER(TEXT(Dados_Cursos[[#This Row],[Data]],"mmm"))</f>
        <v>JUN</v>
      </c>
      <c r="D427" s="52" t="s">
        <v>1880</v>
      </c>
      <c r="E427" s="49" t="str">
        <f>VLOOKUP(Dados_Cursos[[#This Row],[ID]],Apoio!A420:H1420,2,0)</f>
        <v>maria.david420@gmail.com</v>
      </c>
      <c r="F427" s="36" t="s">
        <v>536</v>
      </c>
      <c r="G427" s="36" t="s">
        <v>2665</v>
      </c>
      <c r="H427" s="38">
        <v>1500</v>
      </c>
      <c r="I427" s="49">
        <v>19</v>
      </c>
      <c r="J427" s="49" t="str">
        <f>VLOOKUP(Dados_Cursos[[#This Row],[ID]],Apoio!A420:H1420,4,0)</f>
        <v>Icolo e Bengo</v>
      </c>
      <c r="K427" s="37" t="s">
        <v>113</v>
      </c>
      <c r="L427" s="37" t="s">
        <v>111</v>
      </c>
      <c r="M427" s="53"/>
    </row>
    <row r="428" spans="1:13" ht="20.100000000000001" customHeight="1" x14ac:dyDescent="0.25">
      <c r="A428" s="49">
        <v>421</v>
      </c>
      <c r="B428" s="55">
        <v>45641</v>
      </c>
      <c r="C428" s="36" t="str">
        <f>UPPER(TEXT(Dados_Cursos[[#This Row],[Data]],"mmm"))</f>
        <v>DEZ</v>
      </c>
      <c r="D428" s="52" t="s">
        <v>1293</v>
      </c>
      <c r="E428" s="49" t="str">
        <f>VLOOKUP(Dados_Cursos[[#This Row],[ID]],Apoio!A421:H1421,2,0)</f>
        <v>cláudia.costa421@gmail.com</v>
      </c>
      <c r="F428" s="36" t="s">
        <v>537</v>
      </c>
      <c r="G428" s="36" t="s">
        <v>2666</v>
      </c>
      <c r="H428" s="38">
        <v>800</v>
      </c>
      <c r="I428" s="49">
        <v>3</v>
      </c>
      <c r="J428" s="49" t="str">
        <f>VLOOKUP(Dados_Cursos[[#This Row],[ID]],Apoio!A421:H1421,4,0)</f>
        <v>Lunda Sul</v>
      </c>
      <c r="K428" s="37" t="s">
        <v>113</v>
      </c>
      <c r="L428" s="37" t="s">
        <v>111</v>
      </c>
      <c r="M428" s="53"/>
    </row>
    <row r="429" spans="1:13" ht="20.100000000000001" customHeight="1" x14ac:dyDescent="0.25">
      <c r="A429" s="49">
        <v>422</v>
      </c>
      <c r="B429" s="55">
        <v>45514</v>
      </c>
      <c r="C429" s="36" t="str">
        <f>UPPER(TEXT(Dados_Cursos[[#This Row],[Data]],"mmm"))</f>
        <v>AGO</v>
      </c>
      <c r="D429" s="52" t="s">
        <v>1289</v>
      </c>
      <c r="E429" s="49" t="str">
        <f>VLOOKUP(Dados_Cursos[[#This Row],[ID]],Apoio!A422:H1422,2,0)</f>
        <v>isabel.david422@gmail.com</v>
      </c>
      <c r="F429" s="36" t="s">
        <v>538</v>
      </c>
      <c r="G429" s="36" t="s">
        <v>2665</v>
      </c>
      <c r="H429" s="38">
        <v>1500</v>
      </c>
      <c r="I429" s="49">
        <v>3</v>
      </c>
      <c r="J429" s="49" t="str">
        <f>VLOOKUP(Dados_Cursos[[#This Row],[ID]],Apoio!A422:H1422,4,0)</f>
        <v>Bié</v>
      </c>
      <c r="K429" s="37" t="s">
        <v>113</v>
      </c>
      <c r="L429" s="37" t="s">
        <v>111</v>
      </c>
      <c r="M429" s="53"/>
    </row>
    <row r="430" spans="1:13" ht="20.100000000000001" customHeight="1" x14ac:dyDescent="0.25">
      <c r="A430" s="49">
        <v>423</v>
      </c>
      <c r="B430" s="55">
        <v>45432</v>
      </c>
      <c r="C430" s="36" t="str">
        <f>UPPER(TEXT(Dados_Cursos[[#This Row],[Data]],"mmm"))</f>
        <v>MAI</v>
      </c>
      <c r="D430" s="52" t="s">
        <v>1884</v>
      </c>
      <c r="E430" s="49" t="str">
        <f>VLOOKUP(Dados_Cursos[[#This Row],[ID]],Apoio!A423:H1423,2,0)</f>
        <v>manuel.pereira423@gmail.com</v>
      </c>
      <c r="F430" s="36" t="s">
        <v>539</v>
      </c>
      <c r="G430" s="36" t="s">
        <v>2666</v>
      </c>
      <c r="H430" s="38">
        <v>1200</v>
      </c>
      <c r="I430" s="49">
        <v>19</v>
      </c>
      <c r="J430" s="49" t="str">
        <f>VLOOKUP(Dados_Cursos[[#This Row],[ID]],Apoio!A423:H1423,4,0)</f>
        <v>Cuanza Norte</v>
      </c>
      <c r="K430" s="37" t="s">
        <v>112</v>
      </c>
      <c r="L430" s="37" t="s">
        <v>109</v>
      </c>
      <c r="M430" s="53"/>
    </row>
    <row r="431" spans="1:13" ht="20.100000000000001" customHeight="1" x14ac:dyDescent="0.25">
      <c r="A431" s="49">
        <v>424</v>
      </c>
      <c r="B431" s="55">
        <v>45386</v>
      </c>
      <c r="C431" s="36" t="str">
        <f>UPPER(TEXT(Dados_Cursos[[#This Row],[Data]],"mmm"))</f>
        <v>ABR</v>
      </c>
      <c r="D431" s="52" t="s">
        <v>1886</v>
      </c>
      <c r="E431" s="49" t="str">
        <f>VLOOKUP(Dados_Cursos[[#This Row],[ID]],Apoio!A424:H1424,2,0)</f>
        <v>mateus.soares424@gmail.com</v>
      </c>
      <c r="F431" s="36" t="s">
        <v>540</v>
      </c>
      <c r="G431" s="36" t="s">
        <v>2665</v>
      </c>
      <c r="H431" s="38">
        <v>1500</v>
      </c>
      <c r="I431" s="49">
        <v>20</v>
      </c>
      <c r="J431" s="49" t="str">
        <f>VLOOKUP(Dados_Cursos[[#This Row],[ID]],Apoio!A424:H1424,4,0)</f>
        <v>Cubango</v>
      </c>
      <c r="K431" s="37" t="s">
        <v>113</v>
      </c>
      <c r="L431" s="37" t="s">
        <v>110</v>
      </c>
      <c r="M431" s="53"/>
    </row>
    <row r="432" spans="1:13" ht="20.100000000000001" customHeight="1" x14ac:dyDescent="0.25">
      <c r="A432" s="49">
        <v>425</v>
      </c>
      <c r="B432" s="55">
        <v>45376</v>
      </c>
      <c r="C432" s="36" t="str">
        <f>UPPER(TEXT(Dados_Cursos[[#This Row],[Data]],"mmm"))</f>
        <v>MAR</v>
      </c>
      <c r="D432" s="52" t="s">
        <v>1888</v>
      </c>
      <c r="E432" s="49" t="str">
        <f>VLOOKUP(Dados_Cursos[[#This Row],[ID]],Apoio!A425:H1425,2,0)</f>
        <v>mateus.lukeba425@gmail.com</v>
      </c>
      <c r="F432" s="36" t="s">
        <v>541</v>
      </c>
      <c r="G432" s="36" t="s">
        <v>2665</v>
      </c>
      <c r="H432" s="38">
        <v>1500</v>
      </c>
      <c r="I432" s="49">
        <v>3</v>
      </c>
      <c r="J432" s="49" t="str">
        <f>VLOOKUP(Dados_Cursos[[#This Row],[ID]],Apoio!A425:H1425,4,0)</f>
        <v>Moxico Leste</v>
      </c>
      <c r="K432" s="37" t="s">
        <v>112</v>
      </c>
      <c r="L432" s="37" t="s">
        <v>109</v>
      </c>
      <c r="M432" s="53"/>
    </row>
    <row r="433" spans="1:13" ht="20.100000000000001" customHeight="1" x14ac:dyDescent="0.25">
      <c r="A433" s="49">
        <v>426</v>
      </c>
      <c r="B433" s="55">
        <v>45509</v>
      </c>
      <c r="C433" s="36" t="str">
        <f>UPPER(TEXT(Dados_Cursos[[#This Row],[Data]],"mmm"))</f>
        <v>AGO</v>
      </c>
      <c r="D433" s="52" t="s">
        <v>1890</v>
      </c>
      <c r="E433" s="49" t="str">
        <f>VLOOKUP(Dados_Cursos[[#This Row],[ID]],Apoio!A426:H1426,2,0)</f>
        <v>sofia.lukeba426@gmail.com</v>
      </c>
      <c r="F433" s="36" t="s">
        <v>542</v>
      </c>
      <c r="G433" s="36" t="s">
        <v>2665</v>
      </c>
      <c r="H433" s="38">
        <v>1500</v>
      </c>
      <c r="I433" s="49">
        <v>16</v>
      </c>
      <c r="J433" s="49" t="str">
        <f>VLOOKUP(Dados_Cursos[[#This Row],[ID]],Apoio!A426:H1426,4,0)</f>
        <v>Benguela</v>
      </c>
      <c r="K433" s="37" t="s">
        <v>113</v>
      </c>
      <c r="L433" s="37" t="s">
        <v>2649</v>
      </c>
      <c r="M433" s="53"/>
    </row>
    <row r="434" spans="1:13" ht="20.100000000000001" customHeight="1" x14ac:dyDescent="0.25">
      <c r="A434" s="49">
        <v>427</v>
      </c>
      <c r="B434" s="55">
        <v>45555</v>
      </c>
      <c r="C434" s="36" t="str">
        <f>UPPER(TEXT(Dados_Cursos[[#This Row],[Data]],"mmm"))</f>
        <v>SET</v>
      </c>
      <c r="D434" s="52" t="s">
        <v>1839</v>
      </c>
      <c r="E434" s="49" t="str">
        <f>VLOOKUP(Dados_Cursos[[#This Row],[ID]],Apoio!A427:H1427,2,0)</f>
        <v>ana.monteiro427@gmail.com</v>
      </c>
      <c r="F434" s="36" t="s">
        <v>543</v>
      </c>
      <c r="G434" s="36" t="s">
        <v>2665</v>
      </c>
      <c r="H434" s="38">
        <v>1500</v>
      </c>
      <c r="I434" s="49">
        <v>16</v>
      </c>
      <c r="J434" s="49" t="str">
        <f>VLOOKUP(Dados_Cursos[[#This Row],[ID]],Apoio!A427:H1427,4,0)</f>
        <v>Lunda Norte</v>
      </c>
      <c r="K434" s="37" t="s">
        <v>113</v>
      </c>
      <c r="L434" s="37" t="s">
        <v>110</v>
      </c>
      <c r="M434" s="53"/>
    </row>
    <row r="435" spans="1:13" ht="20.100000000000001" customHeight="1" x14ac:dyDescent="0.25">
      <c r="A435" s="49">
        <v>428</v>
      </c>
      <c r="B435" s="55">
        <v>45521</v>
      </c>
      <c r="C435" s="36" t="str">
        <f>UPPER(TEXT(Dados_Cursos[[#This Row],[Data]],"mmm"))</f>
        <v>AGO</v>
      </c>
      <c r="D435" s="52" t="s">
        <v>1893</v>
      </c>
      <c r="E435" s="49" t="str">
        <f>VLOOKUP(Dados_Cursos[[#This Row],[ID]],Apoio!A428:H1428,2,0)</f>
        <v>paulo.gomes428@gmail.com</v>
      </c>
      <c r="F435" s="36" t="s">
        <v>544</v>
      </c>
      <c r="G435" s="36" t="s">
        <v>2666</v>
      </c>
      <c r="H435" s="38">
        <v>800</v>
      </c>
      <c r="I435" s="49">
        <v>14</v>
      </c>
      <c r="J435" s="49" t="str">
        <f>VLOOKUP(Dados_Cursos[[#This Row],[ID]],Apoio!A428:H1428,4,0)</f>
        <v>Moxico Leste</v>
      </c>
      <c r="K435" s="37" t="s">
        <v>113</v>
      </c>
      <c r="L435" s="37" t="s">
        <v>2649</v>
      </c>
      <c r="M435" s="53"/>
    </row>
    <row r="436" spans="1:13" ht="20.100000000000001" customHeight="1" x14ac:dyDescent="0.25">
      <c r="A436" s="49">
        <v>429</v>
      </c>
      <c r="B436" s="55">
        <v>45545</v>
      </c>
      <c r="C436" s="36" t="str">
        <f>UPPER(TEXT(Dados_Cursos[[#This Row],[Data]],"mmm"))</f>
        <v>SET</v>
      </c>
      <c r="D436" s="52" t="s">
        <v>1895</v>
      </c>
      <c r="E436" s="49" t="str">
        <f>VLOOKUP(Dados_Cursos[[#This Row],[ID]],Apoio!A429:H1429,2,0)</f>
        <v>fátima.santos429@gmail.com</v>
      </c>
      <c r="F436" s="36" t="s">
        <v>545</v>
      </c>
      <c r="G436" s="36" t="s">
        <v>2666</v>
      </c>
      <c r="H436" s="38">
        <v>1200</v>
      </c>
      <c r="I436" s="49">
        <v>18</v>
      </c>
      <c r="J436" s="49" t="str">
        <f>VLOOKUP(Dados_Cursos[[#This Row],[ID]],Apoio!A429:H1429,4,0)</f>
        <v>Luanda</v>
      </c>
      <c r="K436" s="37" t="s">
        <v>113</v>
      </c>
      <c r="L436" s="37" t="s">
        <v>111</v>
      </c>
      <c r="M436" s="53"/>
    </row>
    <row r="437" spans="1:13" ht="20.100000000000001" customHeight="1" x14ac:dyDescent="0.25">
      <c r="A437" s="49">
        <v>430</v>
      </c>
      <c r="B437" s="55">
        <v>45322</v>
      </c>
      <c r="C437" s="36" t="str">
        <f>UPPER(TEXT(Dados_Cursos[[#This Row],[Data]],"mmm"))</f>
        <v>JAN</v>
      </c>
      <c r="D437" s="52" t="s">
        <v>1897</v>
      </c>
      <c r="E437" s="49" t="str">
        <f>VLOOKUP(Dados_Cursos[[#This Row],[ID]],Apoio!A430:H1430,2,0)</f>
        <v>paulo.rodrigues430@gmail.com</v>
      </c>
      <c r="F437" s="36" t="s">
        <v>546</v>
      </c>
      <c r="G437" s="36" t="s">
        <v>2665</v>
      </c>
      <c r="H437" s="38">
        <v>1500</v>
      </c>
      <c r="I437" s="49">
        <v>13</v>
      </c>
      <c r="J437" s="49" t="str">
        <f>VLOOKUP(Dados_Cursos[[#This Row],[ID]],Apoio!A430:H1430,4,0)</f>
        <v>Cabinda</v>
      </c>
      <c r="K437" s="37" t="s">
        <v>113</v>
      </c>
      <c r="L437" s="37" t="s">
        <v>110</v>
      </c>
      <c r="M437" s="53"/>
    </row>
    <row r="438" spans="1:13" ht="20.100000000000001" customHeight="1" x14ac:dyDescent="0.25">
      <c r="A438" s="49">
        <v>431</v>
      </c>
      <c r="B438" s="55">
        <v>45345</v>
      </c>
      <c r="C438" s="36" t="str">
        <f>UPPER(TEXT(Dados_Cursos[[#This Row],[Data]],"mmm"))</f>
        <v>FEV</v>
      </c>
      <c r="D438" s="52" t="s">
        <v>1899</v>
      </c>
      <c r="E438" s="49" t="str">
        <f>VLOOKUP(Dados_Cursos[[#This Row],[ID]],Apoio!A431:H1431,2,0)</f>
        <v>mateus.santos431@gmail.com</v>
      </c>
      <c r="F438" s="36" t="s">
        <v>547</v>
      </c>
      <c r="G438" s="36" t="s">
        <v>2666</v>
      </c>
      <c r="H438" s="38">
        <v>800</v>
      </c>
      <c r="I438" s="49">
        <v>20</v>
      </c>
      <c r="J438" s="49" t="str">
        <f>VLOOKUP(Dados_Cursos[[#This Row],[ID]],Apoio!A431:H1431,4,0)</f>
        <v>Moxico</v>
      </c>
      <c r="K438" s="37" t="s">
        <v>113</v>
      </c>
      <c r="L438" s="37" t="s">
        <v>111</v>
      </c>
      <c r="M438" s="53"/>
    </row>
    <row r="439" spans="1:13" ht="20.100000000000001" customHeight="1" x14ac:dyDescent="0.25">
      <c r="A439" s="49">
        <v>432</v>
      </c>
      <c r="B439" s="55">
        <v>45342</v>
      </c>
      <c r="C439" s="36" t="str">
        <f>UPPER(TEXT(Dados_Cursos[[#This Row],[Data]],"mmm"))</f>
        <v>FEV</v>
      </c>
      <c r="D439" s="52" t="s">
        <v>1901</v>
      </c>
      <c r="E439" s="49" t="str">
        <f>VLOOKUP(Dados_Cursos[[#This Row],[ID]],Apoio!A432:H1432,2,0)</f>
        <v>maria.andrade432@gmail.com</v>
      </c>
      <c r="F439" s="36" t="s">
        <v>548</v>
      </c>
      <c r="G439" s="36" t="s">
        <v>2666</v>
      </c>
      <c r="H439" s="38">
        <v>1200</v>
      </c>
      <c r="I439" s="49">
        <v>1</v>
      </c>
      <c r="J439" s="49" t="str">
        <f>VLOOKUP(Dados_Cursos[[#This Row],[ID]],Apoio!A432:H1432,4,0)</f>
        <v>Bengo</v>
      </c>
      <c r="K439" s="37" t="s">
        <v>113</v>
      </c>
      <c r="L439" s="37" t="s">
        <v>110</v>
      </c>
      <c r="M439" s="53"/>
    </row>
    <row r="440" spans="1:13" ht="20.100000000000001" customHeight="1" x14ac:dyDescent="0.25">
      <c r="A440" s="49">
        <v>433</v>
      </c>
      <c r="B440" s="55">
        <v>45552</v>
      </c>
      <c r="C440" s="36" t="str">
        <f>UPPER(TEXT(Dados_Cursos[[#This Row],[Data]],"mmm"))</f>
        <v>SET</v>
      </c>
      <c r="D440" s="52" t="s">
        <v>1903</v>
      </c>
      <c r="E440" s="49" t="str">
        <f>VLOOKUP(Dados_Cursos[[#This Row],[ID]],Apoio!A433:H1433,2,0)</f>
        <v>adriano.fernandes433@gmail.com</v>
      </c>
      <c r="F440" s="36" t="s">
        <v>549</v>
      </c>
      <c r="G440" s="36" t="s">
        <v>2666</v>
      </c>
      <c r="H440" s="38">
        <v>800</v>
      </c>
      <c r="I440" s="49">
        <v>13</v>
      </c>
      <c r="J440" s="49" t="str">
        <f>VLOOKUP(Dados_Cursos[[#This Row],[ID]],Apoio!A433:H1433,4,0)</f>
        <v>Moxico Leste</v>
      </c>
      <c r="K440" s="37" t="s">
        <v>113</v>
      </c>
      <c r="L440" s="37" t="s">
        <v>2649</v>
      </c>
      <c r="M440" s="53"/>
    </row>
    <row r="441" spans="1:13" ht="20.100000000000001" customHeight="1" x14ac:dyDescent="0.25">
      <c r="A441" s="49">
        <v>434</v>
      </c>
      <c r="B441" s="55">
        <v>45562</v>
      </c>
      <c r="C441" s="36" t="str">
        <f>UPPER(TEXT(Dados_Cursos[[#This Row],[Data]],"mmm"))</f>
        <v>SET</v>
      </c>
      <c r="D441" s="52" t="s">
        <v>1647</v>
      </c>
      <c r="E441" s="49" t="str">
        <f>VLOOKUP(Dados_Cursos[[#This Row],[ID]],Apoio!A434:H1434,2,0)</f>
        <v>teresa.martins434@gmail.com</v>
      </c>
      <c r="F441" s="36" t="s">
        <v>550</v>
      </c>
      <c r="G441" s="36" t="s">
        <v>2666</v>
      </c>
      <c r="H441" s="38">
        <v>800</v>
      </c>
      <c r="I441" s="49">
        <v>8</v>
      </c>
      <c r="J441" s="49" t="str">
        <f>VLOOKUP(Dados_Cursos[[#This Row],[ID]],Apoio!A434:H1434,4,0)</f>
        <v>Cabinda</v>
      </c>
      <c r="K441" s="37" t="s">
        <v>112</v>
      </c>
      <c r="L441" s="37" t="s">
        <v>109</v>
      </c>
      <c r="M441" s="53"/>
    </row>
    <row r="442" spans="1:13" ht="20.100000000000001" customHeight="1" x14ac:dyDescent="0.25">
      <c r="A442" s="49">
        <v>435</v>
      </c>
      <c r="B442" s="55">
        <v>45546</v>
      </c>
      <c r="C442" s="36" t="str">
        <f>UPPER(TEXT(Dados_Cursos[[#This Row],[Data]],"mmm"))</f>
        <v>SET</v>
      </c>
      <c r="D442" s="52" t="s">
        <v>1906</v>
      </c>
      <c r="E442" s="49" t="str">
        <f>VLOOKUP(Dados_Cursos[[#This Row],[ID]],Apoio!A435:H1435,2,0)</f>
        <v>rui.costa435@gmail.com</v>
      </c>
      <c r="F442" s="36" t="s">
        <v>551</v>
      </c>
      <c r="G442" s="36" t="s">
        <v>2665</v>
      </c>
      <c r="H442" s="38">
        <v>1500</v>
      </c>
      <c r="I442" s="49">
        <v>17</v>
      </c>
      <c r="J442" s="49" t="str">
        <f>VLOOKUP(Dados_Cursos[[#This Row],[ID]],Apoio!A435:H1435,4,0)</f>
        <v>Luanda</v>
      </c>
      <c r="K442" s="37" t="s">
        <v>112</v>
      </c>
      <c r="L442" s="37" t="s">
        <v>109</v>
      </c>
      <c r="M442" s="53"/>
    </row>
    <row r="443" spans="1:13" ht="20.100000000000001" customHeight="1" x14ac:dyDescent="0.25">
      <c r="A443" s="49">
        <v>436</v>
      </c>
      <c r="B443" s="55">
        <v>45436</v>
      </c>
      <c r="C443" s="36" t="str">
        <f>UPPER(TEXT(Dados_Cursos[[#This Row],[Data]],"mmm"))</f>
        <v>MAI</v>
      </c>
      <c r="D443" s="52" t="s">
        <v>1864</v>
      </c>
      <c r="E443" s="49" t="str">
        <f>VLOOKUP(Dados_Cursos[[#This Row],[ID]],Apoio!A436:H1436,2,0)</f>
        <v>bruno.santos436@gmail.com</v>
      </c>
      <c r="F443" s="36" t="s">
        <v>552</v>
      </c>
      <c r="G443" s="36" t="s">
        <v>2666</v>
      </c>
      <c r="H443" s="38">
        <v>800</v>
      </c>
      <c r="I443" s="49">
        <v>10</v>
      </c>
      <c r="J443" s="49" t="str">
        <f>VLOOKUP(Dados_Cursos[[#This Row],[ID]],Apoio!A436:H1436,4,0)</f>
        <v>Cuanza Sul</v>
      </c>
      <c r="K443" s="37" t="s">
        <v>113</v>
      </c>
      <c r="L443" s="37" t="s">
        <v>111</v>
      </c>
      <c r="M443" s="53"/>
    </row>
    <row r="444" spans="1:13" ht="20.100000000000001" customHeight="1" x14ac:dyDescent="0.25">
      <c r="A444" s="49">
        <v>437</v>
      </c>
      <c r="B444" s="55">
        <v>45633</v>
      </c>
      <c r="C444" s="36" t="str">
        <f>UPPER(TEXT(Dados_Cursos[[#This Row],[Data]],"mmm"))</f>
        <v>DEZ</v>
      </c>
      <c r="D444" s="52" t="s">
        <v>1811</v>
      </c>
      <c r="E444" s="49" t="str">
        <f>VLOOKUP(Dados_Cursos[[#This Row],[ID]],Apoio!A437:H1437,2,0)</f>
        <v>helena.domingues437@gmail.com</v>
      </c>
      <c r="F444" s="36" t="s">
        <v>553</v>
      </c>
      <c r="G444" s="36" t="s">
        <v>2665</v>
      </c>
      <c r="H444" s="38">
        <v>1500</v>
      </c>
      <c r="I444" s="49">
        <v>1</v>
      </c>
      <c r="J444" s="49" t="str">
        <f>VLOOKUP(Dados_Cursos[[#This Row],[ID]],Apoio!A437:H1437,4,0)</f>
        <v>Moxico Leste</v>
      </c>
      <c r="K444" s="37" t="s">
        <v>112</v>
      </c>
      <c r="L444" s="37" t="s">
        <v>109</v>
      </c>
      <c r="M444" s="53"/>
    </row>
    <row r="445" spans="1:13" ht="20.100000000000001" customHeight="1" x14ac:dyDescent="0.25">
      <c r="A445" s="49">
        <v>438</v>
      </c>
      <c r="B445" s="55">
        <v>45337</v>
      </c>
      <c r="C445" s="36" t="str">
        <f>UPPER(TEXT(Dados_Cursos[[#This Row],[Data]],"mmm"))</f>
        <v>FEV</v>
      </c>
      <c r="D445" s="52" t="s">
        <v>1910</v>
      </c>
      <c r="E445" s="49" t="str">
        <f>VLOOKUP(Dados_Cursos[[#This Row],[ID]],Apoio!A438:H1438,2,0)</f>
        <v>antónio.lopes438@gmail.com</v>
      </c>
      <c r="F445" s="36" t="s">
        <v>554</v>
      </c>
      <c r="G445" s="36" t="s">
        <v>2666</v>
      </c>
      <c r="H445" s="38">
        <v>800</v>
      </c>
      <c r="I445" s="49">
        <v>4</v>
      </c>
      <c r="J445" s="49" t="str">
        <f>VLOOKUP(Dados_Cursos[[#This Row],[ID]],Apoio!A438:H1438,4,0)</f>
        <v>Lunda Norte</v>
      </c>
      <c r="K445" s="37" t="s">
        <v>113</v>
      </c>
      <c r="L445" s="37" t="s">
        <v>2649</v>
      </c>
      <c r="M445" s="53"/>
    </row>
    <row r="446" spans="1:13" ht="20.100000000000001" customHeight="1" x14ac:dyDescent="0.25">
      <c r="A446" s="49">
        <v>439</v>
      </c>
      <c r="B446" s="55">
        <v>45395</v>
      </c>
      <c r="C446" s="36" t="str">
        <f>UPPER(TEXT(Dados_Cursos[[#This Row],[Data]],"mmm"))</f>
        <v>ABR</v>
      </c>
      <c r="D446" s="52" t="s">
        <v>1508</v>
      </c>
      <c r="E446" s="49" t="str">
        <f>VLOOKUP(Dados_Cursos[[#This Row],[ID]],Apoio!A439:H1439,2,0)</f>
        <v>cláudia.almeida439@gmail.com</v>
      </c>
      <c r="F446" s="36" t="s">
        <v>555</v>
      </c>
      <c r="G446" s="36" t="s">
        <v>2665</v>
      </c>
      <c r="H446" s="38">
        <v>1500</v>
      </c>
      <c r="I446" s="49">
        <v>2</v>
      </c>
      <c r="J446" s="49" t="str">
        <f>VLOOKUP(Dados_Cursos[[#This Row],[ID]],Apoio!A439:H1439,4,0)</f>
        <v>Cuanza Sul</v>
      </c>
      <c r="K446" s="37" t="s">
        <v>113</v>
      </c>
      <c r="L446" s="37" t="s">
        <v>110</v>
      </c>
      <c r="M446" s="53"/>
    </row>
    <row r="447" spans="1:13" ht="20.100000000000001" customHeight="1" x14ac:dyDescent="0.25">
      <c r="A447" s="49">
        <v>440</v>
      </c>
      <c r="B447" s="55">
        <v>45536</v>
      </c>
      <c r="C447" s="36" t="str">
        <f>UPPER(TEXT(Dados_Cursos[[#This Row],[Data]],"mmm"))</f>
        <v>SET</v>
      </c>
      <c r="D447" s="52" t="s">
        <v>1738</v>
      </c>
      <c r="E447" s="49" t="str">
        <f>VLOOKUP(Dados_Cursos[[#This Row],[ID]],Apoio!A440:H1440,2,0)</f>
        <v>ana.pinto440@gmail.com</v>
      </c>
      <c r="F447" s="36" t="s">
        <v>556</v>
      </c>
      <c r="G447" s="36" t="s">
        <v>2665</v>
      </c>
      <c r="H447" s="38">
        <v>1500</v>
      </c>
      <c r="I447" s="49">
        <v>1</v>
      </c>
      <c r="J447" s="49" t="str">
        <f>VLOOKUP(Dados_Cursos[[#This Row],[ID]],Apoio!A440:H1440,4,0)</f>
        <v>Benguela</v>
      </c>
      <c r="K447" s="37" t="s">
        <v>113</v>
      </c>
      <c r="L447" s="37" t="s">
        <v>110</v>
      </c>
      <c r="M447" s="53"/>
    </row>
    <row r="448" spans="1:13" ht="20.100000000000001" customHeight="1" x14ac:dyDescent="0.25">
      <c r="A448" s="49">
        <v>441</v>
      </c>
      <c r="B448" s="55">
        <v>45596</v>
      </c>
      <c r="C448" s="36" t="str">
        <f>UPPER(TEXT(Dados_Cursos[[#This Row],[Data]],"mmm"))</f>
        <v>OUT</v>
      </c>
      <c r="D448" s="52" t="s">
        <v>1914</v>
      </c>
      <c r="E448" s="49" t="str">
        <f>VLOOKUP(Dados_Cursos[[#This Row],[ID]],Apoio!A441:H1441,2,0)</f>
        <v>bruno.andrade441@gmail.com</v>
      </c>
      <c r="F448" s="36" t="s">
        <v>557</v>
      </c>
      <c r="G448" s="36" t="s">
        <v>2666</v>
      </c>
      <c r="H448" s="38">
        <v>1200</v>
      </c>
      <c r="I448" s="49">
        <v>3</v>
      </c>
      <c r="J448" s="49" t="str">
        <f>VLOOKUP(Dados_Cursos[[#This Row],[ID]],Apoio!A441:H1441,4,0)</f>
        <v>Malanje</v>
      </c>
      <c r="K448" s="37" t="s">
        <v>113</v>
      </c>
      <c r="L448" s="37" t="s">
        <v>110</v>
      </c>
      <c r="M448" s="53"/>
    </row>
    <row r="449" spans="1:13" ht="20.100000000000001" customHeight="1" x14ac:dyDescent="0.25">
      <c r="A449" s="49">
        <v>442</v>
      </c>
      <c r="B449" s="55">
        <v>45402</v>
      </c>
      <c r="C449" s="36" t="str">
        <f>UPPER(TEXT(Dados_Cursos[[#This Row],[Data]],"mmm"))</f>
        <v>ABR</v>
      </c>
      <c r="D449" s="52" t="s">
        <v>1916</v>
      </c>
      <c r="E449" s="49" t="str">
        <f>VLOOKUP(Dados_Cursos[[#This Row],[ID]],Apoio!A442:H1442,2,0)</f>
        <v>luís.domingues442@gmail.com</v>
      </c>
      <c r="F449" s="36" t="s">
        <v>558</v>
      </c>
      <c r="G449" s="36" t="s">
        <v>2666</v>
      </c>
      <c r="H449" s="38">
        <v>800</v>
      </c>
      <c r="I449" s="49">
        <v>6</v>
      </c>
      <c r="J449" s="49" t="str">
        <f>VLOOKUP(Dados_Cursos[[#This Row],[ID]],Apoio!A442:H1442,4,0)</f>
        <v>Cubango</v>
      </c>
      <c r="K449" s="37" t="s">
        <v>112</v>
      </c>
      <c r="L449" s="37" t="s">
        <v>109</v>
      </c>
      <c r="M449" s="53"/>
    </row>
    <row r="450" spans="1:13" ht="20.100000000000001" customHeight="1" x14ac:dyDescent="0.25">
      <c r="A450" s="49">
        <v>443</v>
      </c>
      <c r="B450" s="55">
        <v>45648</v>
      </c>
      <c r="C450" s="36" t="str">
        <f>UPPER(TEXT(Dados_Cursos[[#This Row],[Data]],"mmm"))</f>
        <v>DEZ</v>
      </c>
      <c r="D450" s="52" t="s">
        <v>1162</v>
      </c>
      <c r="E450" s="49" t="str">
        <f>VLOOKUP(Dados_Cursos[[#This Row],[ID]],Apoio!A443:H1443,2,0)</f>
        <v>benedito.barbosa443@gmail.com</v>
      </c>
      <c r="F450" s="36" t="s">
        <v>559</v>
      </c>
      <c r="G450" s="36" t="s">
        <v>2666</v>
      </c>
      <c r="H450" s="38">
        <v>1200</v>
      </c>
      <c r="I450" s="49">
        <v>12</v>
      </c>
      <c r="J450" s="49" t="str">
        <f>VLOOKUP(Dados_Cursos[[#This Row],[ID]],Apoio!A443:H1443,4,0)</f>
        <v>Cunene</v>
      </c>
      <c r="K450" s="37" t="s">
        <v>113</v>
      </c>
      <c r="L450" s="37" t="s">
        <v>111</v>
      </c>
      <c r="M450" s="53"/>
    </row>
    <row r="451" spans="1:13" ht="20.100000000000001" customHeight="1" x14ac:dyDescent="0.25">
      <c r="A451" s="49">
        <v>444</v>
      </c>
      <c r="B451" s="55">
        <v>45443</v>
      </c>
      <c r="C451" s="36" t="str">
        <f>UPPER(TEXT(Dados_Cursos[[#This Row],[Data]],"mmm"))</f>
        <v>MAI</v>
      </c>
      <c r="D451" s="52" t="s">
        <v>1674</v>
      </c>
      <c r="E451" s="49" t="str">
        <f>VLOOKUP(Dados_Cursos[[#This Row],[ID]],Apoio!A444:H1444,2,0)</f>
        <v>joão.tavares444@gmail.com</v>
      </c>
      <c r="F451" s="36" t="s">
        <v>560</v>
      </c>
      <c r="G451" s="36" t="s">
        <v>2666</v>
      </c>
      <c r="H451" s="38">
        <v>800</v>
      </c>
      <c r="I451" s="49">
        <v>13</v>
      </c>
      <c r="J451" s="49" t="str">
        <f>VLOOKUP(Dados_Cursos[[#This Row],[ID]],Apoio!A444:H1444,4,0)</f>
        <v>Namibe</v>
      </c>
      <c r="K451" s="37" t="s">
        <v>113</v>
      </c>
      <c r="L451" s="37" t="s">
        <v>111</v>
      </c>
      <c r="M451" s="53"/>
    </row>
    <row r="452" spans="1:13" ht="20.100000000000001" customHeight="1" x14ac:dyDescent="0.25">
      <c r="A452" s="49">
        <v>445</v>
      </c>
      <c r="B452" s="55">
        <v>45497</v>
      </c>
      <c r="C452" s="36" t="str">
        <f>UPPER(TEXT(Dados_Cursos[[#This Row],[Data]],"mmm"))</f>
        <v>JUL</v>
      </c>
      <c r="D452" s="52" t="s">
        <v>1599</v>
      </c>
      <c r="E452" s="49" t="str">
        <f>VLOOKUP(Dados_Cursos[[#This Row],[ID]],Apoio!A445:H1445,2,0)</f>
        <v>paulo.monteiro445@gmail.com</v>
      </c>
      <c r="F452" s="36" t="s">
        <v>561</v>
      </c>
      <c r="G452" s="36" t="s">
        <v>2666</v>
      </c>
      <c r="H452" s="38">
        <v>800</v>
      </c>
      <c r="I452" s="49">
        <v>18</v>
      </c>
      <c r="J452" s="49" t="str">
        <f>VLOOKUP(Dados_Cursos[[#This Row],[ID]],Apoio!A445:H1445,4,0)</f>
        <v>Moxico</v>
      </c>
      <c r="K452" s="37" t="s">
        <v>113</v>
      </c>
      <c r="L452" s="37" t="s">
        <v>111</v>
      </c>
      <c r="M452" s="53"/>
    </row>
    <row r="453" spans="1:13" ht="20.100000000000001" customHeight="1" x14ac:dyDescent="0.25">
      <c r="A453" s="49">
        <v>446</v>
      </c>
      <c r="B453" s="55">
        <v>45318</v>
      </c>
      <c r="C453" s="36" t="str">
        <f>UPPER(TEXT(Dados_Cursos[[#This Row],[Data]],"mmm"))</f>
        <v>JAN</v>
      </c>
      <c r="D453" s="52" t="s">
        <v>1921</v>
      </c>
      <c r="E453" s="49" t="str">
        <f>VLOOKUP(Dados_Cursos[[#This Row],[ID]],Apoio!A446:H1446,2,0)</f>
        <v>isabel.lukeba446@gmail.com</v>
      </c>
      <c r="F453" s="36" t="s">
        <v>562</v>
      </c>
      <c r="G453" s="36" t="s">
        <v>2665</v>
      </c>
      <c r="H453" s="38">
        <v>1500</v>
      </c>
      <c r="I453" s="49">
        <v>17</v>
      </c>
      <c r="J453" s="49" t="str">
        <f>VLOOKUP(Dados_Cursos[[#This Row],[ID]],Apoio!A446:H1446,4,0)</f>
        <v>Cuanza Norte</v>
      </c>
      <c r="K453" s="37" t="s">
        <v>113</v>
      </c>
      <c r="L453" s="37" t="s">
        <v>111</v>
      </c>
      <c r="M453" s="53"/>
    </row>
    <row r="454" spans="1:13" ht="20.100000000000001" customHeight="1" x14ac:dyDescent="0.25">
      <c r="A454" s="49">
        <v>447</v>
      </c>
      <c r="B454" s="55">
        <v>45326</v>
      </c>
      <c r="C454" s="36" t="str">
        <f>UPPER(TEXT(Dados_Cursos[[#This Row],[Data]],"mmm"))</f>
        <v>FEV</v>
      </c>
      <c r="D454" s="52" t="s">
        <v>1923</v>
      </c>
      <c r="E454" s="49" t="str">
        <f>VLOOKUP(Dados_Cursos[[#This Row],[ID]],Apoio!A447:H1447,2,0)</f>
        <v>teresa.silva447@gmail.com</v>
      </c>
      <c r="F454" s="36" t="s">
        <v>563</v>
      </c>
      <c r="G454" s="36" t="s">
        <v>2666</v>
      </c>
      <c r="H454" s="38">
        <v>1200</v>
      </c>
      <c r="I454" s="49">
        <v>3</v>
      </c>
      <c r="J454" s="49" t="str">
        <f>VLOOKUP(Dados_Cursos[[#This Row],[ID]],Apoio!A447:H1447,4,0)</f>
        <v>Lunda Sul</v>
      </c>
      <c r="K454" s="37" t="s">
        <v>113</v>
      </c>
      <c r="L454" s="37" t="s">
        <v>110</v>
      </c>
      <c r="M454" s="53"/>
    </row>
    <row r="455" spans="1:13" ht="20.100000000000001" customHeight="1" x14ac:dyDescent="0.25">
      <c r="A455" s="49">
        <v>448</v>
      </c>
      <c r="B455" s="55">
        <v>45319</v>
      </c>
      <c r="C455" s="36" t="str">
        <f>UPPER(TEXT(Dados_Cursos[[#This Row],[Data]],"mmm"))</f>
        <v>JAN</v>
      </c>
      <c r="D455" s="52" t="s">
        <v>1925</v>
      </c>
      <c r="E455" s="49" t="str">
        <f>VLOOKUP(Dados_Cursos[[#This Row],[ID]],Apoio!A448:H1448,2,0)</f>
        <v>helena.almeida448@gmail.com</v>
      </c>
      <c r="F455" s="36" t="s">
        <v>564</v>
      </c>
      <c r="G455" s="36" t="s">
        <v>2666</v>
      </c>
      <c r="H455" s="38">
        <v>800</v>
      </c>
      <c r="I455" s="49">
        <v>7</v>
      </c>
      <c r="J455" s="49" t="str">
        <f>VLOOKUP(Dados_Cursos[[#This Row],[ID]],Apoio!A448:H1448,4,0)</f>
        <v>Cuanza Sul</v>
      </c>
      <c r="K455" s="37" t="s">
        <v>113</v>
      </c>
      <c r="L455" s="37" t="s">
        <v>110</v>
      </c>
      <c r="M455" s="53"/>
    </row>
    <row r="456" spans="1:13" ht="20.100000000000001" customHeight="1" x14ac:dyDescent="0.25">
      <c r="A456" s="49">
        <v>449</v>
      </c>
      <c r="B456" s="55">
        <v>45643</v>
      </c>
      <c r="C456" s="36" t="str">
        <f>UPPER(TEXT(Dados_Cursos[[#This Row],[Data]],"mmm"))</f>
        <v>DEZ</v>
      </c>
      <c r="D456" s="52" t="s">
        <v>1927</v>
      </c>
      <c r="E456" s="49" t="str">
        <f>VLOOKUP(Dados_Cursos[[#This Row],[ID]],Apoio!A449:H1449,2,0)</f>
        <v>francisco.silva449@gmail.com</v>
      </c>
      <c r="F456" s="36" t="s">
        <v>565</v>
      </c>
      <c r="G456" s="36" t="s">
        <v>2666</v>
      </c>
      <c r="H456" s="38">
        <v>800</v>
      </c>
      <c r="I456" s="49">
        <v>18</v>
      </c>
      <c r="J456" s="49" t="str">
        <f>VLOOKUP(Dados_Cursos[[#This Row],[ID]],Apoio!A449:H1449,4,0)</f>
        <v>Cuanza Norte</v>
      </c>
      <c r="K456" s="37" t="s">
        <v>113</v>
      </c>
      <c r="L456" s="37" t="s">
        <v>111</v>
      </c>
      <c r="M456" s="53"/>
    </row>
    <row r="457" spans="1:13" ht="20.100000000000001" customHeight="1" x14ac:dyDescent="0.25">
      <c r="A457" s="49">
        <v>450</v>
      </c>
      <c r="B457" s="55">
        <v>45585</v>
      </c>
      <c r="C457" s="36" t="str">
        <f>UPPER(TEXT(Dados_Cursos[[#This Row],[Data]],"mmm"))</f>
        <v>OUT</v>
      </c>
      <c r="D457" s="52" t="s">
        <v>1929</v>
      </c>
      <c r="E457" s="49" t="str">
        <f>VLOOKUP(Dados_Cursos[[#This Row],[ID]],Apoio!A450:H1450,2,0)</f>
        <v>cláudia.silva450@gmail.com</v>
      </c>
      <c r="F457" s="36" t="s">
        <v>566</v>
      </c>
      <c r="G457" s="36" t="s">
        <v>2666</v>
      </c>
      <c r="H457" s="38">
        <v>800</v>
      </c>
      <c r="I457" s="49">
        <v>19</v>
      </c>
      <c r="J457" s="49" t="str">
        <f>VLOOKUP(Dados_Cursos[[#This Row],[ID]],Apoio!A450:H1450,4,0)</f>
        <v>Cabinda</v>
      </c>
      <c r="K457" s="37" t="s">
        <v>113</v>
      </c>
      <c r="L457" s="37" t="s">
        <v>110</v>
      </c>
      <c r="M457" s="53"/>
    </row>
    <row r="458" spans="1:13" ht="20.100000000000001" customHeight="1" x14ac:dyDescent="0.25">
      <c r="A458" s="49">
        <v>451</v>
      </c>
      <c r="B458" s="55">
        <v>45336</v>
      </c>
      <c r="C458" s="36" t="str">
        <f>UPPER(TEXT(Dados_Cursos[[#This Row],[Data]],"mmm"))</f>
        <v>FEV</v>
      </c>
      <c r="D458" s="52" t="s">
        <v>1931</v>
      </c>
      <c r="E458" s="49" t="str">
        <f>VLOOKUP(Dados_Cursos[[#This Row],[ID]],Apoio!A451:H1451,2,0)</f>
        <v>rosa.gomes451@gmail.com</v>
      </c>
      <c r="F458" s="36" t="s">
        <v>567</v>
      </c>
      <c r="G458" s="36" t="s">
        <v>2665</v>
      </c>
      <c r="H458" s="38">
        <v>1500</v>
      </c>
      <c r="I458" s="49">
        <v>20</v>
      </c>
      <c r="J458" s="49" t="str">
        <f>VLOOKUP(Dados_Cursos[[#This Row],[ID]],Apoio!A451:H1451,4,0)</f>
        <v>Namibe</v>
      </c>
      <c r="K458" s="37" t="s">
        <v>113</v>
      </c>
      <c r="L458" s="37" t="s">
        <v>110</v>
      </c>
      <c r="M458" s="53"/>
    </row>
    <row r="459" spans="1:13" ht="20.100000000000001" customHeight="1" x14ac:dyDescent="0.25">
      <c r="A459" s="49">
        <v>452</v>
      </c>
      <c r="B459" s="55">
        <v>45334</v>
      </c>
      <c r="C459" s="36" t="str">
        <f>UPPER(TEXT(Dados_Cursos[[#This Row],[Data]],"mmm"))</f>
        <v>FEV</v>
      </c>
      <c r="D459" s="52" t="s">
        <v>1809</v>
      </c>
      <c r="E459" s="49" t="str">
        <f>VLOOKUP(Dados_Cursos[[#This Row],[ID]],Apoio!A452:H1452,2,0)</f>
        <v>francisco.david452@gmail.com</v>
      </c>
      <c r="F459" s="36" t="s">
        <v>568</v>
      </c>
      <c r="G459" s="36" t="s">
        <v>2666</v>
      </c>
      <c r="H459" s="38">
        <v>1200</v>
      </c>
      <c r="I459" s="49">
        <v>11</v>
      </c>
      <c r="J459" s="49" t="str">
        <f>VLOOKUP(Dados_Cursos[[#This Row],[ID]],Apoio!A452:H1452,4,0)</f>
        <v>Cuando</v>
      </c>
      <c r="K459" s="37" t="s">
        <v>112</v>
      </c>
      <c r="L459" s="37" t="s">
        <v>109</v>
      </c>
      <c r="M459" s="53"/>
    </row>
    <row r="460" spans="1:13" ht="20.100000000000001" customHeight="1" x14ac:dyDescent="0.25">
      <c r="A460" s="49">
        <v>453</v>
      </c>
      <c r="B460" s="55">
        <v>45440</v>
      </c>
      <c r="C460" s="36" t="str">
        <f>UPPER(TEXT(Dados_Cursos[[#This Row],[Data]],"mmm"))</f>
        <v>MAI</v>
      </c>
      <c r="D460" s="52" t="s">
        <v>1934</v>
      </c>
      <c r="E460" s="49" t="str">
        <f>VLOOKUP(Dados_Cursos[[#This Row],[ID]],Apoio!A453:H1453,2,0)</f>
        <v>david.andrade453@gmail.com</v>
      </c>
      <c r="F460" s="36" t="s">
        <v>569</v>
      </c>
      <c r="G460" s="36" t="s">
        <v>2665</v>
      </c>
      <c r="H460" s="38">
        <v>1500</v>
      </c>
      <c r="I460" s="49">
        <v>20</v>
      </c>
      <c r="J460" s="49" t="str">
        <f>VLOOKUP(Dados_Cursos[[#This Row],[ID]],Apoio!A453:H1453,4,0)</f>
        <v>Uíge</v>
      </c>
      <c r="K460" s="37" t="s">
        <v>112</v>
      </c>
      <c r="L460" s="37" t="s">
        <v>109</v>
      </c>
      <c r="M460" s="53"/>
    </row>
    <row r="461" spans="1:13" ht="20.100000000000001" customHeight="1" x14ac:dyDescent="0.25">
      <c r="A461" s="49">
        <v>454</v>
      </c>
      <c r="B461" s="55">
        <v>45527</v>
      </c>
      <c r="C461" s="36" t="str">
        <f>UPPER(TEXT(Dados_Cursos[[#This Row],[Data]],"mmm"))</f>
        <v>AGO</v>
      </c>
      <c r="D461" s="52" t="s">
        <v>1936</v>
      </c>
      <c r="E461" s="49" t="str">
        <f>VLOOKUP(Dados_Cursos[[#This Row],[ID]],Apoio!A454:H1454,2,0)</f>
        <v>sofia.domingues454@gmail.com</v>
      </c>
      <c r="F461" s="36" t="s">
        <v>570</v>
      </c>
      <c r="G461" s="36" t="s">
        <v>2666</v>
      </c>
      <c r="H461" s="38">
        <v>800</v>
      </c>
      <c r="I461" s="49">
        <v>20</v>
      </c>
      <c r="J461" s="49" t="str">
        <f>VLOOKUP(Dados_Cursos[[#This Row],[ID]],Apoio!A454:H1454,4,0)</f>
        <v>Icolo e Bengo</v>
      </c>
      <c r="K461" s="37" t="s">
        <v>113</v>
      </c>
      <c r="L461" s="37" t="s">
        <v>110</v>
      </c>
      <c r="M461" s="53"/>
    </row>
    <row r="462" spans="1:13" ht="20.100000000000001" customHeight="1" x14ac:dyDescent="0.25">
      <c r="A462" s="49">
        <v>455</v>
      </c>
      <c r="B462" s="55">
        <v>45505</v>
      </c>
      <c r="C462" s="36" t="str">
        <f>UPPER(TEXT(Dados_Cursos[[#This Row],[Data]],"mmm"))</f>
        <v>AGO</v>
      </c>
      <c r="D462" s="52" t="s">
        <v>1329</v>
      </c>
      <c r="E462" s="49" t="str">
        <f>VLOOKUP(Dados_Cursos[[#This Row],[ID]],Apoio!A455:H1455,2,0)</f>
        <v>nelson.tavares455@gmail.com</v>
      </c>
      <c r="F462" s="36" t="s">
        <v>571</v>
      </c>
      <c r="G462" s="36" t="s">
        <v>2666</v>
      </c>
      <c r="H462" s="38">
        <v>1200</v>
      </c>
      <c r="I462" s="49">
        <v>14</v>
      </c>
      <c r="J462" s="49" t="str">
        <f>VLOOKUP(Dados_Cursos[[#This Row],[ID]],Apoio!A455:H1455,4,0)</f>
        <v>Namibe</v>
      </c>
      <c r="K462" s="37" t="s">
        <v>113</v>
      </c>
      <c r="L462" s="37" t="s">
        <v>111</v>
      </c>
      <c r="M462" s="53"/>
    </row>
    <row r="463" spans="1:13" ht="20.100000000000001" customHeight="1" x14ac:dyDescent="0.25">
      <c r="A463" s="49">
        <v>456</v>
      </c>
      <c r="B463" s="55">
        <v>45577</v>
      </c>
      <c r="C463" s="36" t="str">
        <f>UPPER(TEXT(Dados_Cursos[[#This Row],[Data]],"mmm"))</f>
        <v>OUT</v>
      </c>
      <c r="D463" s="52" t="s">
        <v>1816</v>
      </c>
      <c r="E463" s="49" t="str">
        <f>VLOOKUP(Dados_Cursos[[#This Row],[ID]],Apoio!A456:H1456,2,0)</f>
        <v>daniel.fernandes456@gmail.com</v>
      </c>
      <c r="F463" s="36" t="s">
        <v>572</v>
      </c>
      <c r="G463" s="36" t="s">
        <v>2666</v>
      </c>
      <c r="H463" s="38">
        <v>800</v>
      </c>
      <c r="I463" s="49">
        <v>9</v>
      </c>
      <c r="J463" s="49" t="str">
        <f>VLOOKUP(Dados_Cursos[[#This Row],[ID]],Apoio!A456:H1456,4,0)</f>
        <v>Moxico Leste</v>
      </c>
      <c r="K463" s="37" t="s">
        <v>113</v>
      </c>
      <c r="L463" s="37" t="s">
        <v>2649</v>
      </c>
      <c r="M463" s="53"/>
    </row>
    <row r="464" spans="1:13" ht="20.100000000000001" customHeight="1" x14ac:dyDescent="0.25">
      <c r="A464" s="49">
        <v>457</v>
      </c>
      <c r="B464" s="55">
        <v>45382</v>
      </c>
      <c r="C464" s="36" t="str">
        <f>UPPER(TEXT(Dados_Cursos[[#This Row],[Data]],"mmm"))</f>
        <v>MAR</v>
      </c>
      <c r="D464" s="52" t="s">
        <v>1940</v>
      </c>
      <c r="E464" s="49" t="str">
        <f>VLOOKUP(Dados_Cursos[[#This Row],[ID]],Apoio!A457:H1457,2,0)</f>
        <v>mateus.david457@gmail.com</v>
      </c>
      <c r="F464" s="36" t="s">
        <v>573</v>
      </c>
      <c r="G464" s="36" t="s">
        <v>2666</v>
      </c>
      <c r="H464" s="38">
        <v>800</v>
      </c>
      <c r="I464" s="49">
        <v>14</v>
      </c>
      <c r="J464" s="49" t="str">
        <f>VLOOKUP(Dados_Cursos[[#This Row],[ID]],Apoio!A457:H1457,4,0)</f>
        <v>Huambo</v>
      </c>
      <c r="K464" s="37" t="s">
        <v>113</v>
      </c>
      <c r="L464" s="37" t="s">
        <v>110</v>
      </c>
      <c r="M464" s="53"/>
    </row>
    <row r="465" spans="1:13" ht="20.100000000000001" customHeight="1" x14ac:dyDescent="0.25">
      <c r="A465" s="49">
        <v>458</v>
      </c>
      <c r="B465" s="55">
        <v>45613</v>
      </c>
      <c r="C465" s="36" t="str">
        <f>UPPER(TEXT(Dados_Cursos[[#This Row],[Data]],"mmm"))</f>
        <v>NOV</v>
      </c>
      <c r="D465" s="52" t="s">
        <v>1343</v>
      </c>
      <c r="E465" s="49" t="str">
        <f>VLOOKUP(Dados_Cursos[[#This Row],[ID]],Apoio!A458:H1458,2,0)</f>
        <v>rosa.tavares458@gmail.com</v>
      </c>
      <c r="F465" s="36" t="s">
        <v>574</v>
      </c>
      <c r="G465" s="36" t="s">
        <v>2666</v>
      </c>
      <c r="H465" s="38">
        <v>800</v>
      </c>
      <c r="I465" s="49">
        <v>13</v>
      </c>
      <c r="J465" s="49" t="str">
        <f>VLOOKUP(Dados_Cursos[[#This Row],[ID]],Apoio!A458:H1458,4,0)</f>
        <v>Huíla</v>
      </c>
      <c r="K465" s="37" t="s">
        <v>113</v>
      </c>
      <c r="L465" s="37" t="s">
        <v>111</v>
      </c>
      <c r="M465" s="53"/>
    </row>
    <row r="466" spans="1:13" ht="20.100000000000001" customHeight="1" x14ac:dyDescent="0.25">
      <c r="A466" s="49">
        <v>459</v>
      </c>
      <c r="B466" s="55">
        <v>45472</v>
      </c>
      <c r="C466" s="36" t="str">
        <f>UPPER(TEXT(Dados_Cursos[[#This Row],[Data]],"mmm"))</f>
        <v>JUN</v>
      </c>
      <c r="D466" s="52" t="s">
        <v>1943</v>
      </c>
      <c r="E466" s="49" t="str">
        <f>VLOOKUP(Dados_Cursos[[#This Row],[ID]],Apoio!A459:H1459,2,0)</f>
        <v>marta.gomes459@gmail.com</v>
      </c>
      <c r="F466" s="36" t="s">
        <v>575</v>
      </c>
      <c r="G466" s="36" t="s">
        <v>2666</v>
      </c>
      <c r="H466" s="38">
        <v>1200</v>
      </c>
      <c r="I466" s="49">
        <v>17</v>
      </c>
      <c r="J466" s="49" t="str">
        <f>VLOOKUP(Dados_Cursos[[#This Row],[ID]],Apoio!A459:H1459,4,0)</f>
        <v>Lunda Norte</v>
      </c>
      <c r="K466" s="37" t="s">
        <v>113</v>
      </c>
      <c r="L466" s="37" t="s">
        <v>110</v>
      </c>
      <c r="M466" s="53"/>
    </row>
    <row r="467" spans="1:13" ht="20.100000000000001" customHeight="1" x14ac:dyDescent="0.25">
      <c r="A467" s="49">
        <v>460</v>
      </c>
      <c r="B467" s="55">
        <v>45573</v>
      </c>
      <c r="C467" s="36" t="str">
        <f>UPPER(TEXT(Dados_Cursos[[#This Row],[Data]],"mmm"))</f>
        <v>OUT</v>
      </c>
      <c r="D467" s="52" t="s">
        <v>1945</v>
      </c>
      <c r="E467" s="49" t="str">
        <f>VLOOKUP(Dados_Cursos[[#This Row],[ID]],Apoio!A460:H1460,2,0)</f>
        <v>ana.rodrigues460@gmail.com</v>
      </c>
      <c r="F467" s="36" t="s">
        <v>576</v>
      </c>
      <c r="G467" s="36" t="s">
        <v>2666</v>
      </c>
      <c r="H467" s="38">
        <v>800</v>
      </c>
      <c r="I467" s="49">
        <v>7</v>
      </c>
      <c r="J467" s="49" t="str">
        <f>VLOOKUP(Dados_Cursos[[#This Row],[ID]],Apoio!A460:H1460,4,0)</f>
        <v>Lunda Sul</v>
      </c>
      <c r="K467" s="37" t="s">
        <v>113</v>
      </c>
      <c r="L467" s="37" t="s">
        <v>2649</v>
      </c>
      <c r="M467" s="53"/>
    </row>
    <row r="468" spans="1:13" ht="20.100000000000001" customHeight="1" x14ac:dyDescent="0.25">
      <c r="A468" s="49">
        <v>461</v>
      </c>
      <c r="B468" s="55">
        <v>45421</v>
      </c>
      <c r="C468" s="36" t="str">
        <f>UPPER(TEXT(Dados_Cursos[[#This Row],[Data]],"mmm"))</f>
        <v>MAI</v>
      </c>
      <c r="D468" s="52" t="s">
        <v>1164</v>
      </c>
      <c r="E468" s="49" t="str">
        <f>VLOOKUP(Dados_Cursos[[#This Row],[ID]],Apoio!A461:H1461,2,0)</f>
        <v>carlos.lukeba461@gmail.com</v>
      </c>
      <c r="F468" s="36" t="s">
        <v>577</v>
      </c>
      <c r="G468" s="36" t="s">
        <v>2665</v>
      </c>
      <c r="H468" s="38">
        <v>1500</v>
      </c>
      <c r="I468" s="49">
        <v>10</v>
      </c>
      <c r="J468" s="49" t="str">
        <f>VLOOKUP(Dados_Cursos[[#This Row],[ID]],Apoio!A461:H1461,4,0)</f>
        <v>Malanje</v>
      </c>
      <c r="K468" s="37" t="s">
        <v>113</v>
      </c>
      <c r="L468" s="37" t="s">
        <v>111</v>
      </c>
      <c r="M468" s="53"/>
    </row>
    <row r="469" spans="1:13" ht="20.100000000000001" customHeight="1" x14ac:dyDescent="0.25">
      <c r="A469" s="49">
        <v>462</v>
      </c>
      <c r="B469" s="55">
        <v>45300</v>
      </c>
      <c r="C469" s="36" t="str">
        <f>UPPER(TEXT(Dados_Cursos[[#This Row],[Data]],"mmm"))</f>
        <v>JAN</v>
      </c>
      <c r="D469" s="52" t="s">
        <v>1948</v>
      </c>
      <c r="E469" s="49" t="str">
        <f>VLOOKUP(Dados_Cursos[[#This Row],[ID]],Apoio!A462:H1462,2,0)</f>
        <v>bruno.gomes462@gmail.com</v>
      </c>
      <c r="F469" s="36" t="s">
        <v>578</v>
      </c>
      <c r="G469" s="36" t="s">
        <v>2666</v>
      </c>
      <c r="H469" s="38">
        <v>1200</v>
      </c>
      <c r="I469" s="49">
        <v>6</v>
      </c>
      <c r="J469" s="49" t="str">
        <f>VLOOKUP(Dados_Cursos[[#This Row],[ID]],Apoio!A462:H1462,4,0)</f>
        <v>Huíla</v>
      </c>
      <c r="K469" s="37" t="s">
        <v>113</v>
      </c>
      <c r="L469" s="37" t="s">
        <v>110</v>
      </c>
      <c r="M469" s="53"/>
    </row>
    <row r="470" spans="1:13" ht="20.100000000000001" customHeight="1" x14ac:dyDescent="0.25">
      <c r="A470" s="49">
        <v>463</v>
      </c>
      <c r="B470" s="55">
        <v>45341</v>
      </c>
      <c r="C470" s="36" t="str">
        <f>UPPER(TEXT(Dados_Cursos[[#This Row],[Data]],"mmm"))</f>
        <v>FEV</v>
      </c>
      <c r="D470" s="52" t="s">
        <v>1950</v>
      </c>
      <c r="E470" s="49" t="str">
        <f>VLOOKUP(Dados_Cursos[[#This Row],[ID]],Apoio!A463:H1463,2,0)</f>
        <v>francisco.lukeba463@gmail.com</v>
      </c>
      <c r="F470" s="36" t="s">
        <v>579</v>
      </c>
      <c r="G470" s="36" t="s">
        <v>2665</v>
      </c>
      <c r="H470" s="38">
        <v>1500</v>
      </c>
      <c r="I470" s="49">
        <v>14</v>
      </c>
      <c r="J470" s="49" t="str">
        <f>VLOOKUP(Dados_Cursos[[#This Row],[ID]],Apoio!A463:H1463,4,0)</f>
        <v>Huíla</v>
      </c>
      <c r="K470" s="37" t="s">
        <v>113</v>
      </c>
      <c r="L470" s="37" t="s">
        <v>2649</v>
      </c>
      <c r="M470" s="53"/>
    </row>
    <row r="471" spans="1:13" ht="20.100000000000001" customHeight="1" x14ac:dyDescent="0.25">
      <c r="A471" s="49">
        <v>464</v>
      </c>
      <c r="B471" s="55">
        <v>45468</v>
      </c>
      <c r="C471" s="36" t="str">
        <f>UPPER(TEXT(Dados_Cursos[[#This Row],[Data]],"mmm"))</f>
        <v>JUN</v>
      </c>
      <c r="D471" s="52" t="s">
        <v>1541</v>
      </c>
      <c r="E471" s="49" t="str">
        <f>VLOOKUP(Dados_Cursos[[#This Row],[ID]],Apoio!A464:H1464,2,0)</f>
        <v>francisco.monteiro464@gmail.com</v>
      </c>
      <c r="F471" s="36" t="s">
        <v>580</v>
      </c>
      <c r="G471" s="36" t="s">
        <v>2666</v>
      </c>
      <c r="H471" s="38">
        <v>800</v>
      </c>
      <c r="I471" s="49">
        <v>19</v>
      </c>
      <c r="J471" s="49" t="str">
        <f>VLOOKUP(Dados_Cursos[[#This Row],[ID]],Apoio!A464:H1464,4,0)</f>
        <v>Moxico</v>
      </c>
      <c r="K471" s="37" t="s">
        <v>113</v>
      </c>
      <c r="L471" s="37" t="s">
        <v>111</v>
      </c>
      <c r="M471" s="53"/>
    </row>
    <row r="472" spans="1:13" ht="20.100000000000001" customHeight="1" x14ac:dyDescent="0.25">
      <c r="A472" s="49">
        <v>465</v>
      </c>
      <c r="B472" s="55">
        <v>45423</v>
      </c>
      <c r="C472" s="36" t="str">
        <f>UPPER(TEXT(Dados_Cursos[[#This Row],[Data]],"mmm"))</f>
        <v>MAI</v>
      </c>
      <c r="D472" s="52" t="s">
        <v>1564</v>
      </c>
      <c r="E472" s="49" t="str">
        <f>VLOOKUP(Dados_Cursos[[#This Row],[ID]],Apoio!A465:H1465,2,0)</f>
        <v>mateus.andrade465@gmail.com</v>
      </c>
      <c r="F472" s="36" t="s">
        <v>581</v>
      </c>
      <c r="G472" s="36" t="s">
        <v>2666</v>
      </c>
      <c r="H472" s="38">
        <v>800</v>
      </c>
      <c r="I472" s="49">
        <v>16</v>
      </c>
      <c r="J472" s="49" t="str">
        <f>VLOOKUP(Dados_Cursos[[#This Row],[ID]],Apoio!A465:H1465,4,0)</f>
        <v>Cubango</v>
      </c>
      <c r="K472" s="37" t="s">
        <v>113</v>
      </c>
      <c r="L472" s="37" t="s">
        <v>2649</v>
      </c>
      <c r="M472" s="53"/>
    </row>
    <row r="473" spans="1:13" ht="20.100000000000001" customHeight="1" x14ac:dyDescent="0.25">
      <c r="A473" s="49">
        <v>466</v>
      </c>
      <c r="B473" s="55">
        <v>45355</v>
      </c>
      <c r="C473" s="36" t="str">
        <f>UPPER(TEXT(Dados_Cursos[[#This Row],[Data]],"mmm"))</f>
        <v>MAR</v>
      </c>
      <c r="D473" s="52" t="s">
        <v>1529</v>
      </c>
      <c r="E473" s="49" t="str">
        <f>VLOOKUP(Dados_Cursos[[#This Row],[ID]],Apoio!A466:H1466,2,0)</f>
        <v>cláudia.pinto466@gmail.com</v>
      </c>
      <c r="F473" s="36" t="s">
        <v>582</v>
      </c>
      <c r="G473" s="36" t="s">
        <v>2666</v>
      </c>
      <c r="H473" s="38">
        <v>800</v>
      </c>
      <c r="I473" s="49">
        <v>8</v>
      </c>
      <c r="J473" s="49" t="str">
        <f>VLOOKUP(Dados_Cursos[[#This Row],[ID]],Apoio!A466:H1466,4,0)</f>
        <v>Cubango</v>
      </c>
      <c r="K473" s="37" t="s">
        <v>113</v>
      </c>
      <c r="L473" s="37" t="s">
        <v>110</v>
      </c>
      <c r="M473" s="53"/>
    </row>
    <row r="474" spans="1:13" ht="20.100000000000001" customHeight="1" x14ac:dyDescent="0.25">
      <c r="A474" s="49">
        <v>467</v>
      </c>
      <c r="B474" s="55">
        <v>45433</v>
      </c>
      <c r="C474" s="36" t="str">
        <f>UPPER(TEXT(Dados_Cursos[[#This Row],[Data]],"mmm"))</f>
        <v>MAI</v>
      </c>
      <c r="D474" s="52" t="s">
        <v>1185</v>
      </c>
      <c r="E474" s="49" t="str">
        <f>VLOOKUP(Dados_Cursos[[#This Row],[ID]],Apoio!A467:H1467,2,0)</f>
        <v>isabel.andrade467@gmail.com</v>
      </c>
      <c r="F474" s="36" t="s">
        <v>583</v>
      </c>
      <c r="G474" s="36" t="s">
        <v>2665</v>
      </c>
      <c r="H474" s="38">
        <v>1500</v>
      </c>
      <c r="I474" s="49">
        <v>9</v>
      </c>
      <c r="J474" s="49" t="str">
        <f>VLOOKUP(Dados_Cursos[[#This Row],[ID]],Apoio!A467:H1467,4,0)</f>
        <v>Cuando</v>
      </c>
      <c r="K474" s="37" t="s">
        <v>113</v>
      </c>
      <c r="L474" s="37" t="s">
        <v>111</v>
      </c>
      <c r="M474" s="53"/>
    </row>
    <row r="475" spans="1:13" ht="20.100000000000001" customHeight="1" x14ac:dyDescent="0.25">
      <c r="A475" s="49">
        <v>468</v>
      </c>
      <c r="B475" s="55">
        <v>45301</v>
      </c>
      <c r="C475" s="36" t="str">
        <f>UPPER(TEXT(Dados_Cursos[[#This Row],[Data]],"mmm"))</f>
        <v>JAN</v>
      </c>
      <c r="D475" s="52" t="s">
        <v>1956</v>
      </c>
      <c r="E475" s="49" t="str">
        <f>VLOOKUP(Dados_Cursos[[#This Row],[ID]],Apoio!A468:H1468,2,0)</f>
        <v>sofia.martins468@gmail.com</v>
      </c>
      <c r="F475" s="36" t="s">
        <v>584</v>
      </c>
      <c r="G475" s="36" t="s">
        <v>2666</v>
      </c>
      <c r="H475" s="38">
        <v>1200</v>
      </c>
      <c r="I475" s="49">
        <v>3</v>
      </c>
      <c r="J475" s="49" t="str">
        <f>VLOOKUP(Dados_Cursos[[#This Row],[ID]],Apoio!A468:H1468,4,0)</f>
        <v>Moxico Leste</v>
      </c>
      <c r="K475" s="37" t="s">
        <v>113</v>
      </c>
      <c r="L475" s="37" t="s">
        <v>2649</v>
      </c>
      <c r="M475" s="53"/>
    </row>
    <row r="476" spans="1:13" ht="20.100000000000001" customHeight="1" x14ac:dyDescent="0.25">
      <c r="A476" s="49">
        <v>469</v>
      </c>
      <c r="B476" s="55">
        <v>45522</v>
      </c>
      <c r="C476" s="36" t="str">
        <f>UPPER(TEXT(Dados_Cursos[[#This Row],[Data]],"mmm"))</f>
        <v>AGO</v>
      </c>
      <c r="D476" s="52" t="s">
        <v>1754</v>
      </c>
      <c r="E476" s="49" t="str">
        <f>VLOOKUP(Dados_Cursos[[#This Row],[ID]],Apoio!A469:H1469,2,0)</f>
        <v>helena.lopes469@gmail.com</v>
      </c>
      <c r="F476" s="36" t="s">
        <v>585</v>
      </c>
      <c r="G476" s="36" t="s">
        <v>2665</v>
      </c>
      <c r="H476" s="38">
        <v>1500</v>
      </c>
      <c r="I476" s="49">
        <v>6</v>
      </c>
      <c r="J476" s="49" t="str">
        <f>VLOOKUP(Dados_Cursos[[#This Row],[ID]],Apoio!A469:H1469,4,0)</f>
        <v>Cubango</v>
      </c>
      <c r="K476" s="37" t="s">
        <v>113</v>
      </c>
      <c r="L476" s="37" t="s">
        <v>110</v>
      </c>
      <c r="M476" s="53"/>
    </row>
    <row r="477" spans="1:13" ht="20.100000000000001" customHeight="1" x14ac:dyDescent="0.25">
      <c r="A477" s="49">
        <v>470</v>
      </c>
      <c r="B477" s="55">
        <v>45313</v>
      </c>
      <c r="C477" s="36" t="str">
        <f>UPPER(TEXT(Dados_Cursos[[#This Row],[Data]],"mmm"))</f>
        <v>JAN</v>
      </c>
      <c r="D477" s="52" t="s">
        <v>1534</v>
      </c>
      <c r="E477" s="49" t="str">
        <f>VLOOKUP(Dados_Cursos[[#This Row],[ID]],Apoio!A470:H1470,2,0)</f>
        <v>fátima.monteiro470@gmail.com</v>
      </c>
      <c r="F477" s="36" t="s">
        <v>586</v>
      </c>
      <c r="G477" s="36" t="s">
        <v>2666</v>
      </c>
      <c r="H477" s="38">
        <v>1200</v>
      </c>
      <c r="I477" s="49">
        <v>20</v>
      </c>
      <c r="J477" s="49" t="str">
        <f>VLOOKUP(Dados_Cursos[[#This Row],[ID]],Apoio!A470:H1470,4,0)</f>
        <v>Cubango</v>
      </c>
      <c r="K477" s="37" t="s">
        <v>112</v>
      </c>
      <c r="L477" s="37" t="s">
        <v>109</v>
      </c>
      <c r="M477" s="53"/>
    </row>
    <row r="478" spans="1:13" ht="20.100000000000001" customHeight="1" x14ac:dyDescent="0.25">
      <c r="A478" s="49">
        <v>471</v>
      </c>
      <c r="B478" s="55">
        <v>45514</v>
      </c>
      <c r="C478" s="36" t="str">
        <f>UPPER(TEXT(Dados_Cursos[[#This Row],[Data]],"mmm"))</f>
        <v>AGO</v>
      </c>
      <c r="D478" s="52" t="s">
        <v>1960</v>
      </c>
      <c r="E478" s="49" t="str">
        <f>VLOOKUP(Dados_Cursos[[#This Row],[ID]],Apoio!A471:H1471,2,0)</f>
        <v>adriano.david471@gmail.com</v>
      </c>
      <c r="F478" s="36" t="s">
        <v>587</v>
      </c>
      <c r="G478" s="36" t="s">
        <v>2666</v>
      </c>
      <c r="H478" s="38">
        <v>800</v>
      </c>
      <c r="I478" s="49">
        <v>10</v>
      </c>
      <c r="J478" s="49" t="str">
        <f>VLOOKUP(Dados_Cursos[[#This Row],[ID]],Apoio!A471:H1471,4,0)</f>
        <v>Cuanza Norte</v>
      </c>
      <c r="K478" s="37" t="s">
        <v>112</v>
      </c>
      <c r="L478" s="37" t="s">
        <v>109</v>
      </c>
      <c r="M478" s="53"/>
    </row>
    <row r="479" spans="1:13" ht="20.100000000000001" customHeight="1" x14ac:dyDescent="0.25">
      <c r="A479" s="49">
        <v>472</v>
      </c>
      <c r="B479" s="55">
        <v>45482</v>
      </c>
      <c r="C479" s="36" t="str">
        <f>UPPER(TEXT(Dados_Cursos[[#This Row],[Data]],"mmm"))</f>
        <v>JUL</v>
      </c>
      <c r="D479" s="52" t="s">
        <v>1962</v>
      </c>
      <c r="E479" s="49" t="str">
        <f>VLOOKUP(Dados_Cursos[[#This Row],[ID]],Apoio!A472:H1472,2,0)</f>
        <v>sofia.almeida472@gmail.com</v>
      </c>
      <c r="F479" s="36" t="s">
        <v>588</v>
      </c>
      <c r="G479" s="36" t="s">
        <v>2666</v>
      </c>
      <c r="H479" s="38">
        <v>1200</v>
      </c>
      <c r="I479" s="49">
        <v>20</v>
      </c>
      <c r="J479" s="49" t="str">
        <f>VLOOKUP(Dados_Cursos[[#This Row],[ID]],Apoio!A472:H1472,4,0)</f>
        <v>Moxico</v>
      </c>
      <c r="K479" s="37" t="s">
        <v>113</v>
      </c>
      <c r="L479" s="37" t="s">
        <v>111</v>
      </c>
      <c r="M479" s="53"/>
    </row>
    <row r="480" spans="1:13" ht="20.100000000000001" customHeight="1" x14ac:dyDescent="0.25">
      <c r="A480" s="49">
        <v>473</v>
      </c>
      <c r="B480" s="55">
        <v>45362</v>
      </c>
      <c r="C480" s="36" t="str">
        <f>UPPER(TEXT(Dados_Cursos[[#This Row],[Data]],"mmm"))</f>
        <v>MAR</v>
      </c>
      <c r="D480" s="52" t="s">
        <v>1964</v>
      </c>
      <c r="E480" s="49" t="str">
        <f>VLOOKUP(Dados_Cursos[[#This Row],[ID]],Apoio!A473:H1473,2,0)</f>
        <v>samuel.pinto473@gmail.com</v>
      </c>
      <c r="F480" s="36" t="s">
        <v>589</v>
      </c>
      <c r="G480" s="36" t="s">
        <v>2666</v>
      </c>
      <c r="H480" s="38">
        <v>800</v>
      </c>
      <c r="I480" s="49">
        <v>8</v>
      </c>
      <c r="J480" s="49" t="str">
        <f>VLOOKUP(Dados_Cursos[[#This Row],[ID]],Apoio!A473:H1473,4,0)</f>
        <v>Malanje</v>
      </c>
      <c r="K480" s="37" t="s">
        <v>113</v>
      </c>
      <c r="L480" s="37" t="s">
        <v>2649</v>
      </c>
      <c r="M480" s="53"/>
    </row>
    <row r="481" spans="1:13" ht="20.100000000000001" customHeight="1" x14ac:dyDescent="0.25">
      <c r="A481" s="49">
        <v>474</v>
      </c>
      <c r="B481" s="55">
        <v>45512</v>
      </c>
      <c r="C481" s="36" t="str">
        <f>UPPER(TEXT(Dados_Cursos[[#This Row],[Data]],"mmm"))</f>
        <v>AGO</v>
      </c>
      <c r="D481" s="52" t="s">
        <v>1621</v>
      </c>
      <c r="E481" s="49" t="str">
        <f>VLOOKUP(Dados_Cursos[[#This Row],[ID]],Apoio!A474:H1474,2,0)</f>
        <v>samuel.gomes474@gmail.com</v>
      </c>
      <c r="F481" s="36" t="s">
        <v>590</v>
      </c>
      <c r="G481" s="36" t="s">
        <v>2666</v>
      </c>
      <c r="H481" s="38">
        <v>1200</v>
      </c>
      <c r="I481" s="49">
        <v>5</v>
      </c>
      <c r="J481" s="49" t="str">
        <f>VLOOKUP(Dados_Cursos[[#This Row],[ID]],Apoio!A474:H1474,4,0)</f>
        <v>Moxico Leste</v>
      </c>
      <c r="K481" s="37" t="s">
        <v>113</v>
      </c>
      <c r="L481" s="37" t="s">
        <v>2649</v>
      </c>
      <c r="M481" s="53"/>
    </row>
    <row r="482" spans="1:13" ht="20.100000000000001" customHeight="1" x14ac:dyDescent="0.25">
      <c r="A482" s="49">
        <v>475</v>
      </c>
      <c r="B482" s="55">
        <v>45382</v>
      </c>
      <c r="C482" s="36" t="str">
        <f>UPPER(TEXT(Dados_Cursos[[#This Row],[Data]],"mmm"))</f>
        <v>MAR</v>
      </c>
      <c r="D482" s="52" t="s">
        <v>1967</v>
      </c>
      <c r="E482" s="49" t="str">
        <f>VLOOKUP(Dados_Cursos[[#This Row],[ID]],Apoio!A475:H1475,2,0)</f>
        <v>marta.almeida475@gmail.com</v>
      </c>
      <c r="F482" s="36" t="s">
        <v>591</v>
      </c>
      <c r="G482" s="36" t="s">
        <v>2665</v>
      </c>
      <c r="H482" s="38">
        <v>1500</v>
      </c>
      <c r="I482" s="49">
        <v>19</v>
      </c>
      <c r="J482" s="49" t="str">
        <f>VLOOKUP(Dados_Cursos[[#This Row],[ID]],Apoio!A475:H1475,4,0)</f>
        <v>Cuanza Norte</v>
      </c>
      <c r="K482" s="37" t="s">
        <v>113</v>
      </c>
      <c r="L482" s="37" t="s">
        <v>2649</v>
      </c>
      <c r="M482" s="53"/>
    </row>
    <row r="483" spans="1:13" ht="20.100000000000001" customHeight="1" x14ac:dyDescent="0.25">
      <c r="A483" s="49">
        <v>476</v>
      </c>
      <c r="B483" s="55">
        <v>45302</v>
      </c>
      <c r="C483" s="36" t="str">
        <f>UPPER(TEXT(Dados_Cursos[[#This Row],[Data]],"mmm"))</f>
        <v>JAN</v>
      </c>
      <c r="D483" s="52" t="s">
        <v>1893</v>
      </c>
      <c r="E483" s="49" t="str">
        <f>VLOOKUP(Dados_Cursos[[#This Row],[ID]],Apoio!A476:H1476,2,0)</f>
        <v>paulo.gomes476@gmail.com</v>
      </c>
      <c r="F483" s="36" t="s">
        <v>592</v>
      </c>
      <c r="G483" s="36" t="s">
        <v>2666</v>
      </c>
      <c r="H483" s="38">
        <v>800</v>
      </c>
      <c r="I483" s="49">
        <v>3</v>
      </c>
      <c r="J483" s="49" t="str">
        <f>VLOOKUP(Dados_Cursos[[#This Row],[ID]],Apoio!A476:H1476,4,0)</f>
        <v>Bié</v>
      </c>
      <c r="K483" s="37" t="s">
        <v>113</v>
      </c>
      <c r="L483" s="37" t="s">
        <v>2649</v>
      </c>
      <c r="M483" s="53"/>
    </row>
    <row r="484" spans="1:13" ht="20.100000000000001" customHeight="1" x14ac:dyDescent="0.25">
      <c r="A484" s="49">
        <v>477</v>
      </c>
      <c r="B484" s="55">
        <v>45608</v>
      </c>
      <c r="C484" s="36" t="str">
        <f>UPPER(TEXT(Dados_Cursos[[#This Row],[Data]],"mmm"))</f>
        <v>NOV</v>
      </c>
      <c r="D484" s="52" t="s">
        <v>1311</v>
      </c>
      <c r="E484" s="49" t="str">
        <f>VLOOKUP(Dados_Cursos[[#This Row],[ID]],Apoio!A477:H1477,2,0)</f>
        <v>adriano.martins477@gmail.com</v>
      </c>
      <c r="F484" s="36" t="s">
        <v>593</v>
      </c>
      <c r="G484" s="36" t="s">
        <v>2665</v>
      </c>
      <c r="H484" s="38">
        <v>1500</v>
      </c>
      <c r="I484" s="49">
        <v>3</v>
      </c>
      <c r="J484" s="49" t="str">
        <f>VLOOKUP(Dados_Cursos[[#This Row],[ID]],Apoio!A477:H1477,4,0)</f>
        <v>Lunda Sul</v>
      </c>
      <c r="K484" s="37" t="s">
        <v>113</v>
      </c>
      <c r="L484" s="37" t="s">
        <v>111</v>
      </c>
      <c r="M484" s="53"/>
    </row>
    <row r="485" spans="1:13" ht="20.100000000000001" customHeight="1" x14ac:dyDescent="0.25">
      <c r="A485" s="49">
        <v>478</v>
      </c>
      <c r="B485" s="55">
        <v>45646</v>
      </c>
      <c r="C485" s="36" t="str">
        <f>UPPER(TEXT(Dados_Cursos[[#This Row],[Data]],"mmm"))</f>
        <v>DEZ</v>
      </c>
      <c r="D485" s="52" t="s">
        <v>1378</v>
      </c>
      <c r="E485" s="49" t="str">
        <f>VLOOKUP(Dados_Cursos[[#This Row],[ID]],Apoio!A478:H1478,2,0)</f>
        <v>domingos.silva478@gmail.com</v>
      </c>
      <c r="F485" s="36" t="s">
        <v>594</v>
      </c>
      <c r="G485" s="36" t="s">
        <v>2666</v>
      </c>
      <c r="H485" s="38">
        <v>800</v>
      </c>
      <c r="I485" s="49">
        <v>1</v>
      </c>
      <c r="J485" s="49" t="str">
        <f>VLOOKUP(Dados_Cursos[[#This Row],[ID]],Apoio!A478:H1478,4,0)</f>
        <v>Benguela</v>
      </c>
      <c r="K485" s="37" t="s">
        <v>113</v>
      </c>
      <c r="L485" s="37" t="s">
        <v>2649</v>
      </c>
      <c r="M485" s="53"/>
    </row>
    <row r="486" spans="1:13" ht="20.100000000000001" customHeight="1" x14ac:dyDescent="0.25">
      <c r="A486" s="49">
        <v>479</v>
      </c>
      <c r="B486" s="55">
        <v>45353</v>
      </c>
      <c r="C486" s="36" t="str">
        <f>UPPER(TEXT(Dados_Cursos[[#This Row],[Data]],"mmm"))</f>
        <v>MAR</v>
      </c>
      <c r="D486" s="52" t="s">
        <v>1972</v>
      </c>
      <c r="E486" s="49" t="str">
        <f>VLOOKUP(Dados_Cursos[[#This Row],[ID]],Apoio!A479:H1479,2,0)</f>
        <v>maria.tavares479@gmail.com</v>
      </c>
      <c r="F486" s="36" t="s">
        <v>595</v>
      </c>
      <c r="G486" s="36" t="s">
        <v>2666</v>
      </c>
      <c r="H486" s="38">
        <v>800</v>
      </c>
      <c r="I486" s="49">
        <v>2</v>
      </c>
      <c r="J486" s="49" t="str">
        <f>VLOOKUP(Dados_Cursos[[#This Row],[ID]],Apoio!A479:H1479,4,0)</f>
        <v>Cabinda</v>
      </c>
      <c r="K486" s="37" t="s">
        <v>113</v>
      </c>
      <c r="L486" s="37" t="s">
        <v>110</v>
      </c>
      <c r="M486" s="53"/>
    </row>
    <row r="487" spans="1:13" ht="20.100000000000001" customHeight="1" x14ac:dyDescent="0.25">
      <c r="A487" s="49">
        <v>480</v>
      </c>
      <c r="B487" s="55">
        <v>45493</v>
      </c>
      <c r="C487" s="36" t="str">
        <f>UPPER(TEXT(Dados_Cursos[[#This Row],[Data]],"mmm"))</f>
        <v>JUL</v>
      </c>
      <c r="D487" s="52" t="s">
        <v>1378</v>
      </c>
      <c r="E487" s="49" t="str">
        <f>VLOOKUP(Dados_Cursos[[#This Row],[ID]],Apoio!A480:H1480,2,0)</f>
        <v>domingos.silva480@gmail.com</v>
      </c>
      <c r="F487" s="36" t="s">
        <v>596</v>
      </c>
      <c r="G487" s="36" t="s">
        <v>2665</v>
      </c>
      <c r="H487" s="38">
        <v>1500</v>
      </c>
      <c r="I487" s="49">
        <v>14</v>
      </c>
      <c r="J487" s="49" t="str">
        <f>VLOOKUP(Dados_Cursos[[#This Row],[ID]],Apoio!A480:H1480,4,0)</f>
        <v>Luanda</v>
      </c>
      <c r="K487" s="37" t="s">
        <v>113</v>
      </c>
      <c r="L487" s="37" t="s">
        <v>111</v>
      </c>
      <c r="M487" s="53"/>
    </row>
    <row r="488" spans="1:13" ht="20.100000000000001" customHeight="1" x14ac:dyDescent="0.25">
      <c r="A488" s="49">
        <v>481</v>
      </c>
      <c r="B488" s="55">
        <v>45440</v>
      </c>
      <c r="C488" s="36" t="str">
        <f>UPPER(TEXT(Dados_Cursos[[#This Row],[Data]],"mmm"))</f>
        <v>MAI</v>
      </c>
      <c r="D488" s="52" t="s">
        <v>1448</v>
      </c>
      <c r="E488" s="49" t="str">
        <f>VLOOKUP(Dados_Cursos[[#This Row],[ID]],Apoio!A481:H1481,2,0)</f>
        <v>adriano.lukeba481@gmail.com</v>
      </c>
      <c r="F488" s="36" t="s">
        <v>597</v>
      </c>
      <c r="G488" s="36" t="s">
        <v>2666</v>
      </c>
      <c r="H488" s="38">
        <v>800</v>
      </c>
      <c r="I488" s="49">
        <v>12</v>
      </c>
      <c r="J488" s="49" t="str">
        <f>VLOOKUP(Dados_Cursos[[#This Row],[ID]],Apoio!A481:H1481,4,0)</f>
        <v>Cunene</v>
      </c>
      <c r="K488" s="37" t="s">
        <v>112</v>
      </c>
      <c r="L488" s="37" t="s">
        <v>109</v>
      </c>
      <c r="M488" s="53"/>
    </row>
    <row r="489" spans="1:13" ht="20.100000000000001" customHeight="1" x14ac:dyDescent="0.25">
      <c r="A489" s="49">
        <v>482</v>
      </c>
      <c r="B489" s="55">
        <v>45349</v>
      </c>
      <c r="C489" s="36" t="str">
        <f>UPPER(TEXT(Dados_Cursos[[#This Row],[Data]],"mmm"))</f>
        <v>FEV</v>
      </c>
      <c r="D489" s="52" t="s">
        <v>1864</v>
      </c>
      <c r="E489" s="49" t="str">
        <f>VLOOKUP(Dados_Cursos[[#This Row],[ID]],Apoio!A482:H1482,2,0)</f>
        <v>bruno.santos482@gmail.com</v>
      </c>
      <c r="F489" s="36" t="s">
        <v>598</v>
      </c>
      <c r="G489" s="36" t="s">
        <v>2666</v>
      </c>
      <c r="H489" s="38">
        <v>800</v>
      </c>
      <c r="I489" s="49">
        <v>9</v>
      </c>
      <c r="J489" s="49" t="str">
        <f>VLOOKUP(Dados_Cursos[[#This Row],[ID]],Apoio!A482:H1482,4,0)</f>
        <v>Cuanza Norte</v>
      </c>
      <c r="K489" s="37" t="s">
        <v>112</v>
      </c>
      <c r="L489" s="37" t="s">
        <v>109</v>
      </c>
      <c r="M489" s="53"/>
    </row>
    <row r="490" spans="1:13" ht="20.100000000000001" customHeight="1" x14ac:dyDescent="0.25">
      <c r="A490" s="49">
        <v>483</v>
      </c>
      <c r="B490" s="55">
        <v>45438</v>
      </c>
      <c r="C490" s="36" t="str">
        <f>UPPER(TEXT(Dados_Cursos[[#This Row],[Data]],"mmm"))</f>
        <v>MAI</v>
      </c>
      <c r="D490" s="52" t="s">
        <v>1567</v>
      </c>
      <c r="E490" s="49" t="str">
        <f>VLOOKUP(Dados_Cursos[[#This Row],[ID]],Apoio!A483:H1483,2,0)</f>
        <v>isabel.pereira483@gmail.com</v>
      </c>
      <c r="F490" s="36" t="s">
        <v>599</v>
      </c>
      <c r="G490" s="36" t="s">
        <v>2666</v>
      </c>
      <c r="H490" s="38">
        <v>800</v>
      </c>
      <c r="I490" s="49">
        <v>3</v>
      </c>
      <c r="J490" s="49" t="str">
        <f>VLOOKUP(Dados_Cursos[[#This Row],[ID]],Apoio!A483:H1483,4,0)</f>
        <v>Cuando</v>
      </c>
      <c r="K490" s="37" t="s">
        <v>113</v>
      </c>
      <c r="L490" s="37" t="s">
        <v>110</v>
      </c>
      <c r="M490" s="53"/>
    </row>
    <row r="491" spans="1:13" ht="20.100000000000001" customHeight="1" x14ac:dyDescent="0.25">
      <c r="A491" s="49">
        <v>484</v>
      </c>
      <c r="B491" s="55">
        <v>45582</v>
      </c>
      <c r="C491" s="36" t="str">
        <f>UPPER(TEXT(Dados_Cursos[[#This Row],[Data]],"mmm"))</f>
        <v>OUT</v>
      </c>
      <c r="D491" s="52" t="s">
        <v>1978</v>
      </c>
      <c r="E491" s="49" t="str">
        <f>VLOOKUP(Dados_Cursos[[#This Row],[ID]],Apoio!A484:H1484,2,0)</f>
        <v>sofia.silva484@gmail.com</v>
      </c>
      <c r="F491" s="36" t="s">
        <v>600</v>
      </c>
      <c r="G491" s="36" t="s">
        <v>2665</v>
      </c>
      <c r="H491" s="38">
        <v>1500</v>
      </c>
      <c r="I491" s="49">
        <v>15</v>
      </c>
      <c r="J491" s="49" t="str">
        <f>VLOOKUP(Dados_Cursos[[#This Row],[ID]],Apoio!A484:H1484,4,0)</f>
        <v>Uíge</v>
      </c>
      <c r="K491" s="37" t="s">
        <v>113</v>
      </c>
      <c r="L491" s="37" t="s">
        <v>111</v>
      </c>
      <c r="M491" s="53"/>
    </row>
    <row r="492" spans="1:13" ht="20.100000000000001" customHeight="1" x14ac:dyDescent="0.25">
      <c r="A492" s="49">
        <v>485</v>
      </c>
      <c r="B492" s="55">
        <v>45527</v>
      </c>
      <c r="C492" s="36" t="str">
        <f>UPPER(TEXT(Dados_Cursos[[#This Row],[Data]],"mmm"))</f>
        <v>AGO</v>
      </c>
      <c r="D492" s="52" t="s">
        <v>1980</v>
      </c>
      <c r="E492" s="49" t="str">
        <f>VLOOKUP(Dados_Cursos[[#This Row],[ID]],Apoio!A485:H1485,2,0)</f>
        <v>rosa.rodrigues485@gmail.com</v>
      </c>
      <c r="F492" s="36" t="s">
        <v>601</v>
      </c>
      <c r="G492" s="36" t="s">
        <v>2666</v>
      </c>
      <c r="H492" s="38">
        <v>1200</v>
      </c>
      <c r="I492" s="49">
        <v>17</v>
      </c>
      <c r="J492" s="49" t="str">
        <f>VLOOKUP(Dados_Cursos[[#This Row],[ID]],Apoio!A485:H1485,4,0)</f>
        <v>Zaire</v>
      </c>
      <c r="K492" s="37" t="s">
        <v>113</v>
      </c>
      <c r="L492" s="37" t="s">
        <v>110</v>
      </c>
      <c r="M492" s="53"/>
    </row>
    <row r="493" spans="1:13" ht="20.100000000000001" customHeight="1" x14ac:dyDescent="0.25">
      <c r="A493" s="49">
        <v>486</v>
      </c>
      <c r="B493" s="55">
        <v>45381</v>
      </c>
      <c r="C493" s="36" t="str">
        <f>UPPER(TEXT(Dados_Cursos[[#This Row],[Data]],"mmm"))</f>
        <v>MAR</v>
      </c>
      <c r="D493" s="52" t="s">
        <v>1657</v>
      </c>
      <c r="E493" s="49" t="str">
        <f>VLOOKUP(Dados_Cursos[[#This Row],[ID]],Apoio!A486:H1486,2,0)</f>
        <v>nelson.lukeba486@gmail.com</v>
      </c>
      <c r="F493" s="36" t="s">
        <v>602</v>
      </c>
      <c r="G493" s="36" t="s">
        <v>2666</v>
      </c>
      <c r="H493" s="38">
        <v>1200</v>
      </c>
      <c r="I493" s="49">
        <v>7</v>
      </c>
      <c r="J493" s="49" t="str">
        <f>VLOOKUP(Dados_Cursos[[#This Row],[ID]],Apoio!A486:H1486,4,0)</f>
        <v>Bié</v>
      </c>
      <c r="K493" s="37" t="s">
        <v>113</v>
      </c>
      <c r="L493" s="37" t="s">
        <v>2649</v>
      </c>
      <c r="M493" s="53"/>
    </row>
    <row r="494" spans="1:13" ht="20.100000000000001" customHeight="1" x14ac:dyDescent="0.25">
      <c r="A494" s="49">
        <v>487</v>
      </c>
      <c r="B494" s="55">
        <v>45582</v>
      </c>
      <c r="C494" s="36" t="str">
        <f>UPPER(TEXT(Dados_Cursos[[#This Row],[Data]],"mmm"))</f>
        <v>OUT</v>
      </c>
      <c r="D494" s="52" t="s">
        <v>1685</v>
      </c>
      <c r="E494" s="49" t="str">
        <f>VLOOKUP(Dados_Cursos[[#This Row],[ID]],Apoio!A487:H1487,2,0)</f>
        <v>daniel.tavares487@gmail.com</v>
      </c>
      <c r="F494" s="36" t="s">
        <v>603</v>
      </c>
      <c r="G494" s="36" t="s">
        <v>2665</v>
      </c>
      <c r="H494" s="38">
        <v>1500</v>
      </c>
      <c r="I494" s="49">
        <v>11</v>
      </c>
      <c r="J494" s="49" t="str">
        <f>VLOOKUP(Dados_Cursos[[#This Row],[ID]],Apoio!A487:H1487,4,0)</f>
        <v>Moxico</v>
      </c>
      <c r="K494" s="37" t="s">
        <v>113</v>
      </c>
      <c r="L494" s="37" t="s">
        <v>111</v>
      </c>
      <c r="M494" s="53"/>
    </row>
    <row r="495" spans="1:13" ht="20.100000000000001" customHeight="1" x14ac:dyDescent="0.25">
      <c r="A495" s="49">
        <v>488</v>
      </c>
      <c r="B495" s="55">
        <v>45451</v>
      </c>
      <c r="C495" s="36" t="str">
        <f>UPPER(TEXT(Dados_Cursos[[#This Row],[Data]],"mmm"))</f>
        <v>JUN</v>
      </c>
      <c r="D495" s="52" t="s">
        <v>1321</v>
      </c>
      <c r="E495" s="49" t="str">
        <f>VLOOKUP(Dados_Cursos[[#This Row],[ID]],Apoio!A488:H1488,2,0)</f>
        <v>bruno.pinto488@gmail.com</v>
      </c>
      <c r="F495" s="36" t="s">
        <v>604</v>
      </c>
      <c r="G495" s="36" t="s">
        <v>2666</v>
      </c>
      <c r="H495" s="38">
        <v>800</v>
      </c>
      <c r="I495" s="49">
        <v>15</v>
      </c>
      <c r="J495" s="49" t="str">
        <f>VLOOKUP(Dados_Cursos[[#This Row],[ID]],Apoio!A488:H1488,4,0)</f>
        <v>Cubango</v>
      </c>
      <c r="K495" s="37" t="s">
        <v>112</v>
      </c>
      <c r="L495" s="37" t="s">
        <v>109</v>
      </c>
      <c r="M495" s="53"/>
    </row>
    <row r="496" spans="1:13" ht="20.100000000000001" customHeight="1" x14ac:dyDescent="0.25">
      <c r="A496" s="49">
        <v>489</v>
      </c>
      <c r="B496" s="55">
        <v>45424</v>
      </c>
      <c r="C496" s="36" t="str">
        <f>UPPER(TEXT(Dados_Cursos[[#This Row],[Data]],"mmm"))</f>
        <v>MAI</v>
      </c>
      <c r="D496" s="52" t="s">
        <v>1940</v>
      </c>
      <c r="E496" s="49" t="str">
        <f>VLOOKUP(Dados_Cursos[[#This Row],[ID]],Apoio!A489:H1489,2,0)</f>
        <v>mateus.david489@gmail.com</v>
      </c>
      <c r="F496" s="36" t="s">
        <v>605</v>
      </c>
      <c r="G496" s="36" t="s">
        <v>2666</v>
      </c>
      <c r="H496" s="38">
        <v>800</v>
      </c>
      <c r="I496" s="49">
        <v>13</v>
      </c>
      <c r="J496" s="49" t="str">
        <f>VLOOKUP(Dados_Cursos[[#This Row],[ID]],Apoio!A489:H1489,4,0)</f>
        <v>Lunda Norte</v>
      </c>
      <c r="K496" s="37" t="s">
        <v>112</v>
      </c>
      <c r="L496" s="37" t="s">
        <v>109</v>
      </c>
      <c r="M496" s="53"/>
    </row>
    <row r="497" spans="1:13" ht="20.100000000000001" customHeight="1" x14ac:dyDescent="0.25">
      <c r="A497" s="49">
        <v>490</v>
      </c>
      <c r="B497" s="55">
        <v>45569</v>
      </c>
      <c r="C497" s="36" t="str">
        <f>UPPER(TEXT(Dados_Cursos[[#This Row],[Data]],"mmm"))</f>
        <v>OUT</v>
      </c>
      <c r="D497" s="52" t="s">
        <v>1986</v>
      </c>
      <c r="E497" s="49" t="str">
        <f>VLOOKUP(Dados_Cursos[[#This Row],[ID]],Apoio!A490:H1490,2,0)</f>
        <v>paulo.silva490@gmail.com</v>
      </c>
      <c r="F497" s="36" t="s">
        <v>606</v>
      </c>
      <c r="G497" s="36" t="s">
        <v>2666</v>
      </c>
      <c r="H497" s="38">
        <v>800</v>
      </c>
      <c r="I497" s="49">
        <v>7</v>
      </c>
      <c r="J497" s="49" t="str">
        <f>VLOOKUP(Dados_Cursos[[#This Row],[ID]],Apoio!A490:H1490,4,0)</f>
        <v>Malanje</v>
      </c>
      <c r="K497" s="37" t="s">
        <v>113</v>
      </c>
      <c r="L497" s="37" t="s">
        <v>111</v>
      </c>
      <c r="M497" s="53"/>
    </row>
    <row r="498" spans="1:13" ht="20.100000000000001" customHeight="1" x14ac:dyDescent="0.25">
      <c r="A498" s="49">
        <v>491</v>
      </c>
      <c r="B498" s="55">
        <v>45571</v>
      </c>
      <c r="C498" s="36" t="str">
        <f>UPPER(TEXT(Dados_Cursos[[#This Row],[Data]],"mmm"))</f>
        <v>OUT</v>
      </c>
      <c r="D498" s="52" t="s">
        <v>1988</v>
      </c>
      <c r="E498" s="49" t="str">
        <f>VLOOKUP(Dados_Cursos[[#This Row],[ID]],Apoio!A491:H1491,2,0)</f>
        <v>isabel.almeida491@gmail.com</v>
      </c>
      <c r="F498" s="36" t="s">
        <v>607</v>
      </c>
      <c r="G498" s="36" t="s">
        <v>2665</v>
      </c>
      <c r="H498" s="38">
        <v>1500</v>
      </c>
      <c r="I498" s="49">
        <v>8</v>
      </c>
      <c r="J498" s="49" t="str">
        <f>VLOOKUP(Dados_Cursos[[#This Row],[ID]],Apoio!A491:H1491,4,0)</f>
        <v>Bié</v>
      </c>
      <c r="K498" s="37" t="s">
        <v>113</v>
      </c>
      <c r="L498" s="37" t="s">
        <v>110</v>
      </c>
      <c r="M498" s="53"/>
    </row>
    <row r="499" spans="1:13" ht="20.100000000000001" customHeight="1" x14ac:dyDescent="0.25">
      <c r="A499" s="49">
        <v>492</v>
      </c>
      <c r="B499" s="55">
        <v>45597</v>
      </c>
      <c r="C499" s="36" t="str">
        <f>UPPER(TEXT(Dados_Cursos[[#This Row],[Data]],"mmm"))</f>
        <v>NOV</v>
      </c>
      <c r="D499" s="52" t="s">
        <v>1512</v>
      </c>
      <c r="E499" s="49" t="str">
        <f>VLOOKUP(Dados_Cursos[[#This Row],[ID]],Apoio!A492:H1492,2,0)</f>
        <v>joão.pinto492@gmail.com</v>
      </c>
      <c r="F499" s="36" t="s">
        <v>608</v>
      </c>
      <c r="G499" s="36" t="s">
        <v>2666</v>
      </c>
      <c r="H499" s="38">
        <v>1200</v>
      </c>
      <c r="I499" s="49">
        <v>19</v>
      </c>
      <c r="J499" s="49" t="str">
        <f>VLOOKUP(Dados_Cursos[[#This Row],[ID]],Apoio!A492:H1492,4,0)</f>
        <v>Cunene</v>
      </c>
      <c r="K499" s="37" t="s">
        <v>113</v>
      </c>
      <c r="L499" s="37" t="s">
        <v>110</v>
      </c>
      <c r="M499" s="53"/>
    </row>
    <row r="500" spans="1:13" ht="20.100000000000001" customHeight="1" x14ac:dyDescent="0.25">
      <c r="A500" s="49">
        <v>493</v>
      </c>
      <c r="B500" s="55">
        <v>45293</v>
      </c>
      <c r="C500" s="36" t="str">
        <f>UPPER(TEXT(Dados_Cursos[[#This Row],[Data]],"mmm"))</f>
        <v>JAN</v>
      </c>
      <c r="D500" s="52" t="s">
        <v>1258</v>
      </c>
      <c r="E500" s="49" t="str">
        <f>VLOOKUP(Dados_Cursos[[#This Row],[ID]],Apoio!A493:H1493,2,0)</f>
        <v>pedro.pereira493@gmail.com</v>
      </c>
      <c r="F500" s="36" t="s">
        <v>609</v>
      </c>
      <c r="G500" s="36" t="s">
        <v>2665</v>
      </c>
      <c r="H500" s="38">
        <v>1500</v>
      </c>
      <c r="I500" s="49">
        <v>8</v>
      </c>
      <c r="J500" s="49" t="str">
        <f>VLOOKUP(Dados_Cursos[[#This Row],[ID]],Apoio!A493:H1493,4,0)</f>
        <v>Moxico</v>
      </c>
      <c r="K500" s="37" t="s">
        <v>112</v>
      </c>
      <c r="L500" s="37" t="s">
        <v>109</v>
      </c>
      <c r="M500" s="53"/>
    </row>
    <row r="501" spans="1:13" ht="20.100000000000001" customHeight="1" x14ac:dyDescent="0.25">
      <c r="A501" s="49">
        <v>494</v>
      </c>
      <c r="B501" s="55">
        <v>45348</v>
      </c>
      <c r="C501" s="36" t="str">
        <f>UPPER(TEXT(Dados_Cursos[[#This Row],[Data]],"mmm"))</f>
        <v>FEV</v>
      </c>
      <c r="D501" s="52" t="s">
        <v>1992</v>
      </c>
      <c r="E501" s="49" t="str">
        <f>VLOOKUP(Dados_Cursos[[#This Row],[ID]],Apoio!A494:H1494,2,0)</f>
        <v>luís.santos494@gmail.com</v>
      </c>
      <c r="F501" s="36" t="s">
        <v>610</v>
      </c>
      <c r="G501" s="36" t="s">
        <v>2665</v>
      </c>
      <c r="H501" s="38">
        <v>1500</v>
      </c>
      <c r="I501" s="49">
        <v>7</v>
      </c>
      <c r="J501" s="49" t="str">
        <f>VLOOKUP(Dados_Cursos[[#This Row],[ID]],Apoio!A494:H1494,4,0)</f>
        <v>Namibe</v>
      </c>
      <c r="K501" s="37" t="s">
        <v>112</v>
      </c>
      <c r="L501" s="37" t="s">
        <v>109</v>
      </c>
      <c r="M501" s="53"/>
    </row>
    <row r="502" spans="1:13" ht="20.100000000000001" customHeight="1" x14ac:dyDescent="0.25">
      <c r="A502" s="49">
        <v>495</v>
      </c>
      <c r="B502" s="55">
        <v>45589</v>
      </c>
      <c r="C502" s="36" t="str">
        <f>UPPER(TEXT(Dados_Cursos[[#This Row],[Data]],"mmm"))</f>
        <v>OUT</v>
      </c>
      <c r="D502" s="52" t="s">
        <v>1994</v>
      </c>
      <c r="E502" s="49" t="str">
        <f>VLOOKUP(Dados_Cursos[[#This Row],[ID]],Apoio!A495:H1495,2,0)</f>
        <v>benedito.silva495@gmail.com</v>
      </c>
      <c r="F502" s="36" t="s">
        <v>611</v>
      </c>
      <c r="G502" s="36" t="s">
        <v>2666</v>
      </c>
      <c r="H502" s="38">
        <v>1200</v>
      </c>
      <c r="I502" s="49">
        <v>16</v>
      </c>
      <c r="J502" s="49" t="str">
        <f>VLOOKUP(Dados_Cursos[[#This Row],[ID]],Apoio!A495:H1495,4,0)</f>
        <v>Lunda Sul</v>
      </c>
      <c r="K502" s="37" t="s">
        <v>112</v>
      </c>
      <c r="L502" s="37" t="s">
        <v>109</v>
      </c>
      <c r="M502" s="53"/>
    </row>
    <row r="503" spans="1:13" ht="20.100000000000001" customHeight="1" x14ac:dyDescent="0.25">
      <c r="A503" s="49">
        <v>496</v>
      </c>
      <c r="B503" s="55">
        <v>45455</v>
      </c>
      <c r="C503" s="36" t="str">
        <f>UPPER(TEXT(Dados_Cursos[[#This Row],[Data]],"mmm"))</f>
        <v>JUN</v>
      </c>
      <c r="D503" s="52" t="s">
        <v>1358</v>
      </c>
      <c r="E503" s="49" t="str">
        <f>VLOOKUP(Dados_Cursos[[#This Row],[ID]],Apoio!A496:H1496,2,0)</f>
        <v>joão.lopes496@gmail.com</v>
      </c>
      <c r="F503" s="36" t="s">
        <v>612</v>
      </c>
      <c r="G503" s="36" t="s">
        <v>2666</v>
      </c>
      <c r="H503" s="38">
        <v>1200</v>
      </c>
      <c r="I503" s="49">
        <v>18</v>
      </c>
      <c r="J503" s="49" t="str">
        <f>VLOOKUP(Dados_Cursos[[#This Row],[ID]],Apoio!A496:H1496,4,0)</f>
        <v>Moxico</v>
      </c>
      <c r="K503" s="37" t="s">
        <v>113</v>
      </c>
      <c r="L503" s="37" t="s">
        <v>110</v>
      </c>
      <c r="M503" s="53"/>
    </row>
    <row r="504" spans="1:13" ht="20.100000000000001" customHeight="1" x14ac:dyDescent="0.25">
      <c r="A504" s="49">
        <v>497</v>
      </c>
      <c r="B504" s="55">
        <v>45545</v>
      </c>
      <c r="C504" s="36" t="str">
        <f>UPPER(TEXT(Dados_Cursos[[#This Row],[Data]],"mmm"))</f>
        <v>SET</v>
      </c>
      <c r="D504" s="52" t="s">
        <v>1861</v>
      </c>
      <c r="E504" s="49" t="str">
        <f>VLOOKUP(Dados_Cursos[[#This Row],[ID]],Apoio!A497:H1497,2,0)</f>
        <v>paulo.andrade497@gmail.com</v>
      </c>
      <c r="F504" s="36" t="s">
        <v>613</v>
      </c>
      <c r="G504" s="36" t="s">
        <v>2666</v>
      </c>
      <c r="H504" s="38">
        <v>800</v>
      </c>
      <c r="I504" s="49">
        <v>13</v>
      </c>
      <c r="J504" s="49" t="str">
        <f>VLOOKUP(Dados_Cursos[[#This Row],[ID]],Apoio!A497:H1497,4,0)</f>
        <v>Huambo</v>
      </c>
      <c r="K504" s="37" t="s">
        <v>113</v>
      </c>
      <c r="L504" s="37" t="s">
        <v>111</v>
      </c>
      <c r="M504" s="53"/>
    </row>
    <row r="505" spans="1:13" ht="20.100000000000001" customHeight="1" x14ac:dyDescent="0.25">
      <c r="A505" s="49">
        <v>498</v>
      </c>
      <c r="B505" s="55">
        <v>45448</v>
      </c>
      <c r="C505" s="36" t="str">
        <f>UPPER(TEXT(Dados_Cursos[[#This Row],[Data]],"mmm"))</f>
        <v>JUN</v>
      </c>
      <c r="D505" s="52" t="s">
        <v>1998</v>
      </c>
      <c r="E505" s="49" t="str">
        <f>VLOOKUP(Dados_Cursos[[#This Row],[ID]],Apoio!A498:H1498,2,0)</f>
        <v>antónio.domingues498@gmail.com</v>
      </c>
      <c r="F505" s="36" t="s">
        <v>614</v>
      </c>
      <c r="G505" s="36" t="s">
        <v>2666</v>
      </c>
      <c r="H505" s="38">
        <v>800</v>
      </c>
      <c r="I505" s="49">
        <v>13</v>
      </c>
      <c r="J505" s="49" t="str">
        <f>VLOOKUP(Dados_Cursos[[#This Row],[ID]],Apoio!A498:H1498,4,0)</f>
        <v>Namibe</v>
      </c>
      <c r="K505" s="37" t="s">
        <v>112</v>
      </c>
      <c r="L505" s="37" t="s">
        <v>109</v>
      </c>
      <c r="M505" s="53"/>
    </row>
    <row r="506" spans="1:13" ht="20.100000000000001" customHeight="1" x14ac:dyDescent="0.25">
      <c r="A506" s="49">
        <v>499</v>
      </c>
      <c r="B506" s="55">
        <v>45336</v>
      </c>
      <c r="C506" s="36" t="str">
        <f>UPPER(TEXT(Dados_Cursos[[#This Row],[Data]],"mmm"))</f>
        <v>FEV</v>
      </c>
      <c r="D506" s="52" t="s">
        <v>1717</v>
      </c>
      <c r="E506" s="49" t="str">
        <f>VLOOKUP(Dados_Cursos[[#This Row],[ID]],Apoio!A499:H1499,2,0)</f>
        <v>domingos.monteiro499@gmail.com</v>
      </c>
      <c r="F506" s="36" t="s">
        <v>615</v>
      </c>
      <c r="G506" s="36" t="s">
        <v>2666</v>
      </c>
      <c r="H506" s="38">
        <v>1200</v>
      </c>
      <c r="I506" s="49">
        <v>7</v>
      </c>
      <c r="J506" s="49" t="str">
        <f>VLOOKUP(Dados_Cursos[[#This Row],[ID]],Apoio!A499:H1499,4,0)</f>
        <v>Namibe</v>
      </c>
      <c r="K506" s="37" t="s">
        <v>113</v>
      </c>
      <c r="L506" s="37" t="s">
        <v>110</v>
      </c>
      <c r="M506" s="53"/>
    </row>
    <row r="507" spans="1:13" ht="20.100000000000001" customHeight="1" x14ac:dyDescent="0.25">
      <c r="A507" s="49">
        <v>500</v>
      </c>
      <c r="B507" s="55">
        <v>45528</v>
      </c>
      <c r="C507" s="36" t="str">
        <f>UPPER(TEXT(Dados_Cursos[[#This Row],[Data]],"mmm"))</f>
        <v>AGO</v>
      </c>
      <c r="D507" s="52" t="s">
        <v>2001</v>
      </c>
      <c r="E507" s="49" t="str">
        <f>VLOOKUP(Dados_Cursos[[#This Row],[ID]],Apoio!A500:H1500,2,0)</f>
        <v>rui.martins500@gmail.com</v>
      </c>
      <c r="F507" s="36" t="s">
        <v>616</v>
      </c>
      <c r="G507" s="36" t="s">
        <v>2665</v>
      </c>
      <c r="H507" s="38">
        <v>1500</v>
      </c>
      <c r="I507" s="49">
        <v>2</v>
      </c>
      <c r="J507" s="49" t="str">
        <f>VLOOKUP(Dados_Cursos[[#This Row],[ID]],Apoio!A500:H1500,4,0)</f>
        <v>Huíla</v>
      </c>
      <c r="K507" s="37" t="s">
        <v>113</v>
      </c>
      <c r="L507" s="37" t="s">
        <v>110</v>
      </c>
      <c r="M507" s="53"/>
    </row>
    <row r="508" spans="1:13" ht="20.100000000000001" customHeight="1" x14ac:dyDescent="0.25">
      <c r="A508" s="49">
        <v>501</v>
      </c>
      <c r="B508" s="55">
        <v>45322</v>
      </c>
      <c r="C508" s="36" t="str">
        <f>UPPER(TEXT(Dados_Cursos[[#This Row],[Data]],"mmm"))</f>
        <v>JAN</v>
      </c>
      <c r="D508" s="52" t="s">
        <v>2003</v>
      </c>
      <c r="E508" s="49" t="str">
        <f>VLOOKUP(Dados_Cursos[[#This Row],[ID]],Apoio!A501:H1501,2,0)</f>
        <v>samuel.fernandes501@gmail.com</v>
      </c>
      <c r="F508" s="36" t="s">
        <v>617</v>
      </c>
      <c r="G508" s="36" t="s">
        <v>2665</v>
      </c>
      <c r="H508" s="38">
        <v>1500</v>
      </c>
      <c r="I508" s="49">
        <v>13</v>
      </c>
      <c r="J508" s="49" t="str">
        <f>VLOOKUP(Dados_Cursos[[#This Row],[ID]],Apoio!A501:H1501,4,0)</f>
        <v>Namibe</v>
      </c>
      <c r="K508" s="37" t="s">
        <v>113</v>
      </c>
      <c r="L508" s="37" t="s">
        <v>2649</v>
      </c>
      <c r="M508" s="53"/>
    </row>
    <row r="509" spans="1:13" ht="20.100000000000001" customHeight="1" x14ac:dyDescent="0.25">
      <c r="A509" s="49">
        <v>502</v>
      </c>
      <c r="B509" s="55">
        <v>45378</v>
      </c>
      <c r="C509" s="36" t="str">
        <f>UPPER(TEXT(Dados_Cursos[[#This Row],[Data]],"mmm"))</f>
        <v>MAR</v>
      </c>
      <c r="D509" s="52" t="s">
        <v>2005</v>
      </c>
      <c r="E509" s="49" t="str">
        <f>VLOOKUP(Dados_Cursos[[#This Row],[ID]],Apoio!A502:H1502,2,0)</f>
        <v>rui.andrade502@gmail.com</v>
      </c>
      <c r="F509" s="36" t="s">
        <v>618</v>
      </c>
      <c r="G509" s="36" t="s">
        <v>2666</v>
      </c>
      <c r="H509" s="38">
        <v>1200</v>
      </c>
      <c r="I509" s="49">
        <v>13</v>
      </c>
      <c r="J509" s="49" t="str">
        <f>VLOOKUP(Dados_Cursos[[#This Row],[ID]],Apoio!A502:H1502,4,0)</f>
        <v>Cuanza Norte</v>
      </c>
      <c r="K509" s="37" t="s">
        <v>113</v>
      </c>
      <c r="L509" s="37" t="s">
        <v>2649</v>
      </c>
      <c r="M509" s="53"/>
    </row>
    <row r="510" spans="1:13" ht="20.100000000000001" customHeight="1" x14ac:dyDescent="0.25">
      <c r="A510" s="49">
        <v>503</v>
      </c>
      <c r="B510" s="55">
        <v>45417</v>
      </c>
      <c r="C510" s="36" t="str">
        <f>UPPER(TEXT(Dados_Cursos[[#This Row],[Data]],"mmm"))</f>
        <v>MAI</v>
      </c>
      <c r="D510" s="52" t="s">
        <v>1363</v>
      </c>
      <c r="E510" s="49" t="str">
        <f>VLOOKUP(Dados_Cursos[[#This Row],[ID]],Apoio!A503:H1503,2,0)</f>
        <v>helena.andrade503@gmail.com</v>
      </c>
      <c r="F510" s="36" t="s">
        <v>619</v>
      </c>
      <c r="G510" s="36" t="s">
        <v>2666</v>
      </c>
      <c r="H510" s="38">
        <v>800</v>
      </c>
      <c r="I510" s="49">
        <v>20</v>
      </c>
      <c r="J510" s="49" t="str">
        <f>VLOOKUP(Dados_Cursos[[#This Row],[ID]],Apoio!A503:H1503,4,0)</f>
        <v>Cuanza Sul</v>
      </c>
      <c r="K510" s="37" t="s">
        <v>113</v>
      </c>
      <c r="L510" s="37" t="s">
        <v>2649</v>
      </c>
      <c r="M510" s="53"/>
    </row>
    <row r="511" spans="1:13" ht="20.100000000000001" customHeight="1" x14ac:dyDescent="0.25">
      <c r="A511" s="49">
        <v>504</v>
      </c>
      <c r="B511" s="55">
        <v>45496</v>
      </c>
      <c r="C511" s="36" t="str">
        <f>UPPER(TEXT(Dados_Cursos[[#This Row],[Data]],"mmm"))</f>
        <v>JUL</v>
      </c>
      <c r="D511" s="52" t="s">
        <v>2008</v>
      </c>
      <c r="E511" s="49" t="str">
        <f>VLOOKUP(Dados_Cursos[[#This Row],[ID]],Apoio!A504:H1504,2,0)</f>
        <v>david.almeida504@gmail.com</v>
      </c>
      <c r="F511" s="36" t="s">
        <v>620</v>
      </c>
      <c r="G511" s="36" t="s">
        <v>2665</v>
      </c>
      <c r="H511" s="38">
        <v>1500</v>
      </c>
      <c r="I511" s="49">
        <v>10</v>
      </c>
      <c r="J511" s="49" t="str">
        <f>VLOOKUP(Dados_Cursos[[#This Row],[ID]],Apoio!A504:H1504,4,0)</f>
        <v>Moxico Leste</v>
      </c>
      <c r="K511" s="37" t="s">
        <v>113</v>
      </c>
      <c r="L511" s="37" t="s">
        <v>111</v>
      </c>
      <c r="M511" s="53"/>
    </row>
    <row r="512" spans="1:13" ht="20.100000000000001" customHeight="1" x14ac:dyDescent="0.25">
      <c r="A512" s="49">
        <v>505</v>
      </c>
      <c r="B512" s="55">
        <v>45469</v>
      </c>
      <c r="C512" s="36" t="str">
        <f>UPPER(TEXT(Dados_Cursos[[#This Row],[Data]],"mmm"))</f>
        <v>JUN</v>
      </c>
      <c r="D512" s="52" t="s">
        <v>1845</v>
      </c>
      <c r="E512" s="49" t="str">
        <f>VLOOKUP(Dados_Cursos[[#This Row],[ID]],Apoio!A505:H1505,2,0)</f>
        <v>carlos.costa505@gmail.com</v>
      </c>
      <c r="F512" s="36" t="s">
        <v>621</v>
      </c>
      <c r="G512" s="36" t="s">
        <v>2665</v>
      </c>
      <c r="H512" s="38">
        <v>1500</v>
      </c>
      <c r="I512" s="49">
        <v>7</v>
      </c>
      <c r="J512" s="49" t="str">
        <f>VLOOKUP(Dados_Cursos[[#This Row],[ID]],Apoio!A505:H1505,4,0)</f>
        <v>Huambo</v>
      </c>
      <c r="K512" s="37" t="s">
        <v>112</v>
      </c>
      <c r="L512" s="37" t="s">
        <v>109</v>
      </c>
      <c r="M512" s="53"/>
    </row>
    <row r="513" spans="1:13" ht="20.100000000000001" customHeight="1" x14ac:dyDescent="0.25">
      <c r="A513" s="49">
        <v>506</v>
      </c>
      <c r="B513" s="55">
        <v>45511</v>
      </c>
      <c r="C513" s="36" t="str">
        <f>UPPER(TEXT(Dados_Cursos[[#This Row],[Data]],"mmm"))</f>
        <v>AGO</v>
      </c>
      <c r="D513" s="52" t="s">
        <v>1980</v>
      </c>
      <c r="E513" s="49" t="str">
        <f>VLOOKUP(Dados_Cursos[[#This Row],[ID]],Apoio!A506:H1506,2,0)</f>
        <v>rosa.rodrigues506@gmail.com</v>
      </c>
      <c r="F513" s="36" t="s">
        <v>622</v>
      </c>
      <c r="G513" s="36" t="s">
        <v>2666</v>
      </c>
      <c r="H513" s="38">
        <v>1200</v>
      </c>
      <c r="I513" s="49">
        <v>8</v>
      </c>
      <c r="J513" s="49" t="str">
        <f>VLOOKUP(Dados_Cursos[[#This Row],[ID]],Apoio!A506:H1506,4,0)</f>
        <v>Moxico</v>
      </c>
      <c r="K513" s="37" t="s">
        <v>113</v>
      </c>
      <c r="L513" s="37" t="s">
        <v>111</v>
      </c>
      <c r="M513" s="53"/>
    </row>
    <row r="514" spans="1:13" ht="20.100000000000001" customHeight="1" x14ac:dyDescent="0.25">
      <c r="A514" s="49">
        <v>507</v>
      </c>
      <c r="B514" s="55">
        <v>45319</v>
      </c>
      <c r="C514" s="36" t="str">
        <f>UPPER(TEXT(Dados_Cursos[[#This Row],[Data]],"mmm"))</f>
        <v>JAN</v>
      </c>
      <c r="D514" s="52" t="s">
        <v>1208</v>
      </c>
      <c r="E514" s="49" t="str">
        <f>VLOOKUP(Dados_Cursos[[#This Row],[ID]],Apoio!A507:H1507,2,0)</f>
        <v>pedro.lukeba507@gmail.com</v>
      </c>
      <c r="F514" s="36" t="s">
        <v>623</v>
      </c>
      <c r="G514" s="36" t="s">
        <v>2666</v>
      </c>
      <c r="H514" s="38">
        <v>1200</v>
      </c>
      <c r="I514" s="49">
        <v>16</v>
      </c>
      <c r="J514" s="49" t="str">
        <f>VLOOKUP(Dados_Cursos[[#This Row],[ID]],Apoio!A507:H1507,4,0)</f>
        <v>Bié</v>
      </c>
      <c r="K514" s="37" t="s">
        <v>112</v>
      </c>
      <c r="L514" s="37" t="s">
        <v>109</v>
      </c>
      <c r="M514" s="53"/>
    </row>
    <row r="515" spans="1:13" ht="20.100000000000001" customHeight="1" x14ac:dyDescent="0.25">
      <c r="A515" s="49">
        <v>508</v>
      </c>
      <c r="B515" s="55">
        <v>45299</v>
      </c>
      <c r="C515" s="36" t="str">
        <f>UPPER(TEXT(Dados_Cursos[[#This Row],[Data]],"mmm"))</f>
        <v>JAN</v>
      </c>
      <c r="D515" s="52" t="s">
        <v>1496</v>
      </c>
      <c r="E515" s="49" t="str">
        <f>VLOOKUP(Dados_Cursos[[#This Row],[ID]],Apoio!A508:H1508,2,0)</f>
        <v>pedro.andrade508@gmail.com</v>
      </c>
      <c r="F515" s="36" t="s">
        <v>624</v>
      </c>
      <c r="G515" s="36" t="s">
        <v>2665</v>
      </c>
      <c r="H515" s="38">
        <v>1500</v>
      </c>
      <c r="I515" s="49">
        <v>4</v>
      </c>
      <c r="J515" s="49" t="str">
        <f>VLOOKUP(Dados_Cursos[[#This Row],[ID]],Apoio!A508:H1508,4,0)</f>
        <v>Uíge</v>
      </c>
      <c r="K515" s="37" t="s">
        <v>113</v>
      </c>
      <c r="L515" s="37" t="s">
        <v>2649</v>
      </c>
      <c r="M515" s="53"/>
    </row>
    <row r="516" spans="1:13" ht="20.100000000000001" customHeight="1" x14ac:dyDescent="0.25">
      <c r="A516" s="49">
        <v>509</v>
      </c>
      <c r="B516" s="55">
        <v>45543</v>
      </c>
      <c r="C516" s="36" t="str">
        <f>UPPER(TEXT(Dados_Cursos[[#This Row],[Data]],"mmm"))</f>
        <v>SET</v>
      </c>
      <c r="D516" s="52" t="s">
        <v>2014</v>
      </c>
      <c r="E516" s="49" t="str">
        <f>VLOOKUP(Dados_Cursos[[#This Row],[ID]],Apoio!A509:H1509,2,0)</f>
        <v>ana.miguel509@gmail.com</v>
      </c>
      <c r="F516" s="36" t="s">
        <v>625</v>
      </c>
      <c r="G516" s="36" t="s">
        <v>2666</v>
      </c>
      <c r="H516" s="38">
        <v>800</v>
      </c>
      <c r="I516" s="49">
        <v>6</v>
      </c>
      <c r="J516" s="49" t="str">
        <f>VLOOKUP(Dados_Cursos[[#This Row],[ID]],Apoio!A509:H1509,4,0)</f>
        <v>Cubango</v>
      </c>
      <c r="K516" s="37" t="s">
        <v>113</v>
      </c>
      <c r="L516" s="37" t="s">
        <v>111</v>
      </c>
      <c r="M516" s="53"/>
    </row>
    <row r="517" spans="1:13" ht="20.100000000000001" customHeight="1" x14ac:dyDescent="0.25">
      <c r="A517" s="49">
        <v>510</v>
      </c>
      <c r="B517" s="55">
        <v>45510</v>
      </c>
      <c r="C517" s="36" t="str">
        <f>UPPER(TEXT(Dados_Cursos[[#This Row],[Data]],"mmm"))</f>
        <v>AGO</v>
      </c>
      <c r="D517" s="52" t="s">
        <v>1172</v>
      </c>
      <c r="E517" s="49" t="str">
        <f>VLOOKUP(Dados_Cursos[[#This Row],[ID]],Apoio!A510:H1510,2,0)</f>
        <v>marta.miguel510@gmail.com</v>
      </c>
      <c r="F517" s="36" t="s">
        <v>626</v>
      </c>
      <c r="G517" s="36" t="s">
        <v>2665</v>
      </c>
      <c r="H517" s="38">
        <v>1500</v>
      </c>
      <c r="I517" s="49">
        <v>11</v>
      </c>
      <c r="J517" s="49" t="str">
        <f>VLOOKUP(Dados_Cursos[[#This Row],[ID]],Apoio!A510:H1510,4,0)</f>
        <v>Huambo</v>
      </c>
      <c r="K517" s="37" t="s">
        <v>112</v>
      </c>
      <c r="L517" s="37" t="s">
        <v>109</v>
      </c>
      <c r="M517" s="53"/>
    </row>
    <row r="518" spans="1:13" ht="20.100000000000001" customHeight="1" x14ac:dyDescent="0.25">
      <c r="A518" s="49">
        <v>511</v>
      </c>
      <c r="B518" s="55">
        <v>45343</v>
      </c>
      <c r="C518" s="36" t="str">
        <f>UPPER(TEXT(Dados_Cursos[[#This Row],[Data]],"mmm"))</f>
        <v>FEV</v>
      </c>
      <c r="D518" s="52" t="s">
        <v>1672</v>
      </c>
      <c r="E518" s="49" t="str">
        <f>VLOOKUP(Dados_Cursos[[#This Row],[ID]],Apoio!A511:H1511,2,0)</f>
        <v>rui.monteiro511@gmail.com</v>
      </c>
      <c r="F518" s="36" t="s">
        <v>627</v>
      </c>
      <c r="G518" s="36" t="s">
        <v>2666</v>
      </c>
      <c r="H518" s="38">
        <v>800</v>
      </c>
      <c r="I518" s="49">
        <v>7</v>
      </c>
      <c r="J518" s="49" t="str">
        <f>VLOOKUP(Dados_Cursos[[#This Row],[ID]],Apoio!A511:H1511,4,0)</f>
        <v>Cubango</v>
      </c>
      <c r="K518" s="37" t="s">
        <v>113</v>
      </c>
      <c r="L518" s="37" t="s">
        <v>110</v>
      </c>
      <c r="M518" s="53"/>
    </row>
    <row r="519" spans="1:13" ht="20.100000000000001" customHeight="1" x14ac:dyDescent="0.25">
      <c r="A519" s="49">
        <v>512</v>
      </c>
      <c r="B519" s="55">
        <v>45553</v>
      </c>
      <c r="C519" s="36" t="str">
        <f>UPPER(TEXT(Dados_Cursos[[#This Row],[Data]],"mmm"))</f>
        <v>SET</v>
      </c>
      <c r="D519" s="52" t="s">
        <v>1434</v>
      </c>
      <c r="E519" s="49" t="str">
        <f>VLOOKUP(Dados_Cursos[[#This Row],[ID]],Apoio!A512:H1512,2,0)</f>
        <v>mateus.monteiro512@gmail.com</v>
      </c>
      <c r="F519" s="36" t="s">
        <v>628</v>
      </c>
      <c r="G519" s="36" t="s">
        <v>2665</v>
      </c>
      <c r="H519" s="38">
        <v>1500</v>
      </c>
      <c r="I519" s="49">
        <v>1</v>
      </c>
      <c r="J519" s="49" t="str">
        <f>VLOOKUP(Dados_Cursos[[#This Row],[ID]],Apoio!A512:H1512,4,0)</f>
        <v>Uíge</v>
      </c>
      <c r="K519" s="37" t="s">
        <v>113</v>
      </c>
      <c r="L519" s="37" t="s">
        <v>111</v>
      </c>
      <c r="M519" s="53"/>
    </row>
    <row r="520" spans="1:13" ht="20.100000000000001" customHeight="1" x14ac:dyDescent="0.25">
      <c r="A520" s="49">
        <v>513</v>
      </c>
      <c r="B520" s="55">
        <v>45530</v>
      </c>
      <c r="C520" s="36" t="str">
        <f>UPPER(TEXT(Dados_Cursos[[#This Row],[Data]],"mmm"))</f>
        <v>AGO</v>
      </c>
      <c r="D520" s="52" t="s">
        <v>1573</v>
      </c>
      <c r="E520" s="49" t="str">
        <f>VLOOKUP(Dados_Cursos[[#This Row],[ID]],Apoio!A513:H1513,2,0)</f>
        <v>marta.domingues513@gmail.com</v>
      </c>
      <c r="F520" s="36" t="s">
        <v>629</v>
      </c>
      <c r="G520" s="36" t="s">
        <v>2666</v>
      </c>
      <c r="H520" s="38">
        <v>1200</v>
      </c>
      <c r="I520" s="49">
        <v>3</v>
      </c>
      <c r="J520" s="49" t="str">
        <f>VLOOKUP(Dados_Cursos[[#This Row],[ID]],Apoio!A513:H1513,4,0)</f>
        <v>Uíge</v>
      </c>
      <c r="K520" s="37" t="s">
        <v>113</v>
      </c>
      <c r="L520" s="37" t="s">
        <v>111</v>
      </c>
      <c r="M520" s="53"/>
    </row>
    <row r="521" spans="1:13" ht="20.100000000000001" customHeight="1" x14ac:dyDescent="0.25">
      <c r="A521" s="49">
        <v>514</v>
      </c>
      <c r="B521" s="55">
        <v>45606</v>
      </c>
      <c r="C521" s="36" t="str">
        <f>UPPER(TEXT(Dados_Cursos[[#This Row],[Data]],"mmm"))</f>
        <v>NOV</v>
      </c>
      <c r="D521" s="52" t="s">
        <v>1614</v>
      </c>
      <c r="E521" s="49" t="str">
        <f>VLOOKUP(Dados_Cursos[[#This Row],[ID]],Apoio!A514:H1514,2,0)</f>
        <v>manuel.silva514@gmail.com</v>
      </c>
      <c r="F521" s="36" t="s">
        <v>630</v>
      </c>
      <c r="G521" s="36" t="s">
        <v>2666</v>
      </c>
      <c r="H521" s="38">
        <v>800</v>
      </c>
      <c r="I521" s="49">
        <v>19</v>
      </c>
      <c r="J521" s="49" t="str">
        <f>VLOOKUP(Dados_Cursos[[#This Row],[ID]],Apoio!A514:H1514,4,0)</f>
        <v>Cuando</v>
      </c>
      <c r="K521" s="37" t="s">
        <v>112</v>
      </c>
      <c r="L521" s="37" t="s">
        <v>109</v>
      </c>
      <c r="M521" s="53"/>
    </row>
    <row r="522" spans="1:13" ht="20.100000000000001" customHeight="1" x14ac:dyDescent="0.25">
      <c r="A522" s="49">
        <v>515</v>
      </c>
      <c r="B522" s="55">
        <v>45458</v>
      </c>
      <c r="C522" s="36" t="str">
        <f>UPPER(TEXT(Dados_Cursos[[#This Row],[Data]],"mmm"))</f>
        <v>JUN</v>
      </c>
      <c r="D522" s="52" t="s">
        <v>1426</v>
      </c>
      <c r="E522" s="49" t="str">
        <f>VLOOKUP(Dados_Cursos[[#This Row],[ID]],Apoio!A515:H1515,2,0)</f>
        <v>samuel.rodrigues515@gmail.com</v>
      </c>
      <c r="F522" s="36" t="s">
        <v>631</v>
      </c>
      <c r="G522" s="36" t="s">
        <v>2666</v>
      </c>
      <c r="H522" s="38">
        <v>800</v>
      </c>
      <c r="I522" s="49">
        <v>1</v>
      </c>
      <c r="J522" s="49" t="str">
        <f>VLOOKUP(Dados_Cursos[[#This Row],[ID]],Apoio!A515:H1515,4,0)</f>
        <v>Cabinda</v>
      </c>
      <c r="K522" s="37" t="s">
        <v>112</v>
      </c>
      <c r="L522" s="37" t="s">
        <v>109</v>
      </c>
      <c r="M522" s="53"/>
    </row>
    <row r="523" spans="1:13" ht="20.100000000000001" customHeight="1" x14ac:dyDescent="0.25">
      <c r="A523" s="49">
        <v>516</v>
      </c>
      <c r="B523" s="55">
        <v>45635</v>
      </c>
      <c r="C523" s="36" t="str">
        <f>UPPER(TEXT(Dados_Cursos[[#This Row],[Data]],"mmm"))</f>
        <v>DEZ</v>
      </c>
      <c r="D523" s="52" t="s">
        <v>1167</v>
      </c>
      <c r="E523" s="49" t="str">
        <f>VLOOKUP(Dados_Cursos[[#This Row],[ID]],Apoio!A516:H1516,2,0)</f>
        <v>david.santos516@gmail.com</v>
      </c>
      <c r="F523" s="36" t="s">
        <v>632</v>
      </c>
      <c r="G523" s="36" t="s">
        <v>2666</v>
      </c>
      <c r="H523" s="38">
        <v>1200</v>
      </c>
      <c r="I523" s="49">
        <v>18</v>
      </c>
      <c r="J523" s="49" t="str">
        <f>VLOOKUP(Dados_Cursos[[#This Row],[ID]],Apoio!A516:H1516,4,0)</f>
        <v>Bié</v>
      </c>
      <c r="K523" s="37" t="s">
        <v>112</v>
      </c>
      <c r="L523" s="37" t="s">
        <v>109</v>
      </c>
      <c r="M523" s="53"/>
    </row>
    <row r="524" spans="1:13" ht="20.100000000000001" customHeight="1" x14ac:dyDescent="0.25">
      <c r="A524" s="49">
        <v>517</v>
      </c>
      <c r="B524" s="55">
        <v>45580</v>
      </c>
      <c r="C524" s="36" t="str">
        <f>UPPER(TEXT(Dados_Cursos[[#This Row],[Data]],"mmm"))</f>
        <v>OUT</v>
      </c>
      <c r="D524" s="52" t="s">
        <v>1438</v>
      </c>
      <c r="E524" s="49" t="str">
        <f>VLOOKUP(Dados_Cursos[[#This Row],[ID]],Apoio!A517:H1517,2,0)</f>
        <v>isabel.lopes517@gmail.com</v>
      </c>
      <c r="F524" s="36" t="s">
        <v>633</v>
      </c>
      <c r="G524" s="36" t="s">
        <v>2666</v>
      </c>
      <c r="H524" s="38">
        <v>1200</v>
      </c>
      <c r="I524" s="49">
        <v>16</v>
      </c>
      <c r="J524" s="49" t="str">
        <f>VLOOKUP(Dados_Cursos[[#This Row],[ID]],Apoio!A517:H1517,4,0)</f>
        <v>Cubango</v>
      </c>
      <c r="K524" s="37" t="s">
        <v>113</v>
      </c>
      <c r="L524" s="37" t="s">
        <v>111</v>
      </c>
      <c r="M524" s="53"/>
    </row>
    <row r="525" spans="1:13" ht="20.100000000000001" customHeight="1" x14ac:dyDescent="0.25">
      <c r="A525" s="49">
        <v>518</v>
      </c>
      <c r="B525" s="55">
        <v>45447</v>
      </c>
      <c r="C525" s="36" t="str">
        <f>UPPER(TEXT(Dados_Cursos[[#This Row],[Data]],"mmm"))</f>
        <v>JUN</v>
      </c>
      <c r="D525" s="52" t="s">
        <v>2024</v>
      </c>
      <c r="E525" s="49" t="str">
        <f>VLOOKUP(Dados_Cursos[[#This Row],[ID]],Apoio!A518:H1518,2,0)</f>
        <v>joaquim.almeida518@gmail.com</v>
      </c>
      <c r="F525" s="36" t="s">
        <v>634</v>
      </c>
      <c r="G525" s="36" t="s">
        <v>2665</v>
      </c>
      <c r="H525" s="38">
        <v>1500</v>
      </c>
      <c r="I525" s="49">
        <v>18</v>
      </c>
      <c r="J525" s="49" t="str">
        <f>VLOOKUP(Dados_Cursos[[#This Row],[ID]],Apoio!A518:H1518,4,0)</f>
        <v>Cuanza Sul</v>
      </c>
      <c r="K525" s="37" t="s">
        <v>113</v>
      </c>
      <c r="L525" s="37" t="s">
        <v>110</v>
      </c>
      <c r="M525" s="53"/>
    </row>
    <row r="526" spans="1:13" ht="20.100000000000001" customHeight="1" x14ac:dyDescent="0.25">
      <c r="A526" s="49">
        <v>519</v>
      </c>
      <c r="B526" s="55">
        <v>45456</v>
      </c>
      <c r="C526" s="36" t="str">
        <f>UPPER(TEXT(Dados_Cursos[[#This Row],[Data]],"mmm"))</f>
        <v>JUN</v>
      </c>
      <c r="D526" s="52" t="s">
        <v>1401</v>
      </c>
      <c r="E526" s="49" t="str">
        <f>VLOOKUP(Dados_Cursos[[#This Row],[ID]],Apoio!A519:H1519,2,0)</f>
        <v>carlos.santos519@gmail.com</v>
      </c>
      <c r="F526" s="36" t="s">
        <v>635</v>
      </c>
      <c r="G526" s="36" t="s">
        <v>2666</v>
      </c>
      <c r="H526" s="38">
        <v>800</v>
      </c>
      <c r="I526" s="49">
        <v>4</v>
      </c>
      <c r="J526" s="49" t="str">
        <f>VLOOKUP(Dados_Cursos[[#This Row],[ID]],Apoio!A519:H1519,4,0)</f>
        <v>Cuanza Sul</v>
      </c>
      <c r="K526" s="37" t="s">
        <v>113</v>
      </c>
      <c r="L526" s="37" t="s">
        <v>2649</v>
      </c>
      <c r="M526" s="53"/>
    </row>
    <row r="527" spans="1:13" ht="20.100000000000001" customHeight="1" x14ac:dyDescent="0.25">
      <c r="A527" s="49">
        <v>520</v>
      </c>
      <c r="B527" s="55">
        <v>45458</v>
      </c>
      <c r="C527" s="36" t="str">
        <f>UPPER(TEXT(Dados_Cursos[[#This Row],[Data]],"mmm"))</f>
        <v>JUN</v>
      </c>
      <c r="D527" s="52" t="s">
        <v>2027</v>
      </c>
      <c r="E527" s="49" t="str">
        <f>VLOOKUP(Dados_Cursos[[#This Row],[ID]],Apoio!A520:H1520,2,0)</f>
        <v>teresa.david520@gmail.com</v>
      </c>
      <c r="F527" s="36" t="s">
        <v>636</v>
      </c>
      <c r="G527" s="36" t="s">
        <v>2666</v>
      </c>
      <c r="H527" s="38">
        <v>1200</v>
      </c>
      <c r="I527" s="49">
        <v>13</v>
      </c>
      <c r="J527" s="49" t="str">
        <f>VLOOKUP(Dados_Cursos[[#This Row],[ID]],Apoio!A520:H1520,4,0)</f>
        <v>Cabinda</v>
      </c>
      <c r="K527" s="37" t="s">
        <v>113</v>
      </c>
      <c r="L527" s="37" t="s">
        <v>110</v>
      </c>
      <c r="M527" s="53"/>
    </row>
    <row r="528" spans="1:13" ht="20.100000000000001" customHeight="1" x14ac:dyDescent="0.25">
      <c r="A528" s="49">
        <v>521</v>
      </c>
      <c r="B528" s="55">
        <v>45378</v>
      </c>
      <c r="C528" s="36" t="str">
        <f>UPPER(TEXT(Dados_Cursos[[#This Row],[Data]],"mmm"))</f>
        <v>MAR</v>
      </c>
      <c r="D528" s="52" t="s">
        <v>1738</v>
      </c>
      <c r="E528" s="49" t="str">
        <f>VLOOKUP(Dados_Cursos[[#This Row],[ID]],Apoio!A521:H1521,2,0)</f>
        <v>ana.pinto521@gmail.com</v>
      </c>
      <c r="F528" s="36" t="s">
        <v>637</v>
      </c>
      <c r="G528" s="36" t="s">
        <v>2666</v>
      </c>
      <c r="H528" s="38">
        <v>1200</v>
      </c>
      <c r="I528" s="49">
        <v>19</v>
      </c>
      <c r="J528" s="49" t="str">
        <f>VLOOKUP(Dados_Cursos[[#This Row],[ID]],Apoio!A521:H1521,4,0)</f>
        <v>Cuando</v>
      </c>
      <c r="K528" s="37" t="s">
        <v>112</v>
      </c>
      <c r="L528" s="37" t="s">
        <v>109</v>
      </c>
      <c r="M528" s="53"/>
    </row>
    <row r="529" spans="1:13" ht="20.100000000000001" customHeight="1" x14ac:dyDescent="0.25">
      <c r="A529" s="49">
        <v>522</v>
      </c>
      <c r="B529" s="55">
        <v>45635</v>
      </c>
      <c r="C529" s="36" t="str">
        <f>UPPER(TEXT(Dados_Cursos[[#This Row],[Data]],"mmm"))</f>
        <v>DEZ</v>
      </c>
      <c r="D529" s="52" t="s">
        <v>2030</v>
      </c>
      <c r="E529" s="49" t="str">
        <f>VLOOKUP(Dados_Cursos[[#This Row],[ID]],Apoio!A522:H1522,2,0)</f>
        <v>nelson.rodrigues522@gmail.com</v>
      </c>
      <c r="F529" s="36" t="s">
        <v>638</v>
      </c>
      <c r="G529" s="36" t="s">
        <v>2666</v>
      </c>
      <c r="H529" s="38">
        <v>800</v>
      </c>
      <c r="I529" s="49">
        <v>3</v>
      </c>
      <c r="J529" s="49" t="str">
        <f>VLOOKUP(Dados_Cursos[[#This Row],[ID]],Apoio!A522:H1522,4,0)</f>
        <v>Bengo</v>
      </c>
      <c r="K529" s="37" t="s">
        <v>112</v>
      </c>
      <c r="L529" s="37" t="s">
        <v>109</v>
      </c>
      <c r="M529" s="53"/>
    </row>
    <row r="530" spans="1:13" ht="20.100000000000001" customHeight="1" x14ac:dyDescent="0.25">
      <c r="A530" s="49">
        <v>523</v>
      </c>
      <c r="B530" s="55">
        <v>45309</v>
      </c>
      <c r="C530" s="36" t="str">
        <f>UPPER(TEXT(Dados_Cursos[[#This Row],[Data]],"mmm"))</f>
        <v>JAN</v>
      </c>
      <c r="D530" s="52" t="s">
        <v>1297</v>
      </c>
      <c r="E530" s="49" t="str">
        <f>VLOOKUP(Dados_Cursos[[#This Row],[ID]],Apoio!A523:H1523,2,0)</f>
        <v>joão.gomes523@gmail.com</v>
      </c>
      <c r="F530" s="36" t="s">
        <v>639</v>
      </c>
      <c r="G530" s="36" t="s">
        <v>2666</v>
      </c>
      <c r="H530" s="38">
        <v>800</v>
      </c>
      <c r="I530" s="49">
        <v>6</v>
      </c>
      <c r="J530" s="49" t="str">
        <f>VLOOKUP(Dados_Cursos[[#This Row],[ID]],Apoio!A523:H1523,4,0)</f>
        <v>Huambo</v>
      </c>
      <c r="K530" s="37" t="s">
        <v>113</v>
      </c>
      <c r="L530" s="37" t="s">
        <v>110</v>
      </c>
      <c r="M530" s="53"/>
    </row>
    <row r="531" spans="1:13" ht="20.100000000000001" customHeight="1" x14ac:dyDescent="0.25">
      <c r="A531" s="49">
        <v>524</v>
      </c>
      <c r="B531" s="55">
        <v>45317</v>
      </c>
      <c r="C531" s="36" t="str">
        <f>UPPER(TEXT(Dados_Cursos[[#This Row],[Data]],"mmm"))</f>
        <v>JAN</v>
      </c>
      <c r="D531" s="52" t="s">
        <v>2033</v>
      </c>
      <c r="E531" s="49" t="str">
        <f>VLOOKUP(Dados_Cursos[[#This Row],[ID]],Apoio!A524:H1524,2,0)</f>
        <v>ana.soares524@gmail.com</v>
      </c>
      <c r="F531" s="36" t="s">
        <v>640</v>
      </c>
      <c r="G531" s="36" t="s">
        <v>2666</v>
      </c>
      <c r="H531" s="38">
        <v>1200</v>
      </c>
      <c r="I531" s="49">
        <v>3</v>
      </c>
      <c r="J531" s="49" t="str">
        <f>VLOOKUP(Dados_Cursos[[#This Row],[ID]],Apoio!A524:H1524,4,0)</f>
        <v>Uíge</v>
      </c>
      <c r="K531" s="37" t="s">
        <v>113</v>
      </c>
      <c r="L531" s="37" t="s">
        <v>111</v>
      </c>
      <c r="M531" s="53"/>
    </row>
    <row r="532" spans="1:13" ht="20.100000000000001" customHeight="1" x14ac:dyDescent="0.25">
      <c r="A532" s="49">
        <v>525</v>
      </c>
      <c r="B532" s="55">
        <v>45513</v>
      </c>
      <c r="C532" s="36" t="str">
        <f>UPPER(TEXT(Dados_Cursos[[#This Row],[Data]],"mmm"))</f>
        <v>AGO</v>
      </c>
      <c r="D532" s="52" t="s">
        <v>2035</v>
      </c>
      <c r="E532" s="49" t="str">
        <f>VLOOKUP(Dados_Cursos[[#This Row],[ID]],Apoio!A525:H1525,2,0)</f>
        <v>joão.costa525@gmail.com</v>
      </c>
      <c r="F532" s="36" t="s">
        <v>641</v>
      </c>
      <c r="G532" s="36" t="s">
        <v>2666</v>
      </c>
      <c r="H532" s="38">
        <v>800</v>
      </c>
      <c r="I532" s="49">
        <v>2</v>
      </c>
      <c r="J532" s="49" t="str">
        <f>VLOOKUP(Dados_Cursos[[#This Row],[ID]],Apoio!A525:H1525,4,0)</f>
        <v>Cunene</v>
      </c>
      <c r="K532" s="37" t="s">
        <v>112</v>
      </c>
      <c r="L532" s="37" t="s">
        <v>109</v>
      </c>
      <c r="M532" s="53"/>
    </row>
    <row r="533" spans="1:13" ht="20.100000000000001" customHeight="1" x14ac:dyDescent="0.25">
      <c r="A533" s="49">
        <v>526</v>
      </c>
      <c r="B533" s="55">
        <v>45374</v>
      </c>
      <c r="C533" s="36" t="str">
        <f>UPPER(TEXT(Dados_Cursos[[#This Row],[Data]],"mmm"))</f>
        <v>MAR</v>
      </c>
      <c r="D533" s="52" t="s">
        <v>1564</v>
      </c>
      <c r="E533" s="49" t="str">
        <f>VLOOKUP(Dados_Cursos[[#This Row],[ID]],Apoio!A526:H1526,2,0)</f>
        <v>mateus.andrade526@gmail.com</v>
      </c>
      <c r="F533" s="36" t="s">
        <v>642</v>
      </c>
      <c r="G533" s="36" t="s">
        <v>2665</v>
      </c>
      <c r="H533" s="38">
        <v>1500</v>
      </c>
      <c r="I533" s="49">
        <v>4</v>
      </c>
      <c r="J533" s="49" t="str">
        <f>VLOOKUP(Dados_Cursos[[#This Row],[ID]],Apoio!A526:H1526,4,0)</f>
        <v>Bié</v>
      </c>
      <c r="K533" s="37" t="s">
        <v>113</v>
      </c>
      <c r="L533" s="37" t="s">
        <v>111</v>
      </c>
      <c r="M533" s="53"/>
    </row>
    <row r="534" spans="1:13" ht="20.100000000000001" customHeight="1" x14ac:dyDescent="0.25">
      <c r="A534" s="49">
        <v>527</v>
      </c>
      <c r="B534" s="55">
        <v>45540</v>
      </c>
      <c r="C534" s="36" t="str">
        <f>UPPER(TEXT(Dados_Cursos[[#This Row],[Data]],"mmm"))</f>
        <v>SET</v>
      </c>
      <c r="D534" s="52" t="s">
        <v>2038</v>
      </c>
      <c r="E534" s="49" t="str">
        <f>VLOOKUP(Dados_Cursos[[#This Row],[ID]],Apoio!A527:H1527,2,0)</f>
        <v>samuel.miguel527@gmail.com</v>
      </c>
      <c r="F534" s="36" t="s">
        <v>643</v>
      </c>
      <c r="G534" s="36" t="s">
        <v>2666</v>
      </c>
      <c r="H534" s="38">
        <v>800</v>
      </c>
      <c r="I534" s="49">
        <v>3</v>
      </c>
      <c r="J534" s="49" t="str">
        <f>VLOOKUP(Dados_Cursos[[#This Row],[ID]],Apoio!A527:H1527,4,0)</f>
        <v>Cuando</v>
      </c>
      <c r="K534" s="37" t="s">
        <v>113</v>
      </c>
      <c r="L534" s="37" t="s">
        <v>110</v>
      </c>
      <c r="M534" s="53"/>
    </row>
    <row r="535" spans="1:13" ht="20.100000000000001" customHeight="1" x14ac:dyDescent="0.25">
      <c r="A535" s="49">
        <v>528</v>
      </c>
      <c r="B535" s="55">
        <v>45570</v>
      </c>
      <c r="C535" s="36" t="str">
        <f>UPPER(TEXT(Dados_Cursos[[#This Row],[Data]],"mmm"))</f>
        <v>OUT</v>
      </c>
      <c r="D535" s="52" t="s">
        <v>1416</v>
      </c>
      <c r="E535" s="49" t="str">
        <f>VLOOKUP(Dados_Cursos[[#This Row],[ID]],Apoio!A528:H1528,2,0)</f>
        <v>carlos.monteiro528@gmail.com</v>
      </c>
      <c r="F535" s="36" t="s">
        <v>644</v>
      </c>
      <c r="G535" s="36" t="s">
        <v>2666</v>
      </c>
      <c r="H535" s="38">
        <v>800</v>
      </c>
      <c r="I535" s="49">
        <v>15</v>
      </c>
      <c r="J535" s="49" t="str">
        <f>VLOOKUP(Dados_Cursos[[#This Row],[ID]],Apoio!A528:H1528,4,0)</f>
        <v>Cabinda</v>
      </c>
      <c r="K535" s="37" t="s">
        <v>113</v>
      </c>
      <c r="L535" s="37" t="s">
        <v>2649</v>
      </c>
      <c r="M535" s="53"/>
    </row>
    <row r="536" spans="1:13" ht="20.100000000000001" customHeight="1" x14ac:dyDescent="0.25">
      <c r="A536" s="49">
        <v>529</v>
      </c>
      <c r="B536" s="55">
        <v>45624</v>
      </c>
      <c r="C536" s="36" t="str">
        <f>UPPER(TEXT(Dados_Cursos[[#This Row],[Data]],"mmm"))</f>
        <v>NOV</v>
      </c>
      <c r="D536" s="52" t="s">
        <v>1705</v>
      </c>
      <c r="E536" s="49" t="str">
        <f>VLOOKUP(Dados_Cursos[[#This Row],[ID]],Apoio!A529:H1529,2,0)</f>
        <v>joaquim.costa529@gmail.com</v>
      </c>
      <c r="F536" s="36" t="s">
        <v>645</v>
      </c>
      <c r="G536" s="36" t="s">
        <v>2666</v>
      </c>
      <c r="H536" s="38">
        <v>800</v>
      </c>
      <c r="I536" s="49">
        <v>14</v>
      </c>
      <c r="J536" s="49" t="str">
        <f>VLOOKUP(Dados_Cursos[[#This Row],[ID]],Apoio!A529:H1529,4,0)</f>
        <v>Icolo e Bengo</v>
      </c>
      <c r="K536" s="37" t="s">
        <v>112</v>
      </c>
      <c r="L536" s="37" t="s">
        <v>109</v>
      </c>
      <c r="M536" s="53"/>
    </row>
    <row r="537" spans="1:13" ht="20.100000000000001" customHeight="1" x14ac:dyDescent="0.25">
      <c r="A537" s="49">
        <v>530</v>
      </c>
      <c r="B537" s="55">
        <v>45453</v>
      </c>
      <c r="C537" s="36" t="str">
        <f>UPPER(TEXT(Dados_Cursos[[#This Row],[Data]],"mmm"))</f>
        <v>JUN</v>
      </c>
      <c r="D537" s="52" t="s">
        <v>1363</v>
      </c>
      <c r="E537" s="49" t="str">
        <f>VLOOKUP(Dados_Cursos[[#This Row],[ID]],Apoio!A530:H1530,2,0)</f>
        <v>helena.andrade530@gmail.com</v>
      </c>
      <c r="F537" s="36" t="s">
        <v>646</v>
      </c>
      <c r="G537" s="36" t="s">
        <v>2666</v>
      </c>
      <c r="H537" s="38">
        <v>1200</v>
      </c>
      <c r="I537" s="49">
        <v>15</v>
      </c>
      <c r="J537" s="49" t="str">
        <f>VLOOKUP(Dados_Cursos[[#This Row],[ID]],Apoio!A530:H1530,4,0)</f>
        <v>Lunda Norte</v>
      </c>
      <c r="K537" s="37" t="s">
        <v>113</v>
      </c>
      <c r="L537" s="37" t="s">
        <v>2649</v>
      </c>
      <c r="M537" s="53"/>
    </row>
    <row r="538" spans="1:13" ht="20.100000000000001" customHeight="1" x14ac:dyDescent="0.25">
      <c r="A538" s="49">
        <v>531</v>
      </c>
      <c r="B538" s="55">
        <v>45311</v>
      </c>
      <c r="C538" s="36" t="str">
        <f>UPPER(TEXT(Dados_Cursos[[#This Row],[Data]],"mmm"))</f>
        <v>JAN</v>
      </c>
      <c r="D538" s="52" t="s">
        <v>1940</v>
      </c>
      <c r="E538" s="49" t="str">
        <f>VLOOKUP(Dados_Cursos[[#This Row],[ID]],Apoio!A531:H1531,2,0)</f>
        <v>mateus.david531@gmail.com</v>
      </c>
      <c r="F538" s="36" t="s">
        <v>647</v>
      </c>
      <c r="G538" s="36" t="s">
        <v>2665</v>
      </c>
      <c r="H538" s="38">
        <v>1500</v>
      </c>
      <c r="I538" s="49">
        <v>6</v>
      </c>
      <c r="J538" s="49" t="str">
        <f>VLOOKUP(Dados_Cursos[[#This Row],[ID]],Apoio!A531:H1531,4,0)</f>
        <v>Cunene</v>
      </c>
      <c r="K538" s="37" t="s">
        <v>113</v>
      </c>
      <c r="L538" s="37" t="s">
        <v>111</v>
      </c>
      <c r="M538" s="53"/>
    </row>
    <row r="539" spans="1:13" ht="20.100000000000001" customHeight="1" x14ac:dyDescent="0.25">
      <c r="A539" s="49">
        <v>532</v>
      </c>
      <c r="B539" s="55">
        <v>45328</v>
      </c>
      <c r="C539" s="36" t="str">
        <f>UPPER(TEXT(Dados_Cursos[[#This Row],[Data]],"mmm"))</f>
        <v>FEV</v>
      </c>
      <c r="D539" s="52" t="s">
        <v>1258</v>
      </c>
      <c r="E539" s="49" t="str">
        <f>VLOOKUP(Dados_Cursos[[#This Row],[ID]],Apoio!A532:H1532,2,0)</f>
        <v>pedro.pereira532@gmail.com</v>
      </c>
      <c r="F539" s="36" t="s">
        <v>648</v>
      </c>
      <c r="G539" s="36" t="s">
        <v>2666</v>
      </c>
      <c r="H539" s="38">
        <v>1200</v>
      </c>
      <c r="I539" s="49">
        <v>17</v>
      </c>
      <c r="J539" s="49" t="str">
        <f>VLOOKUP(Dados_Cursos[[#This Row],[ID]],Apoio!A532:H1532,4,0)</f>
        <v>Lunda Norte</v>
      </c>
      <c r="K539" s="37" t="s">
        <v>112</v>
      </c>
      <c r="L539" s="37" t="s">
        <v>109</v>
      </c>
      <c r="M539" s="53"/>
    </row>
    <row r="540" spans="1:13" ht="20.100000000000001" customHeight="1" x14ac:dyDescent="0.25">
      <c r="A540" s="49">
        <v>533</v>
      </c>
      <c r="B540" s="55">
        <v>45379</v>
      </c>
      <c r="C540" s="36" t="str">
        <f>UPPER(TEXT(Dados_Cursos[[#This Row],[Data]],"mmm"))</f>
        <v>MAR</v>
      </c>
      <c r="D540" s="52" t="s">
        <v>1258</v>
      </c>
      <c r="E540" s="49" t="str">
        <f>VLOOKUP(Dados_Cursos[[#This Row],[ID]],Apoio!A533:H1533,2,0)</f>
        <v>pedro.pereira533@gmail.com</v>
      </c>
      <c r="F540" s="36" t="s">
        <v>649</v>
      </c>
      <c r="G540" s="36" t="s">
        <v>2666</v>
      </c>
      <c r="H540" s="38">
        <v>800</v>
      </c>
      <c r="I540" s="49">
        <v>10</v>
      </c>
      <c r="J540" s="49" t="str">
        <f>VLOOKUP(Dados_Cursos[[#This Row],[ID]],Apoio!A533:H1533,4,0)</f>
        <v>Cuanza Norte</v>
      </c>
      <c r="K540" s="37" t="s">
        <v>113</v>
      </c>
      <c r="L540" s="37" t="s">
        <v>110</v>
      </c>
      <c r="M540" s="53"/>
    </row>
    <row r="541" spans="1:13" ht="20.100000000000001" customHeight="1" x14ac:dyDescent="0.25">
      <c r="A541" s="49">
        <v>534</v>
      </c>
      <c r="B541" s="55">
        <v>45381</v>
      </c>
      <c r="C541" s="36" t="str">
        <f>UPPER(TEXT(Dados_Cursos[[#This Row],[Data]],"mmm"))</f>
        <v>MAR</v>
      </c>
      <c r="D541" s="52" t="s">
        <v>2046</v>
      </c>
      <c r="E541" s="49" t="str">
        <f>VLOOKUP(Dados_Cursos[[#This Row],[ID]],Apoio!A534:H1534,2,0)</f>
        <v>luís.lukeba534@gmail.com</v>
      </c>
      <c r="F541" s="36" t="s">
        <v>650</v>
      </c>
      <c r="G541" s="36" t="s">
        <v>2666</v>
      </c>
      <c r="H541" s="38">
        <v>800</v>
      </c>
      <c r="I541" s="49">
        <v>12</v>
      </c>
      <c r="J541" s="49" t="str">
        <f>VLOOKUP(Dados_Cursos[[#This Row],[ID]],Apoio!A534:H1534,4,0)</f>
        <v>Cuanza Sul</v>
      </c>
      <c r="K541" s="37" t="s">
        <v>113</v>
      </c>
      <c r="L541" s="37" t="s">
        <v>111</v>
      </c>
      <c r="M541" s="53"/>
    </row>
    <row r="542" spans="1:13" ht="20.100000000000001" customHeight="1" x14ac:dyDescent="0.25">
      <c r="A542" s="49">
        <v>535</v>
      </c>
      <c r="B542" s="55">
        <v>45494</v>
      </c>
      <c r="C542" s="36" t="str">
        <f>UPPER(TEXT(Dados_Cursos[[#This Row],[Data]],"mmm"))</f>
        <v>JUL</v>
      </c>
      <c r="D542" s="52" t="s">
        <v>1608</v>
      </c>
      <c r="E542" s="49" t="str">
        <f>VLOOKUP(Dados_Cursos[[#This Row],[ID]],Apoio!A535:H1535,2,0)</f>
        <v>ana.domingues535@gmail.com</v>
      </c>
      <c r="F542" s="36" t="s">
        <v>651</v>
      </c>
      <c r="G542" s="36" t="s">
        <v>2665</v>
      </c>
      <c r="H542" s="38">
        <v>1500</v>
      </c>
      <c r="I542" s="49">
        <v>4</v>
      </c>
      <c r="J542" s="49" t="str">
        <f>VLOOKUP(Dados_Cursos[[#This Row],[ID]],Apoio!A535:H1535,4,0)</f>
        <v>Luanda</v>
      </c>
      <c r="K542" s="37" t="s">
        <v>113</v>
      </c>
      <c r="L542" s="37" t="s">
        <v>110</v>
      </c>
      <c r="M542" s="53"/>
    </row>
    <row r="543" spans="1:13" ht="20.100000000000001" customHeight="1" x14ac:dyDescent="0.25">
      <c r="A543" s="49">
        <v>536</v>
      </c>
      <c r="B543" s="55">
        <v>45433</v>
      </c>
      <c r="C543" s="36" t="str">
        <f>UPPER(TEXT(Dados_Cursos[[#This Row],[Data]],"mmm"))</f>
        <v>MAI</v>
      </c>
      <c r="D543" s="52" t="s">
        <v>2049</v>
      </c>
      <c r="E543" s="49" t="str">
        <f>VLOOKUP(Dados_Cursos[[#This Row],[ID]],Apoio!A536:H1536,2,0)</f>
        <v>rosa.fernandes536@gmail.com</v>
      </c>
      <c r="F543" s="36" t="s">
        <v>652</v>
      </c>
      <c r="G543" s="36" t="s">
        <v>2666</v>
      </c>
      <c r="H543" s="38">
        <v>800</v>
      </c>
      <c r="I543" s="49">
        <v>2</v>
      </c>
      <c r="J543" s="49" t="str">
        <f>VLOOKUP(Dados_Cursos[[#This Row],[ID]],Apoio!A536:H1536,4,0)</f>
        <v>Zaire</v>
      </c>
      <c r="K543" s="37" t="s">
        <v>113</v>
      </c>
      <c r="L543" s="37" t="s">
        <v>2649</v>
      </c>
      <c r="M543" s="53"/>
    </row>
    <row r="544" spans="1:13" ht="20.100000000000001" customHeight="1" x14ac:dyDescent="0.25">
      <c r="A544" s="49">
        <v>537</v>
      </c>
      <c r="B544" s="55">
        <v>45570</v>
      </c>
      <c r="C544" s="36" t="str">
        <f>UPPER(TEXT(Dados_Cursos[[#This Row],[Data]],"mmm"))</f>
        <v>OUT</v>
      </c>
      <c r="D544" s="52" t="s">
        <v>1465</v>
      </c>
      <c r="E544" s="49" t="str">
        <f>VLOOKUP(Dados_Cursos[[#This Row],[ID]],Apoio!A537:H1537,2,0)</f>
        <v>david.lopes537@gmail.com</v>
      </c>
      <c r="F544" s="36" t="s">
        <v>653</v>
      </c>
      <c r="G544" s="36" t="s">
        <v>2665</v>
      </c>
      <c r="H544" s="38">
        <v>1500</v>
      </c>
      <c r="I544" s="49">
        <v>2</v>
      </c>
      <c r="J544" s="49" t="str">
        <f>VLOOKUP(Dados_Cursos[[#This Row],[ID]],Apoio!A537:H1537,4,0)</f>
        <v>Cuanza Sul</v>
      </c>
      <c r="K544" s="37" t="s">
        <v>113</v>
      </c>
      <c r="L544" s="37" t="s">
        <v>2649</v>
      </c>
      <c r="M544" s="53"/>
    </row>
    <row r="545" spans="1:13" ht="20.100000000000001" customHeight="1" x14ac:dyDescent="0.25">
      <c r="A545" s="49">
        <v>538</v>
      </c>
      <c r="B545" s="55">
        <v>45523</v>
      </c>
      <c r="C545" s="36" t="str">
        <f>UPPER(TEXT(Dados_Cursos[[#This Row],[Data]],"mmm"))</f>
        <v>AGO</v>
      </c>
      <c r="D545" s="52" t="s">
        <v>1738</v>
      </c>
      <c r="E545" s="49" t="str">
        <f>VLOOKUP(Dados_Cursos[[#This Row],[ID]],Apoio!A538:H1538,2,0)</f>
        <v>ana.pinto538@gmail.com</v>
      </c>
      <c r="F545" s="36" t="s">
        <v>654</v>
      </c>
      <c r="G545" s="36" t="s">
        <v>2665</v>
      </c>
      <c r="H545" s="38">
        <v>1500</v>
      </c>
      <c r="I545" s="49">
        <v>12</v>
      </c>
      <c r="J545" s="49" t="str">
        <f>VLOOKUP(Dados_Cursos[[#This Row],[ID]],Apoio!A538:H1538,4,0)</f>
        <v>Zaire</v>
      </c>
      <c r="K545" s="37" t="s">
        <v>113</v>
      </c>
      <c r="L545" s="37" t="s">
        <v>2649</v>
      </c>
      <c r="M545" s="53"/>
    </row>
    <row r="546" spans="1:13" ht="20.100000000000001" customHeight="1" x14ac:dyDescent="0.25">
      <c r="A546" s="49">
        <v>539</v>
      </c>
      <c r="B546" s="55">
        <v>45394</v>
      </c>
      <c r="C546" s="36" t="str">
        <f>UPPER(TEXT(Dados_Cursos[[#This Row],[Data]],"mmm"))</f>
        <v>ABR</v>
      </c>
      <c r="D546" s="52" t="s">
        <v>2053</v>
      </c>
      <c r="E546" s="49" t="str">
        <f>VLOOKUP(Dados_Cursos[[#This Row],[ID]],Apoio!A539:H1539,2,0)</f>
        <v>pedro.santos539@gmail.com</v>
      </c>
      <c r="F546" s="36" t="s">
        <v>655</v>
      </c>
      <c r="G546" s="36" t="s">
        <v>2666</v>
      </c>
      <c r="H546" s="38">
        <v>1200</v>
      </c>
      <c r="I546" s="49">
        <v>19</v>
      </c>
      <c r="J546" s="49" t="str">
        <f>VLOOKUP(Dados_Cursos[[#This Row],[ID]],Apoio!A539:H1539,4,0)</f>
        <v>Uíge</v>
      </c>
      <c r="K546" s="37" t="s">
        <v>113</v>
      </c>
      <c r="L546" s="37" t="s">
        <v>2649</v>
      </c>
      <c r="M546" s="53"/>
    </row>
    <row r="547" spans="1:13" ht="20.100000000000001" customHeight="1" x14ac:dyDescent="0.25">
      <c r="A547" s="49">
        <v>540</v>
      </c>
      <c r="B547" s="55">
        <v>45484</v>
      </c>
      <c r="C547" s="36" t="str">
        <f>UPPER(TEXT(Dados_Cursos[[#This Row],[Data]],"mmm"))</f>
        <v>JUL</v>
      </c>
      <c r="D547" s="52" t="s">
        <v>2055</v>
      </c>
      <c r="E547" s="49" t="str">
        <f>VLOOKUP(Dados_Cursos[[#This Row],[ID]],Apoio!A540:H1540,2,0)</f>
        <v>domingos.david540@gmail.com</v>
      </c>
      <c r="F547" s="36" t="s">
        <v>656</v>
      </c>
      <c r="G547" s="36" t="s">
        <v>2666</v>
      </c>
      <c r="H547" s="38">
        <v>1200</v>
      </c>
      <c r="I547" s="49">
        <v>13</v>
      </c>
      <c r="J547" s="49" t="str">
        <f>VLOOKUP(Dados_Cursos[[#This Row],[ID]],Apoio!A540:H1540,4,0)</f>
        <v>Benguela</v>
      </c>
      <c r="K547" s="37" t="s">
        <v>113</v>
      </c>
      <c r="L547" s="37" t="s">
        <v>110</v>
      </c>
      <c r="M547" s="53"/>
    </row>
    <row r="548" spans="1:13" ht="20.100000000000001" customHeight="1" x14ac:dyDescent="0.25">
      <c r="A548" s="49">
        <v>541</v>
      </c>
      <c r="B548" s="55">
        <v>45531</v>
      </c>
      <c r="C548" s="36" t="str">
        <f>UPPER(TEXT(Dados_Cursos[[#This Row],[Data]],"mmm"))</f>
        <v>AGO</v>
      </c>
      <c r="D548" s="52" t="s">
        <v>2057</v>
      </c>
      <c r="E548" s="49" t="str">
        <f>VLOOKUP(Dados_Cursos[[#This Row],[ID]],Apoio!A541:H1541,2,0)</f>
        <v>josé.pereira541@gmail.com</v>
      </c>
      <c r="F548" s="36" t="s">
        <v>657</v>
      </c>
      <c r="G548" s="36" t="s">
        <v>2666</v>
      </c>
      <c r="H548" s="38">
        <v>1200</v>
      </c>
      <c r="I548" s="49">
        <v>9</v>
      </c>
      <c r="J548" s="49" t="str">
        <f>VLOOKUP(Dados_Cursos[[#This Row],[ID]],Apoio!A541:H1541,4,0)</f>
        <v>Cabinda</v>
      </c>
      <c r="K548" s="37" t="s">
        <v>113</v>
      </c>
      <c r="L548" s="37" t="s">
        <v>111</v>
      </c>
      <c r="M548" s="53"/>
    </row>
    <row r="549" spans="1:13" ht="20.100000000000001" customHeight="1" x14ac:dyDescent="0.25">
      <c r="A549" s="49">
        <v>542</v>
      </c>
      <c r="B549" s="55">
        <v>45596</v>
      </c>
      <c r="C549" s="36" t="str">
        <f>UPPER(TEXT(Dados_Cursos[[#This Row],[Data]],"mmm"))</f>
        <v>OUT</v>
      </c>
      <c r="D549" s="52" t="s">
        <v>1567</v>
      </c>
      <c r="E549" s="49" t="str">
        <f>VLOOKUP(Dados_Cursos[[#This Row],[ID]],Apoio!A542:H1542,2,0)</f>
        <v>isabel.pereira542@gmail.com</v>
      </c>
      <c r="F549" s="36" t="s">
        <v>658</v>
      </c>
      <c r="G549" s="36" t="s">
        <v>2665</v>
      </c>
      <c r="H549" s="38">
        <v>1500</v>
      </c>
      <c r="I549" s="49">
        <v>11</v>
      </c>
      <c r="J549" s="49" t="str">
        <f>VLOOKUP(Dados_Cursos[[#This Row],[ID]],Apoio!A542:H1542,4,0)</f>
        <v>Namibe</v>
      </c>
      <c r="K549" s="37" t="s">
        <v>113</v>
      </c>
      <c r="L549" s="37" t="s">
        <v>111</v>
      </c>
      <c r="M549" s="53"/>
    </row>
    <row r="550" spans="1:13" ht="20.100000000000001" customHeight="1" x14ac:dyDescent="0.25">
      <c r="A550" s="49">
        <v>543</v>
      </c>
      <c r="B550" s="55">
        <v>45604</v>
      </c>
      <c r="C550" s="36" t="str">
        <f>UPPER(TEXT(Dados_Cursos[[#This Row],[Data]],"mmm"))</f>
        <v>NOV</v>
      </c>
      <c r="D550" s="52" t="s">
        <v>1588</v>
      </c>
      <c r="E550" s="49" t="str">
        <f>VLOOKUP(Dados_Cursos[[#This Row],[ID]],Apoio!A543:H1543,2,0)</f>
        <v>marta.david543@gmail.com</v>
      </c>
      <c r="F550" s="36" t="s">
        <v>659</v>
      </c>
      <c r="G550" s="36" t="s">
        <v>2666</v>
      </c>
      <c r="H550" s="38">
        <v>1200</v>
      </c>
      <c r="I550" s="49">
        <v>11</v>
      </c>
      <c r="J550" s="49" t="str">
        <f>VLOOKUP(Dados_Cursos[[#This Row],[ID]],Apoio!A543:H1543,4,0)</f>
        <v>Malanje</v>
      </c>
      <c r="K550" s="37" t="s">
        <v>112</v>
      </c>
      <c r="L550" s="37" t="s">
        <v>109</v>
      </c>
      <c r="M550" s="53"/>
    </row>
    <row r="551" spans="1:13" ht="20.100000000000001" customHeight="1" x14ac:dyDescent="0.25">
      <c r="A551" s="49">
        <v>544</v>
      </c>
      <c r="B551" s="55">
        <v>45442</v>
      </c>
      <c r="C551" s="36" t="str">
        <f>UPPER(TEXT(Dados_Cursos[[#This Row],[Data]],"mmm"))</f>
        <v>MAI</v>
      </c>
      <c r="D551" s="52" t="s">
        <v>2061</v>
      </c>
      <c r="E551" s="49" t="str">
        <f>VLOOKUP(Dados_Cursos[[#This Row],[ID]],Apoio!A544:H1544,2,0)</f>
        <v>ana.andrade544@gmail.com</v>
      </c>
      <c r="F551" s="36" t="s">
        <v>660</v>
      </c>
      <c r="G551" s="36" t="s">
        <v>2666</v>
      </c>
      <c r="H551" s="38">
        <v>1200</v>
      </c>
      <c r="I551" s="49">
        <v>13</v>
      </c>
      <c r="J551" s="49" t="str">
        <f>VLOOKUP(Dados_Cursos[[#This Row],[ID]],Apoio!A544:H1544,4,0)</f>
        <v>Lunda Norte</v>
      </c>
      <c r="K551" s="37" t="s">
        <v>113</v>
      </c>
      <c r="L551" s="37" t="s">
        <v>111</v>
      </c>
      <c r="M551" s="53"/>
    </row>
    <row r="552" spans="1:13" ht="20.100000000000001" customHeight="1" x14ac:dyDescent="0.25">
      <c r="A552" s="49">
        <v>545</v>
      </c>
      <c r="B552" s="55">
        <v>45371</v>
      </c>
      <c r="C552" s="36" t="str">
        <f>UPPER(TEXT(Dados_Cursos[[#This Row],[Data]],"mmm"))</f>
        <v>MAR</v>
      </c>
      <c r="D552" s="52" t="s">
        <v>1614</v>
      </c>
      <c r="E552" s="49" t="str">
        <f>VLOOKUP(Dados_Cursos[[#This Row],[ID]],Apoio!A545:H1545,2,0)</f>
        <v>manuel.silva545@gmail.com</v>
      </c>
      <c r="F552" s="36" t="s">
        <v>661</v>
      </c>
      <c r="G552" s="36" t="s">
        <v>2666</v>
      </c>
      <c r="H552" s="38">
        <v>1200</v>
      </c>
      <c r="I552" s="49">
        <v>13</v>
      </c>
      <c r="J552" s="49" t="str">
        <f>VLOOKUP(Dados_Cursos[[#This Row],[ID]],Apoio!A545:H1545,4,0)</f>
        <v>Zaire</v>
      </c>
      <c r="K552" s="37" t="s">
        <v>113</v>
      </c>
      <c r="L552" s="37" t="s">
        <v>110</v>
      </c>
      <c r="M552" s="53"/>
    </row>
    <row r="553" spans="1:13" ht="20.100000000000001" customHeight="1" x14ac:dyDescent="0.25">
      <c r="A553" s="49">
        <v>546</v>
      </c>
      <c r="B553" s="55">
        <v>45316</v>
      </c>
      <c r="C553" s="36" t="str">
        <f>UPPER(TEXT(Dados_Cursos[[#This Row],[Data]],"mmm"))</f>
        <v>JAN</v>
      </c>
      <c r="D553" s="52" t="s">
        <v>2064</v>
      </c>
      <c r="E553" s="49" t="str">
        <f>VLOOKUP(Dados_Cursos[[#This Row],[ID]],Apoio!A546:H1546,2,0)</f>
        <v>rui.lopes546@gmail.com</v>
      </c>
      <c r="F553" s="36" t="s">
        <v>662</v>
      </c>
      <c r="G553" s="36" t="s">
        <v>2666</v>
      </c>
      <c r="H553" s="38">
        <v>800</v>
      </c>
      <c r="I553" s="49">
        <v>2</v>
      </c>
      <c r="J553" s="49" t="str">
        <f>VLOOKUP(Dados_Cursos[[#This Row],[ID]],Apoio!A546:H1546,4,0)</f>
        <v>Huambo</v>
      </c>
      <c r="K553" s="37" t="s">
        <v>113</v>
      </c>
      <c r="L553" s="37" t="s">
        <v>2649</v>
      </c>
      <c r="M553" s="53"/>
    </row>
    <row r="554" spans="1:13" ht="20.100000000000001" customHeight="1" x14ac:dyDescent="0.25">
      <c r="A554" s="49">
        <v>547</v>
      </c>
      <c r="B554" s="55">
        <v>45342</v>
      </c>
      <c r="C554" s="36" t="str">
        <f>UPPER(TEXT(Dados_Cursos[[#This Row],[Data]],"mmm"))</f>
        <v>FEV</v>
      </c>
      <c r="D554" s="52" t="s">
        <v>2066</v>
      </c>
      <c r="E554" s="49" t="str">
        <f>VLOOKUP(Dados_Cursos[[#This Row],[ID]],Apoio!A547:H1547,2,0)</f>
        <v>joão.david547@gmail.com</v>
      </c>
      <c r="F554" s="36" t="s">
        <v>663</v>
      </c>
      <c r="G554" s="36" t="s">
        <v>2665</v>
      </c>
      <c r="H554" s="38">
        <v>1500</v>
      </c>
      <c r="I554" s="49">
        <v>18</v>
      </c>
      <c r="J554" s="49" t="str">
        <f>VLOOKUP(Dados_Cursos[[#This Row],[ID]],Apoio!A547:H1547,4,0)</f>
        <v>Bengo</v>
      </c>
      <c r="K554" s="37" t="s">
        <v>113</v>
      </c>
      <c r="L554" s="37" t="s">
        <v>110</v>
      </c>
      <c r="M554" s="53"/>
    </row>
    <row r="555" spans="1:13" ht="20.100000000000001" customHeight="1" x14ac:dyDescent="0.25">
      <c r="A555" s="49">
        <v>548</v>
      </c>
      <c r="B555" s="55">
        <v>45434</v>
      </c>
      <c r="C555" s="36" t="str">
        <f>UPPER(TEXT(Dados_Cursos[[#This Row],[Data]],"mmm"))</f>
        <v>MAI</v>
      </c>
      <c r="D555" s="52" t="s">
        <v>1956</v>
      </c>
      <c r="E555" s="49" t="str">
        <f>VLOOKUP(Dados_Cursos[[#This Row],[ID]],Apoio!A548:H1548,2,0)</f>
        <v>sofia.martins548@gmail.com</v>
      </c>
      <c r="F555" s="36" t="s">
        <v>664</v>
      </c>
      <c r="G555" s="36" t="s">
        <v>2666</v>
      </c>
      <c r="H555" s="38">
        <v>1200</v>
      </c>
      <c r="I555" s="49">
        <v>5</v>
      </c>
      <c r="J555" s="49" t="str">
        <f>VLOOKUP(Dados_Cursos[[#This Row],[ID]],Apoio!A548:H1548,4,0)</f>
        <v>Bié</v>
      </c>
      <c r="K555" s="37" t="s">
        <v>112</v>
      </c>
      <c r="L555" s="37" t="s">
        <v>109</v>
      </c>
      <c r="M555" s="53"/>
    </row>
    <row r="556" spans="1:13" ht="20.100000000000001" customHeight="1" x14ac:dyDescent="0.25">
      <c r="A556" s="49">
        <v>549</v>
      </c>
      <c r="B556" s="55">
        <v>45352</v>
      </c>
      <c r="C556" s="36" t="str">
        <f>UPPER(TEXT(Dados_Cursos[[#This Row],[Data]],"mmm"))</f>
        <v>MAR</v>
      </c>
      <c r="D556" s="52" t="s">
        <v>1293</v>
      </c>
      <c r="E556" s="49" t="str">
        <f>VLOOKUP(Dados_Cursos[[#This Row],[ID]],Apoio!A549:H1549,2,0)</f>
        <v>cláudia.costa549@gmail.com</v>
      </c>
      <c r="F556" s="36" t="s">
        <v>665</v>
      </c>
      <c r="G556" s="36" t="s">
        <v>2666</v>
      </c>
      <c r="H556" s="38">
        <v>1200</v>
      </c>
      <c r="I556" s="49">
        <v>3</v>
      </c>
      <c r="J556" s="49" t="str">
        <f>VLOOKUP(Dados_Cursos[[#This Row],[ID]],Apoio!A549:H1549,4,0)</f>
        <v>Icolo e Bengo</v>
      </c>
      <c r="K556" s="37" t="s">
        <v>113</v>
      </c>
      <c r="L556" s="37" t="s">
        <v>2649</v>
      </c>
      <c r="M556" s="53"/>
    </row>
    <row r="557" spans="1:13" ht="20.100000000000001" customHeight="1" x14ac:dyDescent="0.25">
      <c r="A557" s="49">
        <v>550</v>
      </c>
      <c r="B557" s="55">
        <v>45319</v>
      </c>
      <c r="C557" s="36" t="str">
        <f>UPPER(TEXT(Dados_Cursos[[#This Row],[Data]],"mmm"))</f>
        <v>JAN</v>
      </c>
      <c r="D557" s="52" t="s">
        <v>1285</v>
      </c>
      <c r="E557" s="49" t="str">
        <f>VLOOKUP(Dados_Cursos[[#This Row],[ID]],Apoio!A550:H1550,2,0)</f>
        <v>antónio.costa550@gmail.com</v>
      </c>
      <c r="F557" s="36" t="s">
        <v>666</v>
      </c>
      <c r="G557" s="36" t="s">
        <v>2665</v>
      </c>
      <c r="H557" s="38">
        <v>1500</v>
      </c>
      <c r="I557" s="49">
        <v>5</v>
      </c>
      <c r="J557" s="49" t="str">
        <f>VLOOKUP(Dados_Cursos[[#This Row],[ID]],Apoio!A550:H1550,4,0)</f>
        <v>Lunda Norte</v>
      </c>
      <c r="K557" s="37" t="s">
        <v>113</v>
      </c>
      <c r="L557" s="37" t="s">
        <v>111</v>
      </c>
      <c r="M557" s="53"/>
    </row>
    <row r="558" spans="1:13" ht="20.100000000000001" customHeight="1" x14ac:dyDescent="0.25">
      <c r="A558" s="49">
        <v>551</v>
      </c>
      <c r="B558" s="55">
        <v>45394</v>
      </c>
      <c r="C558" s="36" t="str">
        <f>UPPER(TEXT(Dados_Cursos[[#This Row],[Data]],"mmm"))</f>
        <v>ABR</v>
      </c>
      <c r="D558" s="52" t="s">
        <v>1779</v>
      </c>
      <c r="E558" s="49" t="str">
        <f>VLOOKUP(Dados_Cursos[[#This Row],[ID]],Apoio!A551:H1551,2,0)</f>
        <v>nelson.soares551@gmail.com</v>
      </c>
      <c r="F558" s="36" t="s">
        <v>667</v>
      </c>
      <c r="G558" s="36" t="s">
        <v>2665</v>
      </c>
      <c r="H558" s="38">
        <v>1500</v>
      </c>
      <c r="I558" s="49">
        <v>19</v>
      </c>
      <c r="J558" s="49" t="str">
        <f>VLOOKUP(Dados_Cursos[[#This Row],[ID]],Apoio!A551:H1551,4,0)</f>
        <v>Bié</v>
      </c>
      <c r="K558" s="37" t="s">
        <v>112</v>
      </c>
      <c r="L558" s="37" t="s">
        <v>109</v>
      </c>
      <c r="M558" s="53"/>
    </row>
    <row r="559" spans="1:13" ht="20.100000000000001" customHeight="1" x14ac:dyDescent="0.25">
      <c r="A559" s="49">
        <v>552</v>
      </c>
      <c r="B559" s="55">
        <v>45567</v>
      </c>
      <c r="C559" s="36" t="str">
        <f>UPPER(TEXT(Dados_Cursos[[#This Row],[Data]],"mmm"))</f>
        <v>OUT</v>
      </c>
      <c r="D559" s="52" t="s">
        <v>1221</v>
      </c>
      <c r="E559" s="49" t="str">
        <f>VLOOKUP(Dados_Cursos[[#This Row],[ID]],Apoio!A552:H1552,2,0)</f>
        <v>fátima.pinto552@gmail.com</v>
      </c>
      <c r="F559" s="36" t="s">
        <v>668</v>
      </c>
      <c r="G559" s="36" t="s">
        <v>2665</v>
      </c>
      <c r="H559" s="38">
        <v>1500</v>
      </c>
      <c r="I559" s="49">
        <v>3</v>
      </c>
      <c r="J559" s="49" t="str">
        <f>VLOOKUP(Dados_Cursos[[#This Row],[ID]],Apoio!A552:H1552,4,0)</f>
        <v>Malanje</v>
      </c>
      <c r="K559" s="37" t="s">
        <v>113</v>
      </c>
      <c r="L559" s="37" t="s">
        <v>2649</v>
      </c>
      <c r="M559" s="53"/>
    </row>
    <row r="560" spans="1:13" ht="20.100000000000001" customHeight="1" x14ac:dyDescent="0.25">
      <c r="A560" s="49">
        <v>553</v>
      </c>
      <c r="B560" s="55">
        <v>45494</v>
      </c>
      <c r="C560" s="36" t="str">
        <f>UPPER(TEXT(Dados_Cursos[[#This Row],[Data]],"mmm"))</f>
        <v>JUL</v>
      </c>
      <c r="D560" s="52" t="s">
        <v>2073</v>
      </c>
      <c r="E560" s="49" t="str">
        <f>VLOOKUP(Dados_Cursos[[#This Row],[ID]],Apoio!A553:H1553,2,0)</f>
        <v>mateus.fernandes553@gmail.com</v>
      </c>
      <c r="F560" s="36" t="s">
        <v>669</v>
      </c>
      <c r="G560" s="36" t="s">
        <v>2665</v>
      </c>
      <c r="H560" s="38">
        <v>1500</v>
      </c>
      <c r="I560" s="49">
        <v>4</v>
      </c>
      <c r="J560" s="49" t="str">
        <f>VLOOKUP(Dados_Cursos[[#This Row],[ID]],Apoio!A553:H1553,4,0)</f>
        <v>Cuanza Sul</v>
      </c>
      <c r="K560" s="37" t="s">
        <v>113</v>
      </c>
      <c r="L560" s="37" t="s">
        <v>110</v>
      </c>
      <c r="M560" s="53"/>
    </row>
    <row r="561" spans="1:13" ht="20.100000000000001" customHeight="1" x14ac:dyDescent="0.25">
      <c r="A561" s="49">
        <v>554</v>
      </c>
      <c r="B561" s="55">
        <v>45582</v>
      </c>
      <c r="C561" s="36" t="str">
        <f>UPPER(TEXT(Dados_Cursos[[#This Row],[Data]],"mmm"))</f>
        <v>OUT</v>
      </c>
      <c r="D561" s="52" t="s">
        <v>2075</v>
      </c>
      <c r="E561" s="49" t="str">
        <f>VLOOKUP(Dados_Cursos[[#This Row],[ID]],Apoio!A554:H1554,2,0)</f>
        <v>bruno.soares554@gmail.com</v>
      </c>
      <c r="F561" s="36" t="s">
        <v>670</v>
      </c>
      <c r="G561" s="36" t="s">
        <v>2666</v>
      </c>
      <c r="H561" s="38">
        <v>1200</v>
      </c>
      <c r="I561" s="49">
        <v>15</v>
      </c>
      <c r="J561" s="49" t="str">
        <f>VLOOKUP(Dados_Cursos[[#This Row],[ID]],Apoio!A554:H1554,4,0)</f>
        <v>Cuanza Norte</v>
      </c>
      <c r="K561" s="37" t="s">
        <v>113</v>
      </c>
      <c r="L561" s="37" t="s">
        <v>111</v>
      </c>
      <c r="M561" s="53"/>
    </row>
    <row r="562" spans="1:13" ht="20.100000000000001" customHeight="1" x14ac:dyDescent="0.25">
      <c r="A562" s="49">
        <v>555</v>
      </c>
      <c r="B562" s="55">
        <v>45452</v>
      </c>
      <c r="C562" s="36" t="str">
        <f>UPPER(TEXT(Dados_Cursos[[#This Row],[Data]],"mmm"))</f>
        <v>JUN</v>
      </c>
      <c r="D562" s="52" t="s">
        <v>1367</v>
      </c>
      <c r="E562" s="49" t="str">
        <f>VLOOKUP(Dados_Cursos[[#This Row],[ID]],Apoio!A555:H1555,2,0)</f>
        <v>rosa.miguel555@gmail.com</v>
      </c>
      <c r="F562" s="36" t="s">
        <v>671</v>
      </c>
      <c r="G562" s="36" t="s">
        <v>2665</v>
      </c>
      <c r="H562" s="38">
        <v>1500</v>
      </c>
      <c r="I562" s="49">
        <v>16</v>
      </c>
      <c r="J562" s="49" t="str">
        <f>VLOOKUP(Dados_Cursos[[#This Row],[ID]],Apoio!A555:H1555,4,0)</f>
        <v>Huíla</v>
      </c>
      <c r="K562" s="37" t="s">
        <v>113</v>
      </c>
      <c r="L562" s="37" t="s">
        <v>110</v>
      </c>
      <c r="M562" s="53"/>
    </row>
    <row r="563" spans="1:13" ht="20.100000000000001" customHeight="1" x14ac:dyDescent="0.25">
      <c r="A563" s="49">
        <v>556</v>
      </c>
      <c r="B563" s="55">
        <v>45363</v>
      </c>
      <c r="C563" s="36" t="str">
        <f>UPPER(TEXT(Dados_Cursos[[#This Row],[Data]],"mmm"))</f>
        <v>MAR</v>
      </c>
      <c r="D563" s="52" t="s">
        <v>1816</v>
      </c>
      <c r="E563" s="49" t="str">
        <f>VLOOKUP(Dados_Cursos[[#This Row],[ID]],Apoio!A556:H1556,2,0)</f>
        <v>daniel.fernandes556@gmail.com</v>
      </c>
      <c r="F563" s="36" t="s">
        <v>672</v>
      </c>
      <c r="G563" s="36" t="s">
        <v>2666</v>
      </c>
      <c r="H563" s="38">
        <v>1200</v>
      </c>
      <c r="I563" s="49">
        <v>10</v>
      </c>
      <c r="J563" s="49" t="str">
        <f>VLOOKUP(Dados_Cursos[[#This Row],[ID]],Apoio!A556:H1556,4,0)</f>
        <v>Cubango</v>
      </c>
      <c r="K563" s="37" t="s">
        <v>113</v>
      </c>
      <c r="L563" s="37" t="s">
        <v>2649</v>
      </c>
      <c r="M563" s="53"/>
    </row>
    <row r="564" spans="1:13" ht="20.100000000000001" customHeight="1" x14ac:dyDescent="0.25">
      <c r="A564" s="49">
        <v>557</v>
      </c>
      <c r="B564" s="55">
        <v>45573</v>
      </c>
      <c r="C564" s="36" t="str">
        <f>UPPER(TEXT(Dados_Cursos[[#This Row],[Data]],"mmm"))</f>
        <v>OUT</v>
      </c>
      <c r="D564" s="52" t="s">
        <v>2079</v>
      </c>
      <c r="E564" s="49" t="str">
        <f>VLOOKUP(Dados_Cursos[[#This Row],[ID]],Apoio!A557:H1557,2,0)</f>
        <v>adriano.silva557@gmail.com</v>
      </c>
      <c r="F564" s="36" t="s">
        <v>673</v>
      </c>
      <c r="G564" s="36" t="s">
        <v>2666</v>
      </c>
      <c r="H564" s="38">
        <v>800</v>
      </c>
      <c r="I564" s="49">
        <v>20</v>
      </c>
      <c r="J564" s="49" t="str">
        <f>VLOOKUP(Dados_Cursos[[#This Row],[ID]],Apoio!A557:H1557,4,0)</f>
        <v>Huambo</v>
      </c>
      <c r="K564" s="37" t="s">
        <v>112</v>
      </c>
      <c r="L564" s="37" t="s">
        <v>109</v>
      </c>
      <c r="M564" s="53"/>
    </row>
    <row r="565" spans="1:13" ht="20.100000000000001" customHeight="1" x14ac:dyDescent="0.25">
      <c r="A565" s="49">
        <v>558</v>
      </c>
      <c r="B565" s="55">
        <v>45475</v>
      </c>
      <c r="C565" s="36" t="str">
        <f>UPPER(TEXT(Dados_Cursos[[#This Row],[Data]],"mmm"))</f>
        <v>JUL</v>
      </c>
      <c r="D565" s="52" t="s">
        <v>1169</v>
      </c>
      <c r="E565" s="49" t="str">
        <f>VLOOKUP(Dados_Cursos[[#This Row],[ID]],Apoio!A558:H1558,2,0)</f>
        <v>pedro.lopes558@gmail.com</v>
      </c>
      <c r="F565" s="36" t="s">
        <v>674</v>
      </c>
      <c r="G565" s="36" t="s">
        <v>2666</v>
      </c>
      <c r="H565" s="38">
        <v>800</v>
      </c>
      <c r="I565" s="49">
        <v>4</v>
      </c>
      <c r="J565" s="49" t="str">
        <f>VLOOKUP(Dados_Cursos[[#This Row],[ID]],Apoio!A558:H1558,4,0)</f>
        <v>Bié</v>
      </c>
      <c r="K565" s="37" t="s">
        <v>113</v>
      </c>
      <c r="L565" s="37" t="s">
        <v>110</v>
      </c>
      <c r="M565" s="53"/>
    </row>
    <row r="566" spans="1:13" ht="20.100000000000001" customHeight="1" x14ac:dyDescent="0.25">
      <c r="A566" s="49">
        <v>559</v>
      </c>
      <c r="B566" s="55">
        <v>45646</v>
      </c>
      <c r="C566" s="36" t="str">
        <f>UPPER(TEXT(Dados_Cursos[[#This Row],[Data]],"mmm"))</f>
        <v>DEZ</v>
      </c>
      <c r="D566" s="52" t="s">
        <v>1199</v>
      </c>
      <c r="E566" s="49" t="str">
        <f>VLOOKUP(Dados_Cursos[[#This Row],[ID]],Apoio!A559:H1559,2,0)</f>
        <v>rui.domingues559@gmail.com</v>
      </c>
      <c r="F566" s="36" t="s">
        <v>675</v>
      </c>
      <c r="G566" s="36" t="s">
        <v>2666</v>
      </c>
      <c r="H566" s="38">
        <v>800</v>
      </c>
      <c r="I566" s="49">
        <v>2</v>
      </c>
      <c r="J566" s="49" t="str">
        <f>VLOOKUP(Dados_Cursos[[#This Row],[ID]],Apoio!A559:H1559,4,0)</f>
        <v>Bengo</v>
      </c>
      <c r="K566" s="37" t="s">
        <v>113</v>
      </c>
      <c r="L566" s="37" t="s">
        <v>2649</v>
      </c>
      <c r="M566" s="53"/>
    </row>
    <row r="567" spans="1:13" ht="20.100000000000001" customHeight="1" x14ac:dyDescent="0.25">
      <c r="A567" s="49">
        <v>560</v>
      </c>
      <c r="B567" s="55">
        <v>45317</v>
      </c>
      <c r="C567" s="36" t="str">
        <f>UPPER(TEXT(Dados_Cursos[[#This Row],[Data]],"mmm"))</f>
        <v>JAN</v>
      </c>
      <c r="D567" s="52" t="s">
        <v>2083</v>
      </c>
      <c r="E567" s="49" t="str">
        <f>VLOOKUP(Dados_Cursos[[#This Row],[ID]],Apoio!A560:H1560,2,0)</f>
        <v>joão.andrade560@gmail.com</v>
      </c>
      <c r="F567" s="36" t="s">
        <v>676</v>
      </c>
      <c r="G567" s="36" t="s">
        <v>2666</v>
      </c>
      <c r="H567" s="38">
        <v>800</v>
      </c>
      <c r="I567" s="49">
        <v>10</v>
      </c>
      <c r="J567" s="49" t="str">
        <f>VLOOKUP(Dados_Cursos[[#This Row],[ID]],Apoio!A560:H1560,4,0)</f>
        <v>Malanje</v>
      </c>
      <c r="K567" s="37" t="s">
        <v>113</v>
      </c>
      <c r="L567" s="37" t="s">
        <v>2649</v>
      </c>
      <c r="M567" s="53"/>
    </row>
    <row r="568" spans="1:13" ht="20.100000000000001" customHeight="1" x14ac:dyDescent="0.25">
      <c r="A568" s="49">
        <v>561</v>
      </c>
      <c r="B568" s="55">
        <v>45594</v>
      </c>
      <c r="C568" s="36" t="str">
        <f>UPPER(TEXT(Dados_Cursos[[#This Row],[Data]],"mmm"))</f>
        <v>OUT</v>
      </c>
      <c r="D568" s="52" t="s">
        <v>2085</v>
      </c>
      <c r="E568" s="49" t="str">
        <f>VLOOKUP(Dados_Cursos[[#This Row],[ID]],Apoio!A561:H1561,2,0)</f>
        <v>cláudia.andrade561@gmail.com</v>
      </c>
      <c r="F568" s="36" t="s">
        <v>677</v>
      </c>
      <c r="G568" s="36" t="s">
        <v>2666</v>
      </c>
      <c r="H568" s="38">
        <v>800</v>
      </c>
      <c r="I568" s="49">
        <v>13</v>
      </c>
      <c r="J568" s="49" t="str">
        <f>VLOOKUP(Dados_Cursos[[#This Row],[ID]],Apoio!A561:H1561,4,0)</f>
        <v>Namibe</v>
      </c>
      <c r="K568" s="37" t="s">
        <v>113</v>
      </c>
      <c r="L568" s="37" t="s">
        <v>110</v>
      </c>
      <c r="M568" s="53"/>
    </row>
    <row r="569" spans="1:13" ht="20.100000000000001" customHeight="1" x14ac:dyDescent="0.25">
      <c r="A569" s="49">
        <v>562</v>
      </c>
      <c r="B569" s="55">
        <v>45585</v>
      </c>
      <c r="C569" s="36" t="str">
        <f>UPPER(TEXT(Dados_Cursos[[#This Row],[Data]],"mmm"))</f>
        <v>OUT</v>
      </c>
      <c r="D569" s="52" t="s">
        <v>1210</v>
      </c>
      <c r="E569" s="49" t="str">
        <f>VLOOKUP(Dados_Cursos[[#This Row],[ID]],Apoio!A562:H1562,2,0)</f>
        <v>maria.monteiro562@gmail.com</v>
      </c>
      <c r="F569" s="36" t="s">
        <v>678</v>
      </c>
      <c r="G569" s="36" t="s">
        <v>2665</v>
      </c>
      <c r="H569" s="38">
        <v>1500</v>
      </c>
      <c r="I569" s="49">
        <v>16</v>
      </c>
      <c r="J569" s="49" t="str">
        <f>VLOOKUP(Dados_Cursos[[#This Row],[ID]],Apoio!A562:H1562,4,0)</f>
        <v>Malanje</v>
      </c>
      <c r="K569" s="37" t="s">
        <v>113</v>
      </c>
      <c r="L569" s="37" t="s">
        <v>110</v>
      </c>
      <c r="M569" s="53"/>
    </row>
    <row r="570" spans="1:13" ht="20.100000000000001" customHeight="1" x14ac:dyDescent="0.25">
      <c r="A570" s="49">
        <v>563</v>
      </c>
      <c r="B570" s="55">
        <v>45537</v>
      </c>
      <c r="C570" s="36" t="str">
        <f>UPPER(TEXT(Dados_Cursos[[#This Row],[Data]],"mmm"))</f>
        <v>SET</v>
      </c>
      <c r="D570" s="52" t="s">
        <v>1234</v>
      </c>
      <c r="E570" s="49" t="str">
        <f>VLOOKUP(Dados_Cursos[[#This Row],[ID]],Apoio!A563:H1563,2,0)</f>
        <v>mateus.pereira563@gmail.com</v>
      </c>
      <c r="F570" s="36" t="s">
        <v>679</v>
      </c>
      <c r="G570" s="36" t="s">
        <v>2665</v>
      </c>
      <c r="H570" s="38">
        <v>1500</v>
      </c>
      <c r="I570" s="49">
        <v>1</v>
      </c>
      <c r="J570" s="49" t="str">
        <f>VLOOKUP(Dados_Cursos[[#This Row],[ID]],Apoio!A563:H1563,4,0)</f>
        <v>Huíla</v>
      </c>
      <c r="K570" s="37" t="s">
        <v>113</v>
      </c>
      <c r="L570" s="37" t="s">
        <v>2649</v>
      </c>
      <c r="M570" s="53"/>
    </row>
    <row r="571" spans="1:13" ht="20.100000000000001" customHeight="1" x14ac:dyDescent="0.25">
      <c r="A571" s="49">
        <v>564</v>
      </c>
      <c r="B571" s="55">
        <v>45524</v>
      </c>
      <c r="C571" s="36" t="str">
        <f>UPPER(TEXT(Dados_Cursos[[#This Row],[Data]],"mmm"))</f>
        <v>AGO</v>
      </c>
      <c r="D571" s="52" t="s">
        <v>1747</v>
      </c>
      <c r="E571" s="49" t="str">
        <f>VLOOKUP(Dados_Cursos[[#This Row],[ID]],Apoio!A564:H1564,2,0)</f>
        <v>marta.lukeba564@gmail.com</v>
      </c>
      <c r="F571" s="36" t="s">
        <v>680</v>
      </c>
      <c r="G571" s="36" t="s">
        <v>2665</v>
      </c>
      <c r="H571" s="38">
        <v>1500</v>
      </c>
      <c r="I571" s="49">
        <v>6</v>
      </c>
      <c r="J571" s="49" t="str">
        <f>VLOOKUP(Dados_Cursos[[#This Row],[ID]],Apoio!A564:H1564,4,0)</f>
        <v>Malanje</v>
      </c>
      <c r="K571" s="37" t="s">
        <v>113</v>
      </c>
      <c r="L571" s="37" t="s">
        <v>110</v>
      </c>
      <c r="M571" s="53"/>
    </row>
    <row r="572" spans="1:13" ht="20.100000000000001" customHeight="1" x14ac:dyDescent="0.25">
      <c r="A572" s="49">
        <v>565</v>
      </c>
      <c r="B572" s="55">
        <v>45552</v>
      </c>
      <c r="C572" s="36" t="str">
        <f>UPPER(TEXT(Dados_Cursos[[#This Row],[Data]],"mmm"))</f>
        <v>SET</v>
      </c>
      <c r="D572" s="52" t="s">
        <v>2090</v>
      </c>
      <c r="E572" s="49" t="str">
        <f>VLOOKUP(Dados_Cursos[[#This Row],[ID]],Apoio!A565:H1565,2,0)</f>
        <v>antónio.tavares565@gmail.com</v>
      </c>
      <c r="F572" s="36" t="s">
        <v>681</v>
      </c>
      <c r="G572" s="36" t="s">
        <v>2666</v>
      </c>
      <c r="H572" s="38">
        <v>1200</v>
      </c>
      <c r="I572" s="49">
        <v>11</v>
      </c>
      <c r="J572" s="49" t="str">
        <f>VLOOKUP(Dados_Cursos[[#This Row],[ID]],Apoio!A565:H1565,4,0)</f>
        <v>Luanda</v>
      </c>
      <c r="K572" s="37" t="s">
        <v>113</v>
      </c>
      <c r="L572" s="37" t="s">
        <v>2649</v>
      </c>
      <c r="M572" s="53"/>
    </row>
    <row r="573" spans="1:13" ht="20.100000000000001" customHeight="1" x14ac:dyDescent="0.25">
      <c r="A573" s="49">
        <v>566</v>
      </c>
      <c r="B573" s="55">
        <v>45654</v>
      </c>
      <c r="C573" s="36" t="str">
        <f>UPPER(TEXT(Dados_Cursos[[#This Row],[Data]],"mmm"))</f>
        <v>DEZ</v>
      </c>
      <c r="D573" s="52" t="s">
        <v>1762</v>
      </c>
      <c r="E573" s="49" t="str">
        <f>VLOOKUP(Dados_Cursos[[#This Row],[ID]],Apoio!A566:H1566,2,0)</f>
        <v>daniel.monteiro566@gmail.com</v>
      </c>
      <c r="F573" s="36" t="s">
        <v>682</v>
      </c>
      <c r="G573" s="36" t="s">
        <v>2666</v>
      </c>
      <c r="H573" s="38">
        <v>800</v>
      </c>
      <c r="I573" s="49">
        <v>5</v>
      </c>
      <c r="J573" s="49" t="str">
        <f>VLOOKUP(Dados_Cursos[[#This Row],[ID]],Apoio!A566:H1566,4,0)</f>
        <v>Huambo</v>
      </c>
      <c r="K573" s="37" t="s">
        <v>112</v>
      </c>
      <c r="L573" s="37" t="s">
        <v>109</v>
      </c>
      <c r="M573" s="53"/>
    </row>
    <row r="574" spans="1:13" ht="20.100000000000001" customHeight="1" x14ac:dyDescent="0.25">
      <c r="A574" s="49">
        <v>567</v>
      </c>
      <c r="B574" s="55">
        <v>45422</v>
      </c>
      <c r="C574" s="36" t="str">
        <f>UPPER(TEXT(Dados_Cursos[[#This Row],[Data]],"mmm"))</f>
        <v>MAI</v>
      </c>
      <c r="D574" s="52" t="s">
        <v>2093</v>
      </c>
      <c r="E574" s="49" t="str">
        <f>VLOOKUP(Dados_Cursos[[#This Row],[ID]],Apoio!A567:H1567,2,0)</f>
        <v>fátima.pereira567@gmail.com</v>
      </c>
      <c r="F574" s="36" t="s">
        <v>683</v>
      </c>
      <c r="G574" s="36" t="s">
        <v>2666</v>
      </c>
      <c r="H574" s="38">
        <v>800</v>
      </c>
      <c r="I574" s="49">
        <v>20</v>
      </c>
      <c r="J574" s="49" t="str">
        <f>VLOOKUP(Dados_Cursos[[#This Row],[ID]],Apoio!A567:H1567,4,0)</f>
        <v>Namibe</v>
      </c>
      <c r="K574" s="37" t="s">
        <v>113</v>
      </c>
      <c r="L574" s="37" t="s">
        <v>2649</v>
      </c>
      <c r="M574" s="53"/>
    </row>
    <row r="575" spans="1:13" ht="20.100000000000001" customHeight="1" x14ac:dyDescent="0.25">
      <c r="A575" s="49">
        <v>568</v>
      </c>
      <c r="B575" s="55">
        <v>45575</v>
      </c>
      <c r="C575" s="36" t="str">
        <f>UPPER(TEXT(Dados_Cursos[[#This Row],[Data]],"mmm"))</f>
        <v>OUT</v>
      </c>
      <c r="D575" s="52" t="s">
        <v>2095</v>
      </c>
      <c r="E575" s="49" t="str">
        <f>VLOOKUP(Dados_Cursos[[#This Row],[ID]],Apoio!A568:H1568,2,0)</f>
        <v>daniel.martins568@gmail.com</v>
      </c>
      <c r="F575" s="36" t="s">
        <v>684</v>
      </c>
      <c r="G575" s="36" t="s">
        <v>2666</v>
      </c>
      <c r="H575" s="38">
        <v>1200</v>
      </c>
      <c r="I575" s="49">
        <v>11</v>
      </c>
      <c r="J575" s="49" t="str">
        <f>VLOOKUP(Dados_Cursos[[#This Row],[ID]],Apoio!A568:H1568,4,0)</f>
        <v>Cuanza Sul</v>
      </c>
      <c r="K575" s="37" t="s">
        <v>113</v>
      </c>
      <c r="L575" s="37" t="s">
        <v>110</v>
      </c>
      <c r="M575" s="53"/>
    </row>
    <row r="576" spans="1:13" ht="20.100000000000001" customHeight="1" x14ac:dyDescent="0.25">
      <c r="A576" s="49">
        <v>569</v>
      </c>
      <c r="B576" s="55">
        <v>45629</v>
      </c>
      <c r="C576" s="36" t="str">
        <f>UPPER(TEXT(Dados_Cursos[[#This Row],[Data]],"mmm"))</f>
        <v>DEZ</v>
      </c>
      <c r="D576" s="52" t="s">
        <v>1383</v>
      </c>
      <c r="E576" s="49" t="str">
        <f>VLOOKUP(Dados_Cursos[[#This Row],[ID]],Apoio!A569:H1569,2,0)</f>
        <v>sofia.pinto569@gmail.com</v>
      </c>
      <c r="F576" s="36" t="s">
        <v>685</v>
      </c>
      <c r="G576" s="36" t="s">
        <v>2666</v>
      </c>
      <c r="H576" s="38">
        <v>1200</v>
      </c>
      <c r="I576" s="49">
        <v>20</v>
      </c>
      <c r="J576" s="49" t="str">
        <f>VLOOKUP(Dados_Cursos[[#This Row],[ID]],Apoio!A569:H1569,4,0)</f>
        <v>Lunda Sul</v>
      </c>
      <c r="K576" s="37" t="s">
        <v>113</v>
      </c>
      <c r="L576" s="37" t="s">
        <v>110</v>
      </c>
      <c r="M576" s="53"/>
    </row>
    <row r="577" spans="1:13" ht="20.100000000000001" customHeight="1" x14ac:dyDescent="0.25">
      <c r="A577" s="49">
        <v>570</v>
      </c>
      <c r="B577" s="55">
        <v>45582</v>
      </c>
      <c r="C577" s="36" t="str">
        <f>UPPER(TEXT(Dados_Cursos[[#This Row],[Data]],"mmm"))</f>
        <v>OUT</v>
      </c>
      <c r="D577" s="52" t="s">
        <v>1796</v>
      </c>
      <c r="E577" s="49" t="str">
        <f>VLOOKUP(Dados_Cursos[[#This Row],[ID]],Apoio!A570:H1570,2,0)</f>
        <v>rui.silva570@gmail.com</v>
      </c>
      <c r="F577" s="36" t="s">
        <v>686</v>
      </c>
      <c r="G577" s="36" t="s">
        <v>2666</v>
      </c>
      <c r="H577" s="38">
        <v>1200</v>
      </c>
      <c r="I577" s="49">
        <v>5</v>
      </c>
      <c r="J577" s="49" t="str">
        <f>VLOOKUP(Dados_Cursos[[#This Row],[ID]],Apoio!A570:H1570,4,0)</f>
        <v>Benguela</v>
      </c>
      <c r="K577" s="37" t="s">
        <v>113</v>
      </c>
      <c r="L577" s="37" t="s">
        <v>111</v>
      </c>
      <c r="M577" s="53"/>
    </row>
    <row r="578" spans="1:13" ht="20.100000000000001" customHeight="1" x14ac:dyDescent="0.25">
      <c r="A578" s="49">
        <v>571</v>
      </c>
      <c r="B578" s="55">
        <v>45443</v>
      </c>
      <c r="C578" s="36" t="str">
        <f>UPPER(TEXT(Dados_Cursos[[#This Row],[Data]],"mmm"))</f>
        <v>MAI</v>
      </c>
      <c r="D578" s="52" t="s">
        <v>1255</v>
      </c>
      <c r="E578" s="49" t="str">
        <f>VLOOKUP(Dados_Cursos[[#This Row],[ID]],Apoio!A571:H1571,2,0)</f>
        <v>maria.martins571@gmail.com</v>
      </c>
      <c r="F578" s="36" t="s">
        <v>687</v>
      </c>
      <c r="G578" s="36" t="s">
        <v>2666</v>
      </c>
      <c r="H578" s="38">
        <v>800</v>
      </c>
      <c r="I578" s="49">
        <v>9</v>
      </c>
      <c r="J578" s="49" t="str">
        <f>VLOOKUP(Dados_Cursos[[#This Row],[ID]],Apoio!A571:H1571,4,0)</f>
        <v>Cabinda</v>
      </c>
      <c r="K578" s="37" t="s">
        <v>113</v>
      </c>
      <c r="L578" s="37" t="s">
        <v>111</v>
      </c>
      <c r="M578" s="53"/>
    </row>
    <row r="579" spans="1:13" ht="20.100000000000001" customHeight="1" x14ac:dyDescent="0.25">
      <c r="A579" s="49">
        <v>572</v>
      </c>
      <c r="B579" s="55">
        <v>45550</v>
      </c>
      <c r="C579" s="36" t="str">
        <f>UPPER(TEXT(Dados_Cursos[[#This Row],[Data]],"mmm"))</f>
        <v>SET</v>
      </c>
      <c r="D579" s="52" t="s">
        <v>1549</v>
      </c>
      <c r="E579" s="49" t="str">
        <f>VLOOKUP(Dados_Cursos[[#This Row],[ID]],Apoio!A572:H1572,2,0)</f>
        <v>rui.santos572@gmail.com</v>
      </c>
      <c r="F579" s="36" t="s">
        <v>688</v>
      </c>
      <c r="G579" s="36" t="s">
        <v>2666</v>
      </c>
      <c r="H579" s="38">
        <v>800</v>
      </c>
      <c r="I579" s="49">
        <v>13</v>
      </c>
      <c r="J579" s="49" t="str">
        <f>VLOOKUP(Dados_Cursos[[#This Row],[ID]],Apoio!A572:H1572,4,0)</f>
        <v>Luanda</v>
      </c>
      <c r="K579" s="37" t="s">
        <v>113</v>
      </c>
      <c r="L579" s="37" t="s">
        <v>111</v>
      </c>
      <c r="M579" s="53"/>
    </row>
    <row r="580" spans="1:13" ht="20.100000000000001" customHeight="1" x14ac:dyDescent="0.25">
      <c r="A580" s="49">
        <v>573</v>
      </c>
      <c r="B580" s="55">
        <v>45429</v>
      </c>
      <c r="C580" s="36" t="str">
        <f>UPPER(TEXT(Dados_Cursos[[#This Row],[Data]],"mmm"))</f>
        <v>MAI</v>
      </c>
      <c r="D580" s="52" t="s">
        <v>2101</v>
      </c>
      <c r="E580" s="49" t="str">
        <f>VLOOKUP(Dados_Cursos[[#This Row],[ID]],Apoio!A573:H1573,2,0)</f>
        <v>carlos.barbosa573@gmail.com</v>
      </c>
      <c r="F580" s="36" t="s">
        <v>689</v>
      </c>
      <c r="G580" s="36" t="s">
        <v>2665</v>
      </c>
      <c r="H580" s="38">
        <v>1500</v>
      </c>
      <c r="I580" s="49">
        <v>14</v>
      </c>
      <c r="J580" s="49" t="str">
        <f>VLOOKUP(Dados_Cursos[[#This Row],[ID]],Apoio!A573:H1573,4,0)</f>
        <v>Lunda Norte</v>
      </c>
      <c r="K580" s="37" t="s">
        <v>113</v>
      </c>
      <c r="L580" s="37" t="s">
        <v>2649</v>
      </c>
      <c r="M580" s="53"/>
    </row>
    <row r="581" spans="1:13" ht="20.100000000000001" customHeight="1" x14ac:dyDescent="0.25">
      <c r="A581" s="49">
        <v>574</v>
      </c>
      <c r="B581" s="55">
        <v>45336</v>
      </c>
      <c r="C581" s="36" t="str">
        <f>UPPER(TEXT(Dados_Cursos[[#This Row],[Data]],"mmm"))</f>
        <v>FEV</v>
      </c>
      <c r="D581" s="52" t="s">
        <v>2103</v>
      </c>
      <c r="E581" s="49" t="str">
        <f>VLOOKUP(Dados_Cursos[[#This Row],[ID]],Apoio!A574:H1574,2,0)</f>
        <v>pedro.david574@gmail.com</v>
      </c>
      <c r="F581" s="36" t="s">
        <v>690</v>
      </c>
      <c r="G581" s="36" t="s">
        <v>2666</v>
      </c>
      <c r="H581" s="38">
        <v>1200</v>
      </c>
      <c r="I581" s="49">
        <v>10</v>
      </c>
      <c r="J581" s="49" t="str">
        <f>VLOOKUP(Dados_Cursos[[#This Row],[ID]],Apoio!A574:H1574,4,0)</f>
        <v>Uíge</v>
      </c>
      <c r="K581" s="37" t="s">
        <v>113</v>
      </c>
      <c r="L581" s="37" t="s">
        <v>111</v>
      </c>
      <c r="M581" s="53"/>
    </row>
    <row r="582" spans="1:13" ht="20.100000000000001" customHeight="1" x14ac:dyDescent="0.25">
      <c r="A582" s="49">
        <v>575</v>
      </c>
      <c r="B582" s="55">
        <v>45314</v>
      </c>
      <c r="C582" s="36" t="str">
        <f>UPPER(TEXT(Dados_Cursos[[#This Row],[Data]],"mmm"))</f>
        <v>JAN</v>
      </c>
      <c r="D582" s="52" t="s">
        <v>1281</v>
      </c>
      <c r="E582" s="49" t="str">
        <f>VLOOKUP(Dados_Cursos[[#This Row],[ID]],Apoio!A575:H1575,2,0)</f>
        <v>adriano.santos575@gmail.com</v>
      </c>
      <c r="F582" s="36" t="s">
        <v>691</v>
      </c>
      <c r="G582" s="36" t="s">
        <v>2665</v>
      </c>
      <c r="H582" s="38">
        <v>1500</v>
      </c>
      <c r="I582" s="49">
        <v>15</v>
      </c>
      <c r="J582" s="49" t="str">
        <f>VLOOKUP(Dados_Cursos[[#This Row],[ID]],Apoio!A575:H1575,4,0)</f>
        <v>Bengo</v>
      </c>
      <c r="K582" s="37" t="s">
        <v>113</v>
      </c>
      <c r="L582" s="37" t="s">
        <v>111</v>
      </c>
      <c r="M582" s="53"/>
    </row>
    <row r="583" spans="1:13" ht="20.100000000000001" customHeight="1" x14ac:dyDescent="0.25">
      <c r="A583" s="49">
        <v>576</v>
      </c>
      <c r="B583" s="55">
        <v>45565</v>
      </c>
      <c r="C583" s="36" t="str">
        <f>UPPER(TEXT(Dados_Cursos[[#This Row],[Data]],"mmm"))</f>
        <v>SET</v>
      </c>
      <c r="D583" s="52" t="s">
        <v>1291</v>
      </c>
      <c r="E583" s="49" t="str">
        <f>VLOOKUP(Dados_Cursos[[#This Row],[ID]],Apoio!A576:H1576,2,0)</f>
        <v>adriano.soares576@gmail.com</v>
      </c>
      <c r="F583" s="36" t="s">
        <v>692</v>
      </c>
      <c r="G583" s="36" t="s">
        <v>2666</v>
      </c>
      <c r="H583" s="38">
        <v>1200</v>
      </c>
      <c r="I583" s="49">
        <v>17</v>
      </c>
      <c r="J583" s="49" t="str">
        <f>VLOOKUP(Dados_Cursos[[#This Row],[ID]],Apoio!A576:H1576,4,0)</f>
        <v>Cubango</v>
      </c>
      <c r="K583" s="37" t="s">
        <v>113</v>
      </c>
      <c r="L583" s="37" t="s">
        <v>2649</v>
      </c>
      <c r="M583" s="53"/>
    </row>
    <row r="584" spans="1:13" ht="20.100000000000001" customHeight="1" x14ac:dyDescent="0.25">
      <c r="A584" s="49">
        <v>577</v>
      </c>
      <c r="B584" s="55">
        <v>45504</v>
      </c>
      <c r="C584" s="36" t="str">
        <f>UPPER(TEXT(Dados_Cursos[[#This Row],[Data]],"mmm"))</f>
        <v>JUL</v>
      </c>
      <c r="D584" s="52" t="s">
        <v>2107</v>
      </c>
      <c r="E584" s="49" t="str">
        <f>VLOOKUP(Dados_Cursos[[#This Row],[ID]],Apoio!A577:H1577,2,0)</f>
        <v>ana.martins577@gmail.com</v>
      </c>
      <c r="F584" s="36" t="s">
        <v>693</v>
      </c>
      <c r="G584" s="36" t="s">
        <v>2665</v>
      </c>
      <c r="H584" s="38">
        <v>1500</v>
      </c>
      <c r="I584" s="49">
        <v>11</v>
      </c>
      <c r="J584" s="49" t="str">
        <f>VLOOKUP(Dados_Cursos[[#This Row],[ID]],Apoio!A577:H1577,4,0)</f>
        <v>Luanda</v>
      </c>
      <c r="K584" s="37" t="s">
        <v>113</v>
      </c>
      <c r="L584" s="37" t="s">
        <v>2649</v>
      </c>
      <c r="M584" s="53"/>
    </row>
    <row r="585" spans="1:13" ht="20.100000000000001" customHeight="1" x14ac:dyDescent="0.25">
      <c r="A585" s="49">
        <v>578</v>
      </c>
      <c r="B585" s="55">
        <v>45408</v>
      </c>
      <c r="C585" s="36" t="str">
        <f>UPPER(TEXT(Dados_Cursos[[#This Row],[Data]],"mmm"))</f>
        <v>ABR</v>
      </c>
      <c r="D585" s="52" t="s">
        <v>2109</v>
      </c>
      <c r="E585" s="49" t="str">
        <f>VLOOKUP(Dados_Cursos[[#This Row],[ID]],Apoio!A578:H1578,2,0)</f>
        <v>fátima.martins578@gmail.com</v>
      </c>
      <c r="F585" s="36" t="s">
        <v>694</v>
      </c>
      <c r="G585" s="36" t="s">
        <v>2666</v>
      </c>
      <c r="H585" s="38">
        <v>1200</v>
      </c>
      <c r="I585" s="49">
        <v>7</v>
      </c>
      <c r="J585" s="49" t="str">
        <f>VLOOKUP(Dados_Cursos[[#This Row],[ID]],Apoio!A578:H1578,4,0)</f>
        <v>Malanje</v>
      </c>
      <c r="K585" s="37" t="s">
        <v>113</v>
      </c>
      <c r="L585" s="37" t="s">
        <v>111</v>
      </c>
      <c r="M585" s="53"/>
    </row>
    <row r="586" spans="1:13" ht="20.100000000000001" customHeight="1" x14ac:dyDescent="0.25">
      <c r="A586" s="49">
        <v>579</v>
      </c>
      <c r="B586" s="55">
        <v>45390</v>
      </c>
      <c r="C586" s="36" t="str">
        <f>UPPER(TEXT(Dados_Cursos[[#This Row],[Data]],"mmm"))</f>
        <v>ABR</v>
      </c>
      <c r="D586" s="52" t="s">
        <v>2111</v>
      </c>
      <c r="E586" s="49" t="str">
        <f>VLOOKUP(Dados_Cursos[[#This Row],[ID]],Apoio!A579:H1579,2,0)</f>
        <v>bruno.martins579@gmail.com</v>
      </c>
      <c r="F586" s="36" t="s">
        <v>695</v>
      </c>
      <c r="G586" s="36" t="s">
        <v>2666</v>
      </c>
      <c r="H586" s="38">
        <v>1200</v>
      </c>
      <c r="I586" s="49">
        <v>19</v>
      </c>
      <c r="J586" s="49" t="str">
        <f>VLOOKUP(Dados_Cursos[[#This Row],[ID]],Apoio!A579:H1579,4,0)</f>
        <v>Icolo e Bengo</v>
      </c>
      <c r="K586" s="37" t="s">
        <v>113</v>
      </c>
      <c r="L586" s="37" t="s">
        <v>111</v>
      </c>
      <c r="M586" s="53"/>
    </row>
    <row r="587" spans="1:13" ht="20.100000000000001" customHeight="1" x14ac:dyDescent="0.25">
      <c r="A587" s="49">
        <v>580</v>
      </c>
      <c r="B587" s="55">
        <v>45461</v>
      </c>
      <c r="C587" s="36" t="str">
        <f>UPPER(TEXT(Dados_Cursos[[#This Row],[Data]],"mmm"))</f>
        <v>JUN</v>
      </c>
      <c r="D587" s="52" t="s">
        <v>1179</v>
      </c>
      <c r="E587" s="49" t="str">
        <f>VLOOKUP(Dados_Cursos[[#This Row],[ID]],Apoio!A580:H1580,2,0)</f>
        <v>bruno.lopes580@gmail.com</v>
      </c>
      <c r="F587" s="36" t="s">
        <v>696</v>
      </c>
      <c r="G587" s="36" t="s">
        <v>2666</v>
      </c>
      <c r="H587" s="38">
        <v>800</v>
      </c>
      <c r="I587" s="49">
        <v>13</v>
      </c>
      <c r="J587" s="49" t="str">
        <f>VLOOKUP(Dados_Cursos[[#This Row],[ID]],Apoio!A580:H1580,4,0)</f>
        <v>Huambo</v>
      </c>
      <c r="K587" s="37" t="s">
        <v>112</v>
      </c>
      <c r="L587" s="37" t="s">
        <v>109</v>
      </c>
      <c r="M587" s="53"/>
    </row>
    <row r="588" spans="1:13" ht="20.100000000000001" customHeight="1" x14ac:dyDescent="0.25">
      <c r="A588" s="49">
        <v>581</v>
      </c>
      <c r="B588" s="55">
        <v>45382</v>
      </c>
      <c r="C588" s="36" t="str">
        <f>UPPER(TEXT(Dados_Cursos[[#This Row],[Data]],"mmm"))</f>
        <v>MAR</v>
      </c>
      <c r="D588" s="52" t="s">
        <v>2114</v>
      </c>
      <c r="E588" s="49" t="str">
        <f>VLOOKUP(Dados_Cursos[[#This Row],[ID]],Apoio!A581:H1581,2,0)</f>
        <v>domingos.lukeba581@gmail.com</v>
      </c>
      <c r="F588" s="36" t="s">
        <v>697</v>
      </c>
      <c r="G588" s="36" t="s">
        <v>2666</v>
      </c>
      <c r="H588" s="38">
        <v>1200</v>
      </c>
      <c r="I588" s="49">
        <v>11</v>
      </c>
      <c r="J588" s="49" t="str">
        <f>VLOOKUP(Dados_Cursos[[#This Row],[ID]],Apoio!A581:H1581,4,0)</f>
        <v>Malanje</v>
      </c>
      <c r="K588" s="37" t="s">
        <v>113</v>
      </c>
      <c r="L588" s="37" t="s">
        <v>111</v>
      </c>
      <c r="M588" s="53"/>
    </row>
    <row r="589" spans="1:13" ht="20.100000000000001" customHeight="1" x14ac:dyDescent="0.25">
      <c r="A589" s="49">
        <v>582</v>
      </c>
      <c r="B589" s="55">
        <v>45385</v>
      </c>
      <c r="C589" s="36" t="str">
        <f>UPPER(TEXT(Dados_Cursos[[#This Row],[Data]],"mmm"))</f>
        <v>ABR</v>
      </c>
      <c r="D589" s="52" t="s">
        <v>2116</v>
      </c>
      <c r="E589" s="49" t="str">
        <f>VLOOKUP(Dados_Cursos[[#This Row],[ID]],Apoio!A582:H1582,2,0)</f>
        <v>mateus.barbosa582@gmail.com</v>
      </c>
      <c r="F589" s="36" t="s">
        <v>698</v>
      </c>
      <c r="G589" s="36" t="s">
        <v>2666</v>
      </c>
      <c r="H589" s="38">
        <v>1200</v>
      </c>
      <c r="I589" s="49">
        <v>20</v>
      </c>
      <c r="J589" s="49" t="str">
        <f>VLOOKUP(Dados_Cursos[[#This Row],[ID]],Apoio!A582:H1582,4,0)</f>
        <v>Cubango</v>
      </c>
      <c r="K589" s="37" t="s">
        <v>112</v>
      </c>
      <c r="L589" s="37" t="s">
        <v>109</v>
      </c>
      <c r="M589" s="53"/>
    </row>
    <row r="590" spans="1:13" ht="20.100000000000001" customHeight="1" x14ac:dyDescent="0.25">
      <c r="A590" s="49">
        <v>583</v>
      </c>
      <c r="B590" s="55">
        <v>45510</v>
      </c>
      <c r="C590" s="36" t="str">
        <f>UPPER(TEXT(Dados_Cursos[[#This Row],[Data]],"mmm"))</f>
        <v>AGO</v>
      </c>
      <c r="D590" s="52" t="s">
        <v>1674</v>
      </c>
      <c r="E590" s="49" t="str">
        <f>VLOOKUP(Dados_Cursos[[#This Row],[ID]],Apoio!A583:H1583,2,0)</f>
        <v>joão.tavares583@gmail.com</v>
      </c>
      <c r="F590" s="36" t="s">
        <v>699</v>
      </c>
      <c r="G590" s="36" t="s">
        <v>2666</v>
      </c>
      <c r="H590" s="38">
        <v>800</v>
      </c>
      <c r="I590" s="49">
        <v>17</v>
      </c>
      <c r="J590" s="49" t="str">
        <f>VLOOKUP(Dados_Cursos[[#This Row],[ID]],Apoio!A583:H1583,4,0)</f>
        <v>Bengo</v>
      </c>
      <c r="K590" s="37" t="s">
        <v>113</v>
      </c>
      <c r="L590" s="37" t="s">
        <v>111</v>
      </c>
      <c r="M590" s="53"/>
    </row>
    <row r="591" spans="1:13" ht="20.100000000000001" customHeight="1" x14ac:dyDescent="0.25">
      <c r="A591" s="49">
        <v>584</v>
      </c>
      <c r="B591" s="55">
        <v>45594</v>
      </c>
      <c r="C591" s="36" t="str">
        <f>UPPER(TEXT(Dados_Cursos[[#This Row],[Data]],"mmm"))</f>
        <v>OUT</v>
      </c>
      <c r="D591" s="52" t="s">
        <v>1759</v>
      </c>
      <c r="E591" s="49" t="str">
        <f>VLOOKUP(Dados_Cursos[[#This Row],[ID]],Apoio!A584:H1584,2,0)</f>
        <v>cláudia.rodrigues584@gmail.com</v>
      </c>
      <c r="F591" s="36" t="s">
        <v>700</v>
      </c>
      <c r="G591" s="36" t="s">
        <v>2666</v>
      </c>
      <c r="H591" s="38">
        <v>800</v>
      </c>
      <c r="I591" s="49">
        <v>6</v>
      </c>
      <c r="J591" s="49" t="str">
        <f>VLOOKUP(Dados_Cursos[[#This Row],[ID]],Apoio!A584:H1584,4,0)</f>
        <v>Cunene</v>
      </c>
      <c r="K591" s="37" t="s">
        <v>113</v>
      </c>
      <c r="L591" s="37" t="s">
        <v>111</v>
      </c>
      <c r="M591" s="53"/>
    </row>
    <row r="592" spans="1:13" ht="20.100000000000001" customHeight="1" x14ac:dyDescent="0.25">
      <c r="A592" s="49">
        <v>585</v>
      </c>
      <c r="B592" s="55">
        <v>45437</v>
      </c>
      <c r="C592" s="36" t="str">
        <f>UPPER(TEXT(Dados_Cursos[[#This Row],[Data]],"mmm"))</f>
        <v>MAI</v>
      </c>
      <c r="D592" s="52" t="s">
        <v>1351</v>
      </c>
      <c r="E592" s="49" t="str">
        <f>VLOOKUP(Dados_Cursos[[#This Row],[ID]],Apoio!A585:H1585,2,0)</f>
        <v>daniel.miguel585@gmail.com</v>
      </c>
      <c r="F592" s="36" t="s">
        <v>701</v>
      </c>
      <c r="G592" s="36" t="s">
        <v>2666</v>
      </c>
      <c r="H592" s="38">
        <v>1200</v>
      </c>
      <c r="I592" s="49">
        <v>14</v>
      </c>
      <c r="J592" s="49" t="str">
        <f>VLOOKUP(Dados_Cursos[[#This Row],[ID]],Apoio!A585:H1585,4,0)</f>
        <v>Cuanza Sul</v>
      </c>
      <c r="K592" s="37" t="s">
        <v>113</v>
      </c>
      <c r="L592" s="37" t="s">
        <v>111</v>
      </c>
      <c r="M592" s="53"/>
    </row>
    <row r="593" spans="1:13" ht="20.100000000000001" customHeight="1" x14ac:dyDescent="0.25">
      <c r="A593" s="49">
        <v>586</v>
      </c>
      <c r="B593" s="55">
        <v>45576</v>
      </c>
      <c r="C593" s="36" t="str">
        <f>UPPER(TEXT(Dados_Cursos[[#This Row],[Data]],"mmm"))</f>
        <v>OUT</v>
      </c>
      <c r="D593" s="52" t="s">
        <v>2121</v>
      </c>
      <c r="E593" s="49" t="str">
        <f>VLOOKUP(Dados_Cursos[[#This Row],[ID]],Apoio!A586:H1586,2,0)</f>
        <v>teresa.pereira586@gmail.com</v>
      </c>
      <c r="F593" s="36" t="s">
        <v>702</v>
      </c>
      <c r="G593" s="36" t="s">
        <v>2666</v>
      </c>
      <c r="H593" s="38">
        <v>800</v>
      </c>
      <c r="I593" s="49">
        <v>5</v>
      </c>
      <c r="J593" s="49" t="str">
        <f>VLOOKUP(Dados_Cursos[[#This Row],[ID]],Apoio!A586:H1586,4,0)</f>
        <v>Bié</v>
      </c>
      <c r="K593" s="37" t="s">
        <v>113</v>
      </c>
      <c r="L593" s="37" t="s">
        <v>111</v>
      </c>
      <c r="M593" s="53"/>
    </row>
    <row r="594" spans="1:13" ht="20.100000000000001" customHeight="1" x14ac:dyDescent="0.25">
      <c r="A594" s="49">
        <v>587</v>
      </c>
      <c r="B594" s="55">
        <v>45446</v>
      </c>
      <c r="C594" s="36" t="str">
        <f>UPPER(TEXT(Dados_Cursos[[#This Row],[Data]],"mmm"))</f>
        <v>JUN</v>
      </c>
      <c r="D594" s="52" t="s">
        <v>2123</v>
      </c>
      <c r="E594" s="49" t="str">
        <f>VLOOKUP(Dados_Cursos[[#This Row],[ID]],Apoio!A587:H1587,2,0)</f>
        <v>helena.tavares587@gmail.com</v>
      </c>
      <c r="F594" s="36" t="s">
        <v>703</v>
      </c>
      <c r="G594" s="36" t="s">
        <v>2665</v>
      </c>
      <c r="H594" s="38">
        <v>1500</v>
      </c>
      <c r="I594" s="49">
        <v>11</v>
      </c>
      <c r="J594" s="49" t="str">
        <f>VLOOKUP(Dados_Cursos[[#This Row],[ID]],Apoio!A587:H1587,4,0)</f>
        <v>Uíge</v>
      </c>
      <c r="K594" s="37" t="s">
        <v>113</v>
      </c>
      <c r="L594" s="37" t="s">
        <v>2649</v>
      </c>
      <c r="M594" s="53"/>
    </row>
    <row r="595" spans="1:13" ht="20.100000000000001" customHeight="1" x14ac:dyDescent="0.25">
      <c r="A595" s="49">
        <v>588</v>
      </c>
      <c r="B595" s="55">
        <v>45554</v>
      </c>
      <c r="C595" s="36" t="str">
        <f>UPPER(TEXT(Dados_Cursos[[#This Row],[Data]],"mmm"))</f>
        <v>SET</v>
      </c>
      <c r="D595" s="52" t="s">
        <v>2125</v>
      </c>
      <c r="E595" s="49" t="str">
        <f>VLOOKUP(Dados_Cursos[[#This Row],[ID]],Apoio!A588:H1588,2,0)</f>
        <v>carlos.almeida588@gmail.com</v>
      </c>
      <c r="F595" s="36" t="s">
        <v>704</v>
      </c>
      <c r="G595" s="36" t="s">
        <v>2665</v>
      </c>
      <c r="H595" s="38">
        <v>1500</v>
      </c>
      <c r="I595" s="49">
        <v>2</v>
      </c>
      <c r="J595" s="49" t="str">
        <f>VLOOKUP(Dados_Cursos[[#This Row],[ID]],Apoio!A588:H1588,4,0)</f>
        <v>Bié</v>
      </c>
      <c r="K595" s="37" t="s">
        <v>113</v>
      </c>
      <c r="L595" s="37" t="s">
        <v>111</v>
      </c>
      <c r="M595" s="53"/>
    </row>
    <row r="596" spans="1:13" ht="20.100000000000001" customHeight="1" x14ac:dyDescent="0.25">
      <c r="A596" s="49">
        <v>589</v>
      </c>
      <c r="B596" s="55">
        <v>45413</v>
      </c>
      <c r="C596" s="36" t="str">
        <f>UPPER(TEXT(Dados_Cursos[[#This Row],[Data]],"mmm"))</f>
        <v>MAI</v>
      </c>
      <c r="D596" s="52" t="s">
        <v>1614</v>
      </c>
      <c r="E596" s="49" t="str">
        <f>VLOOKUP(Dados_Cursos[[#This Row],[ID]],Apoio!A589:H1589,2,0)</f>
        <v>manuel.silva589@gmail.com</v>
      </c>
      <c r="F596" s="36" t="s">
        <v>705</v>
      </c>
      <c r="G596" s="36" t="s">
        <v>2666</v>
      </c>
      <c r="H596" s="38">
        <v>800</v>
      </c>
      <c r="I596" s="49">
        <v>14</v>
      </c>
      <c r="J596" s="49" t="str">
        <f>VLOOKUP(Dados_Cursos[[#This Row],[ID]],Apoio!A589:H1589,4,0)</f>
        <v>Huíla</v>
      </c>
      <c r="K596" s="37" t="s">
        <v>113</v>
      </c>
      <c r="L596" s="37" t="s">
        <v>110</v>
      </c>
      <c r="M596" s="53"/>
    </row>
    <row r="597" spans="1:13" ht="20.100000000000001" customHeight="1" x14ac:dyDescent="0.25">
      <c r="A597" s="49">
        <v>590</v>
      </c>
      <c r="B597" s="55">
        <v>45332</v>
      </c>
      <c r="C597" s="36" t="str">
        <f>UPPER(TEXT(Dados_Cursos[[#This Row],[Data]],"mmm"))</f>
        <v>FEV</v>
      </c>
      <c r="D597" s="52" t="s">
        <v>1839</v>
      </c>
      <c r="E597" s="49" t="str">
        <f>VLOOKUP(Dados_Cursos[[#This Row],[ID]],Apoio!A590:H1590,2,0)</f>
        <v>ana.monteiro590@gmail.com</v>
      </c>
      <c r="F597" s="36" t="s">
        <v>706</v>
      </c>
      <c r="G597" s="36" t="s">
        <v>2666</v>
      </c>
      <c r="H597" s="38">
        <v>1200</v>
      </c>
      <c r="I597" s="49">
        <v>10</v>
      </c>
      <c r="J597" s="49" t="str">
        <f>VLOOKUP(Dados_Cursos[[#This Row],[ID]],Apoio!A590:H1590,4,0)</f>
        <v>Zaire</v>
      </c>
      <c r="K597" s="37" t="s">
        <v>113</v>
      </c>
      <c r="L597" s="37" t="s">
        <v>111</v>
      </c>
      <c r="M597" s="53"/>
    </row>
    <row r="598" spans="1:13" ht="20.100000000000001" customHeight="1" x14ac:dyDescent="0.25">
      <c r="A598" s="49">
        <v>591</v>
      </c>
      <c r="B598" s="55">
        <v>45369</v>
      </c>
      <c r="C598" s="36" t="str">
        <f>UPPER(TEXT(Dados_Cursos[[#This Row],[Data]],"mmm"))</f>
        <v>MAR</v>
      </c>
      <c r="D598" s="52" t="s">
        <v>1699</v>
      </c>
      <c r="E598" s="49" t="str">
        <f>VLOOKUP(Dados_Cursos[[#This Row],[ID]],Apoio!A591:H1591,2,0)</f>
        <v>nelson.pinto591@gmail.com</v>
      </c>
      <c r="F598" s="36" t="s">
        <v>707</v>
      </c>
      <c r="G598" s="36" t="s">
        <v>2665</v>
      </c>
      <c r="H598" s="38">
        <v>1500</v>
      </c>
      <c r="I598" s="49">
        <v>9</v>
      </c>
      <c r="J598" s="49" t="str">
        <f>VLOOKUP(Dados_Cursos[[#This Row],[ID]],Apoio!A591:H1591,4,0)</f>
        <v>Luanda</v>
      </c>
      <c r="K598" s="37" t="s">
        <v>113</v>
      </c>
      <c r="L598" s="37" t="s">
        <v>111</v>
      </c>
      <c r="M598" s="53"/>
    </row>
    <row r="599" spans="1:13" ht="20.100000000000001" customHeight="1" x14ac:dyDescent="0.25">
      <c r="A599" s="49">
        <v>592</v>
      </c>
      <c r="B599" s="55">
        <v>45550</v>
      </c>
      <c r="C599" s="36" t="str">
        <f>UPPER(TEXT(Dados_Cursos[[#This Row],[Data]],"mmm"))</f>
        <v>SET</v>
      </c>
      <c r="D599" s="52" t="s">
        <v>1564</v>
      </c>
      <c r="E599" s="49" t="str">
        <f>VLOOKUP(Dados_Cursos[[#This Row],[ID]],Apoio!A592:H1592,2,0)</f>
        <v>mateus.andrade592@gmail.com</v>
      </c>
      <c r="F599" s="36" t="s">
        <v>708</v>
      </c>
      <c r="G599" s="36" t="s">
        <v>2666</v>
      </c>
      <c r="H599" s="38">
        <v>1200</v>
      </c>
      <c r="I599" s="49">
        <v>1</v>
      </c>
      <c r="J599" s="49" t="str">
        <f>VLOOKUP(Dados_Cursos[[#This Row],[ID]],Apoio!A592:H1592,4,0)</f>
        <v>Cabinda</v>
      </c>
      <c r="K599" s="37" t="s">
        <v>113</v>
      </c>
      <c r="L599" s="37" t="s">
        <v>110</v>
      </c>
      <c r="M599" s="53"/>
    </row>
    <row r="600" spans="1:13" ht="20.100000000000001" customHeight="1" x14ac:dyDescent="0.25">
      <c r="A600" s="49">
        <v>593</v>
      </c>
      <c r="B600" s="55">
        <v>45494</v>
      </c>
      <c r="C600" s="36" t="str">
        <f>UPPER(TEXT(Dados_Cursos[[#This Row],[Data]],"mmm"))</f>
        <v>JUL</v>
      </c>
      <c r="D600" s="52" t="s">
        <v>1651</v>
      </c>
      <c r="E600" s="49" t="str">
        <f>VLOOKUP(Dados_Cursos[[#This Row],[ID]],Apoio!A593:H1593,2,0)</f>
        <v>joaquim.miguel593@gmail.com</v>
      </c>
      <c r="F600" s="36" t="s">
        <v>709</v>
      </c>
      <c r="G600" s="36" t="s">
        <v>2666</v>
      </c>
      <c r="H600" s="38">
        <v>1200</v>
      </c>
      <c r="I600" s="49">
        <v>7</v>
      </c>
      <c r="J600" s="49" t="str">
        <f>VLOOKUP(Dados_Cursos[[#This Row],[ID]],Apoio!A593:H1593,4,0)</f>
        <v>Cabinda</v>
      </c>
      <c r="K600" s="37" t="s">
        <v>113</v>
      </c>
      <c r="L600" s="37" t="s">
        <v>2649</v>
      </c>
      <c r="M600" s="53"/>
    </row>
    <row r="601" spans="1:13" ht="20.100000000000001" customHeight="1" x14ac:dyDescent="0.25">
      <c r="A601" s="49">
        <v>594</v>
      </c>
      <c r="B601" s="55">
        <v>45523</v>
      </c>
      <c r="C601" s="36" t="str">
        <f>UPPER(TEXT(Dados_Cursos[[#This Row],[Data]],"mmm"))</f>
        <v>AGO</v>
      </c>
      <c r="D601" s="52" t="s">
        <v>2131</v>
      </c>
      <c r="E601" s="49" t="str">
        <f>VLOOKUP(Dados_Cursos[[#This Row],[ID]],Apoio!A594:H1594,2,0)</f>
        <v>helena.soares594@gmail.com</v>
      </c>
      <c r="F601" s="36" t="s">
        <v>710</v>
      </c>
      <c r="G601" s="36" t="s">
        <v>2666</v>
      </c>
      <c r="H601" s="38">
        <v>1200</v>
      </c>
      <c r="I601" s="49">
        <v>2</v>
      </c>
      <c r="J601" s="49" t="str">
        <f>VLOOKUP(Dados_Cursos[[#This Row],[ID]],Apoio!A594:H1594,4,0)</f>
        <v>Huambo</v>
      </c>
      <c r="K601" s="37" t="s">
        <v>112</v>
      </c>
      <c r="L601" s="37" t="s">
        <v>109</v>
      </c>
      <c r="M601" s="53"/>
    </row>
    <row r="602" spans="1:13" ht="20.100000000000001" customHeight="1" x14ac:dyDescent="0.25">
      <c r="A602" s="49">
        <v>595</v>
      </c>
      <c r="B602" s="55">
        <v>45353</v>
      </c>
      <c r="C602" s="36" t="str">
        <f>UPPER(TEXT(Dados_Cursos[[#This Row],[Data]],"mmm"))</f>
        <v>MAR</v>
      </c>
      <c r="D602" s="52" t="s">
        <v>1634</v>
      </c>
      <c r="E602" s="49" t="str">
        <f>VLOOKUP(Dados_Cursos[[#This Row],[ID]],Apoio!A595:H1595,2,0)</f>
        <v>isabel.miguel595@gmail.com</v>
      </c>
      <c r="F602" s="36" t="s">
        <v>711</v>
      </c>
      <c r="G602" s="36" t="s">
        <v>2666</v>
      </c>
      <c r="H602" s="38">
        <v>800</v>
      </c>
      <c r="I602" s="49">
        <v>11</v>
      </c>
      <c r="J602" s="49" t="str">
        <f>VLOOKUP(Dados_Cursos[[#This Row],[ID]],Apoio!A595:H1595,4,0)</f>
        <v>Cunene</v>
      </c>
      <c r="K602" s="37" t="s">
        <v>112</v>
      </c>
      <c r="L602" s="37" t="s">
        <v>109</v>
      </c>
      <c r="M602" s="53"/>
    </row>
    <row r="603" spans="1:13" ht="20.100000000000001" customHeight="1" x14ac:dyDescent="0.25">
      <c r="A603" s="49">
        <v>596</v>
      </c>
      <c r="B603" s="55">
        <v>45369</v>
      </c>
      <c r="C603" s="36" t="str">
        <f>UPPER(TEXT(Dados_Cursos[[#This Row],[Data]],"mmm"))</f>
        <v>MAR</v>
      </c>
      <c r="D603" s="52" t="s">
        <v>2033</v>
      </c>
      <c r="E603" s="49" t="str">
        <f>VLOOKUP(Dados_Cursos[[#This Row],[ID]],Apoio!A596:H1596,2,0)</f>
        <v>ana.soares596@gmail.com</v>
      </c>
      <c r="F603" s="36" t="s">
        <v>712</v>
      </c>
      <c r="G603" s="36" t="s">
        <v>2665</v>
      </c>
      <c r="H603" s="38">
        <v>1500</v>
      </c>
      <c r="I603" s="49">
        <v>9</v>
      </c>
      <c r="J603" s="49" t="str">
        <f>VLOOKUP(Dados_Cursos[[#This Row],[ID]],Apoio!A596:H1596,4,0)</f>
        <v>Huíla</v>
      </c>
      <c r="K603" s="37" t="s">
        <v>113</v>
      </c>
      <c r="L603" s="37" t="s">
        <v>2649</v>
      </c>
      <c r="M603" s="53"/>
    </row>
    <row r="604" spans="1:13" ht="20.100000000000001" customHeight="1" x14ac:dyDescent="0.25">
      <c r="A604" s="49">
        <v>597</v>
      </c>
      <c r="B604" s="55">
        <v>45560</v>
      </c>
      <c r="C604" s="36" t="str">
        <f>UPPER(TEXT(Dados_Cursos[[#This Row],[Data]],"mmm"))</f>
        <v>SET</v>
      </c>
      <c r="D604" s="52" t="s">
        <v>1426</v>
      </c>
      <c r="E604" s="49" t="str">
        <f>VLOOKUP(Dados_Cursos[[#This Row],[ID]],Apoio!A597:H1597,2,0)</f>
        <v>samuel.rodrigues597@gmail.com</v>
      </c>
      <c r="F604" s="36" t="s">
        <v>713</v>
      </c>
      <c r="G604" s="36" t="s">
        <v>2666</v>
      </c>
      <c r="H604" s="38">
        <v>1200</v>
      </c>
      <c r="I604" s="49">
        <v>16</v>
      </c>
      <c r="J604" s="49" t="str">
        <f>VLOOKUP(Dados_Cursos[[#This Row],[ID]],Apoio!A597:H1597,4,0)</f>
        <v>Huíla</v>
      </c>
      <c r="K604" s="37" t="s">
        <v>113</v>
      </c>
      <c r="L604" s="37" t="s">
        <v>2649</v>
      </c>
      <c r="M604" s="53"/>
    </row>
    <row r="605" spans="1:13" ht="20.100000000000001" customHeight="1" x14ac:dyDescent="0.25">
      <c r="A605" s="49">
        <v>598</v>
      </c>
      <c r="B605" s="55">
        <v>45516</v>
      </c>
      <c r="C605" s="36" t="str">
        <f>UPPER(TEXT(Dados_Cursos[[#This Row],[Data]],"mmm"))</f>
        <v>AGO</v>
      </c>
      <c r="D605" s="52" t="s">
        <v>1685</v>
      </c>
      <c r="E605" s="49" t="str">
        <f>VLOOKUP(Dados_Cursos[[#This Row],[ID]],Apoio!A598:H1598,2,0)</f>
        <v>daniel.tavares598@gmail.com</v>
      </c>
      <c r="F605" s="36" t="s">
        <v>714</v>
      </c>
      <c r="G605" s="36" t="s">
        <v>2666</v>
      </c>
      <c r="H605" s="38">
        <v>1200</v>
      </c>
      <c r="I605" s="49">
        <v>17</v>
      </c>
      <c r="J605" s="49" t="str">
        <f>VLOOKUP(Dados_Cursos[[#This Row],[ID]],Apoio!A598:H1598,4,0)</f>
        <v>Luanda</v>
      </c>
      <c r="K605" s="37" t="s">
        <v>112</v>
      </c>
      <c r="L605" s="37" t="s">
        <v>109</v>
      </c>
      <c r="M605" s="53"/>
    </row>
    <row r="606" spans="1:13" ht="20.100000000000001" customHeight="1" x14ac:dyDescent="0.25">
      <c r="A606" s="49">
        <v>599</v>
      </c>
      <c r="B606" s="55">
        <v>45515</v>
      </c>
      <c r="C606" s="36" t="str">
        <f>UPPER(TEXT(Dados_Cursos[[#This Row],[Data]],"mmm"))</f>
        <v>AGO</v>
      </c>
      <c r="D606" s="52" t="s">
        <v>1450</v>
      </c>
      <c r="E606" s="49" t="str">
        <f>VLOOKUP(Dados_Cursos[[#This Row],[ID]],Apoio!A599:H1599,2,0)</f>
        <v>luís.tavares599@gmail.com</v>
      </c>
      <c r="F606" s="36" t="s">
        <v>715</v>
      </c>
      <c r="G606" s="36" t="s">
        <v>2666</v>
      </c>
      <c r="H606" s="38">
        <v>800</v>
      </c>
      <c r="I606" s="49">
        <v>9</v>
      </c>
      <c r="J606" s="49" t="str">
        <f>VLOOKUP(Dados_Cursos[[#This Row],[ID]],Apoio!A599:H1599,4,0)</f>
        <v>Lunda Sul</v>
      </c>
      <c r="K606" s="37" t="s">
        <v>113</v>
      </c>
      <c r="L606" s="37" t="s">
        <v>110</v>
      </c>
      <c r="M606" s="53"/>
    </row>
    <row r="607" spans="1:13" ht="20.100000000000001" customHeight="1" x14ac:dyDescent="0.25">
      <c r="A607" s="49">
        <v>600</v>
      </c>
      <c r="B607" s="55">
        <v>45596</v>
      </c>
      <c r="C607" s="36" t="str">
        <f>UPPER(TEXT(Dados_Cursos[[#This Row],[Data]],"mmm"))</f>
        <v>OUT</v>
      </c>
      <c r="D607" s="52" t="s">
        <v>1301</v>
      </c>
      <c r="E607" s="49" t="str">
        <f>VLOOKUP(Dados_Cursos[[#This Row],[ID]],Apoio!A600:H1600,2,0)</f>
        <v>manuel.david600@gmail.com</v>
      </c>
      <c r="F607" s="36" t="s">
        <v>716</v>
      </c>
      <c r="G607" s="36" t="s">
        <v>2666</v>
      </c>
      <c r="H607" s="38">
        <v>1200</v>
      </c>
      <c r="I607" s="49">
        <v>16</v>
      </c>
      <c r="J607" s="49" t="str">
        <f>VLOOKUP(Dados_Cursos[[#This Row],[ID]],Apoio!A600:H1600,4,0)</f>
        <v>Cabinda</v>
      </c>
      <c r="K607" s="37" t="s">
        <v>112</v>
      </c>
      <c r="L607" s="37" t="s">
        <v>109</v>
      </c>
      <c r="M607" s="53"/>
    </row>
    <row r="608" spans="1:13" ht="20.100000000000001" customHeight="1" x14ac:dyDescent="0.25">
      <c r="A608" s="49">
        <v>601</v>
      </c>
      <c r="B608" s="55">
        <v>45408</v>
      </c>
      <c r="C608" s="36" t="str">
        <f>UPPER(TEXT(Dados_Cursos[[#This Row],[Data]],"mmm"))</f>
        <v>ABR</v>
      </c>
      <c r="D608" s="52" t="s">
        <v>1144</v>
      </c>
      <c r="E608" s="49" t="str">
        <f>VLOOKUP(Dados_Cursos[[#This Row],[ID]],Apoio!A601:H1601,2,0)</f>
        <v>samuel.monteiro601@gmail.com</v>
      </c>
      <c r="F608" s="36" t="s">
        <v>717</v>
      </c>
      <c r="G608" s="36" t="s">
        <v>2665</v>
      </c>
      <c r="H608" s="38">
        <v>1500</v>
      </c>
      <c r="I608" s="49">
        <v>13</v>
      </c>
      <c r="J608" s="49" t="str">
        <f>VLOOKUP(Dados_Cursos[[#This Row],[ID]],Apoio!A601:H1601,4,0)</f>
        <v>Lunda Norte</v>
      </c>
      <c r="K608" s="37" t="s">
        <v>113</v>
      </c>
      <c r="L608" s="37" t="s">
        <v>110</v>
      </c>
      <c r="M608" s="53"/>
    </row>
    <row r="609" spans="1:13" ht="20.100000000000001" customHeight="1" x14ac:dyDescent="0.25">
      <c r="A609" s="49">
        <v>602</v>
      </c>
      <c r="B609" s="55">
        <v>45438</v>
      </c>
      <c r="C609" s="36" t="str">
        <f>UPPER(TEXT(Dados_Cursos[[#This Row],[Data]],"mmm"))</f>
        <v>MAI</v>
      </c>
      <c r="D609" s="52" t="s">
        <v>1267</v>
      </c>
      <c r="E609" s="49" t="str">
        <f>VLOOKUP(Dados_Cursos[[#This Row],[ID]],Apoio!A602:H1602,2,0)</f>
        <v>domingos.fernandes602@gmail.com</v>
      </c>
      <c r="F609" s="36" t="s">
        <v>718</v>
      </c>
      <c r="G609" s="36" t="s">
        <v>2666</v>
      </c>
      <c r="H609" s="38">
        <v>800</v>
      </c>
      <c r="I609" s="49">
        <v>7</v>
      </c>
      <c r="J609" s="49" t="str">
        <f>VLOOKUP(Dados_Cursos[[#This Row],[ID]],Apoio!A602:H1602,4,0)</f>
        <v>Moxico</v>
      </c>
      <c r="K609" s="37" t="s">
        <v>113</v>
      </c>
      <c r="L609" s="37" t="s">
        <v>2649</v>
      </c>
      <c r="M609" s="53"/>
    </row>
    <row r="610" spans="1:13" ht="20.100000000000001" customHeight="1" x14ac:dyDescent="0.25">
      <c r="A610" s="49">
        <v>603</v>
      </c>
      <c r="B610" s="55">
        <v>45522</v>
      </c>
      <c r="C610" s="36" t="str">
        <f>UPPER(TEXT(Dados_Cursos[[#This Row],[Data]],"mmm"))</f>
        <v>AGO</v>
      </c>
      <c r="D610" s="52" t="s">
        <v>1380</v>
      </c>
      <c r="E610" s="49" t="str">
        <f>VLOOKUP(Dados_Cursos[[#This Row],[ID]],Apoio!A603:H1603,2,0)</f>
        <v>benedito.lopes603@gmail.com</v>
      </c>
      <c r="F610" s="36" t="s">
        <v>719</v>
      </c>
      <c r="G610" s="36" t="s">
        <v>2666</v>
      </c>
      <c r="H610" s="38">
        <v>800</v>
      </c>
      <c r="I610" s="49">
        <v>18</v>
      </c>
      <c r="J610" s="49" t="str">
        <f>VLOOKUP(Dados_Cursos[[#This Row],[ID]],Apoio!A603:H1603,4,0)</f>
        <v>Cuanza Norte</v>
      </c>
      <c r="K610" s="37" t="s">
        <v>112</v>
      </c>
      <c r="L610" s="37" t="s">
        <v>109</v>
      </c>
      <c r="M610" s="53"/>
    </row>
    <row r="611" spans="1:13" ht="20.100000000000001" customHeight="1" x14ac:dyDescent="0.25">
      <c r="A611" s="49">
        <v>604</v>
      </c>
      <c r="B611" s="55">
        <v>45390</v>
      </c>
      <c r="C611" s="36" t="str">
        <f>UPPER(TEXT(Dados_Cursos[[#This Row],[Data]],"mmm"))</f>
        <v>ABR</v>
      </c>
      <c r="D611" s="52" t="s">
        <v>2142</v>
      </c>
      <c r="E611" s="49" t="str">
        <f>VLOOKUP(Dados_Cursos[[#This Row],[ID]],Apoio!A604:H1604,2,0)</f>
        <v>josé.costa604@gmail.com</v>
      </c>
      <c r="F611" s="36" t="s">
        <v>720</v>
      </c>
      <c r="G611" s="36" t="s">
        <v>2666</v>
      </c>
      <c r="H611" s="38">
        <v>1200</v>
      </c>
      <c r="I611" s="49">
        <v>13</v>
      </c>
      <c r="J611" s="49" t="str">
        <f>VLOOKUP(Dados_Cursos[[#This Row],[ID]],Apoio!A604:H1604,4,0)</f>
        <v>Lunda Norte</v>
      </c>
      <c r="K611" s="37" t="s">
        <v>113</v>
      </c>
      <c r="L611" s="37" t="s">
        <v>110</v>
      </c>
      <c r="M611" s="53"/>
    </row>
    <row r="612" spans="1:13" ht="20.100000000000001" customHeight="1" x14ac:dyDescent="0.25">
      <c r="A612" s="49">
        <v>605</v>
      </c>
      <c r="B612" s="55">
        <v>45344</v>
      </c>
      <c r="C612" s="36" t="str">
        <f>UPPER(TEXT(Dados_Cursos[[#This Row],[Data]],"mmm"))</f>
        <v>FEV</v>
      </c>
      <c r="D612" s="52" t="s">
        <v>2144</v>
      </c>
      <c r="E612" s="49" t="str">
        <f>VLOOKUP(Dados_Cursos[[#This Row],[ID]],Apoio!A605:H1605,2,0)</f>
        <v>domingos.costa605@gmail.com</v>
      </c>
      <c r="F612" s="36" t="s">
        <v>721</v>
      </c>
      <c r="G612" s="36" t="s">
        <v>2666</v>
      </c>
      <c r="H612" s="38">
        <v>1200</v>
      </c>
      <c r="I612" s="49">
        <v>14</v>
      </c>
      <c r="J612" s="49" t="str">
        <f>VLOOKUP(Dados_Cursos[[#This Row],[ID]],Apoio!A605:H1605,4,0)</f>
        <v>Huambo</v>
      </c>
      <c r="K612" s="37" t="s">
        <v>112</v>
      </c>
      <c r="L612" s="37" t="s">
        <v>109</v>
      </c>
      <c r="M612" s="53"/>
    </row>
    <row r="613" spans="1:13" ht="20.100000000000001" customHeight="1" x14ac:dyDescent="0.25">
      <c r="A613" s="49">
        <v>606</v>
      </c>
      <c r="B613" s="55">
        <v>45316</v>
      </c>
      <c r="C613" s="36" t="str">
        <f>UPPER(TEXT(Dados_Cursos[[#This Row],[Data]],"mmm"))</f>
        <v>JAN</v>
      </c>
      <c r="D613" s="52" t="s">
        <v>2146</v>
      </c>
      <c r="E613" s="49" t="str">
        <f>VLOOKUP(Dados_Cursos[[#This Row],[ID]],Apoio!A606:H1606,2,0)</f>
        <v>daniel.gomes606@gmail.com</v>
      </c>
      <c r="F613" s="36" t="s">
        <v>722</v>
      </c>
      <c r="G613" s="36" t="s">
        <v>2666</v>
      </c>
      <c r="H613" s="38">
        <v>1200</v>
      </c>
      <c r="I613" s="49">
        <v>14</v>
      </c>
      <c r="J613" s="49" t="str">
        <f>VLOOKUP(Dados_Cursos[[#This Row],[ID]],Apoio!A606:H1606,4,0)</f>
        <v>Cunene</v>
      </c>
      <c r="K613" s="37" t="s">
        <v>113</v>
      </c>
      <c r="L613" s="37" t="s">
        <v>2649</v>
      </c>
      <c r="M613" s="53"/>
    </row>
    <row r="614" spans="1:13" ht="20.100000000000001" customHeight="1" x14ac:dyDescent="0.25">
      <c r="A614" s="49">
        <v>607</v>
      </c>
      <c r="B614" s="55">
        <v>45578</v>
      </c>
      <c r="C614" s="36" t="str">
        <f>UPPER(TEXT(Dados_Cursos[[#This Row],[Data]],"mmm"))</f>
        <v>OUT</v>
      </c>
      <c r="D614" s="52" t="s">
        <v>1781</v>
      </c>
      <c r="E614" s="49" t="str">
        <f>VLOOKUP(Dados_Cursos[[#This Row],[ID]],Apoio!A607:H1607,2,0)</f>
        <v>josé.barbosa607@gmail.com</v>
      </c>
      <c r="F614" s="36" t="s">
        <v>723</v>
      </c>
      <c r="G614" s="36" t="s">
        <v>2666</v>
      </c>
      <c r="H614" s="38">
        <v>800</v>
      </c>
      <c r="I614" s="49">
        <v>16</v>
      </c>
      <c r="J614" s="49" t="str">
        <f>VLOOKUP(Dados_Cursos[[#This Row],[ID]],Apoio!A607:H1607,4,0)</f>
        <v>Namibe</v>
      </c>
      <c r="K614" s="37" t="s">
        <v>113</v>
      </c>
      <c r="L614" s="37" t="s">
        <v>111</v>
      </c>
      <c r="M614" s="53"/>
    </row>
    <row r="615" spans="1:13" ht="20.100000000000001" customHeight="1" x14ac:dyDescent="0.25">
      <c r="A615" s="49">
        <v>608</v>
      </c>
      <c r="B615" s="55">
        <v>45306</v>
      </c>
      <c r="C615" s="36" t="str">
        <f>UPPER(TEXT(Dados_Cursos[[#This Row],[Data]],"mmm"))</f>
        <v>JAN</v>
      </c>
      <c r="D615" s="52" t="s">
        <v>2149</v>
      </c>
      <c r="E615" s="49" t="str">
        <f>VLOOKUP(Dados_Cursos[[#This Row],[ID]],Apoio!A608:H1608,2,0)</f>
        <v>pedro.soares608@gmail.com</v>
      </c>
      <c r="F615" s="36" t="s">
        <v>724</v>
      </c>
      <c r="G615" s="36" t="s">
        <v>2666</v>
      </c>
      <c r="H615" s="38">
        <v>800</v>
      </c>
      <c r="I615" s="49">
        <v>10</v>
      </c>
      <c r="J615" s="49" t="str">
        <f>VLOOKUP(Dados_Cursos[[#This Row],[ID]],Apoio!A608:H1608,4,0)</f>
        <v>Cuanza Norte</v>
      </c>
      <c r="K615" s="37" t="s">
        <v>113</v>
      </c>
      <c r="L615" s="37" t="s">
        <v>2649</v>
      </c>
      <c r="M615" s="53"/>
    </row>
    <row r="616" spans="1:13" ht="20.100000000000001" customHeight="1" x14ac:dyDescent="0.25">
      <c r="A616" s="49">
        <v>609</v>
      </c>
      <c r="B616" s="55">
        <v>45463</v>
      </c>
      <c r="C616" s="36" t="str">
        <f>UPPER(TEXT(Dados_Cursos[[#This Row],[Data]],"mmm"))</f>
        <v>JUN</v>
      </c>
      <c r="D616" s="52" t="s">
        <v>1861</v>
      </c>
      <c r="E616" s="49" t="str">
        <f>VLOOKUP(Dados_Cursos[[#This Row],[ID]],Apoio!A609:H1609,2,0)</f>
        <v>paulo.andrade609@gmail.com</v>
      </c>
      <c r="F616" s="36" t="s">
        <v>725</v>
      </c>
      <c r="G616" s="36" t="s">
        <v>2665</v>
      </c>
      <c r="H616" s="38">
        <v>1500</v>
      </c>
      <c r="I616" s="49">
        <v>3</v>
      </c>
      <c r="J616" s="49" t="str">
        <f>VLOOKUP(Dados_Cursos[[#This Row],[ID]],Apoio!A609:H1609,4,0)</f>
        <v>Huíla</v>
      </c>
      <c r="K616" s="37" t="s">
        <v>113</v>
      </c>
      <c r="L616" s="37" t="s">
        <v>111</v>
      </c>
      <c r="M616" s="53"/>
    </row>
    <row r="617" spans="1:13" ht="20.100000000000001" customHeight="1" x14ac:dyDescent="0.25">
      <c r="A617" s="49">
        <v>610</v>
      </c>
      <c r="B617" s="55">
        <v>45522</v>
      </c>
      <c r="C617" s="36" t="str">
        <f>UPPER(TEXT(Dados_Cursos[[#This Row],[Data]],"mmm"))</f>
        <v>AGO</v>
      </c>
      <c r="D617" s="52" t="s">
        <v>1340</v>
      </c>
      <c r="E617" s="49" t="str">
        <f>VLOOKUP(Dados_Cursos[[#This Row],[ID]],Apoio!A610:H1610,2,0)</f>
        <v>josé.silva610@gmail.com</v>
      </c>
      <c r="F617" s="36" t="s">
        <v>726</v>
      </c>
      <c r="G617" s="36" t="s">
        <v>2665</v>
      </c>
      <c r="H617" s="38">
        <v>1500</v>
      </c>
      <c r="I617" s="49">
        <v>5</v>
      </c>
      <c r="J617" s="49" t="str">
        <f>VLOOKUP(Dados_Cursos[[#This Row],[ID]],Apoio!A610:H1610,4,0)</f>
        <v>Bengo</v>
      </c>
      <c r="K617" s="37" t="s">
        <v>112</v>
      </c>
      <c r="L617" s="37" t="s">
        <v>109</v>
      </c>
      <c r="M617" s="53"/>
    </row>
    <row r="618" spans="1:13" ht="20.100000000000001" customHeight="1" x14ac:dyDescent="0.25">
      <c r="A618" s="49">
        <v>611</v>
      </c>
      <c r="B618" s="55">
        <v>45296</v>
      </c>
      <c r="C618" s="36" t="str">
        <f>UPPER(TEXT(Dados_Cursos[[#This Row],[Data]],"mmm"))</f>
        <v>JAN</v>
      </c>
      <c r="D618" s="52" t="s">
        <v>1484</v>
      </c>
      <c r="E618" s="49" t="str">
        <f>VLOOKUP(Dados_Cursos[[#This Row],[ID]],Apoio!A611:H1611,2,0)</f>
        <v>isabel.costa611@gmail.com</v>
      </c>
      <c r="F618" s="36" t="s">
        <v>727</v>
      </c>
      <c r="G618" s="36" t="s">
        <v>2666</v>
      </c>
      <c r="H618" s="38">
        <v>800</v>
      </c>
      <c r="I618" s="49">
        <v>1</v>
      </c>
      <c r="J618" s="49" t="str">
        <f>VLOOKUP(Dados_Cursos[[#This Row],[ID]],Apoio!A611:H1611,4,0)</f>
        <v>Malanje</v>
      </c>
      <c r="K618" s="37" t="s">
        <v>113</v>
      </c>
      <c r="L618" s="37" t="s">
        <v>2649</v>
      </c>
      <c r="M618" s="53"/>
    </row>
    <row r="619" spans="1:13" ht="20.100000000000001" customHeight="1" x14ac:dyDescent="0.25">
      <c r="A619" s="49">
        <v>612</v>
      </c>
      <c r="B619" s="55">
        <v>45567</v>
      </c>
      <c r="C619" s="36" t="str">
        <f>UPPER(TEXT(Dados_Cursos[[#This Row],[Data]],"mmm"))</f>
        <v>OUT</v>
      </c>
      <c r="D619" s="52" t="s">
        <v>1809</v>
      </c>
      <c r="E619" s="49" t="str">
        <f>VLOOKUP(Dados_Cursos[[#This Row],[ID]],Apoio!A612:H1612,2,0)</f>
        <v>francisco.david612@gmail.com</v>
      </c>
      <c r="F619" s="36" t="s">
        <v>728</v>
      </c>
      <c r="G619" s="36" t="s">
        <v>2666</v>
      </c>
      <c r="H619" s="38">
        <v>800</v>
      </c>
      <c r="I619" s="49">
        <v>16</v>
      </c>
      <c r="J619" s="49" t="str">
        <f>VLOOKUP(Dados_Cursos[[#This Row],[ID]],Apoio!A612:H1612,4,0)</f>
        <v>Cuanza Norte</v>
      </c>
      <c r="K619" s="37" t="s">
        <v>113</v>
      </c>
      <c r="L619" s="37" t="s">
        <v>111</v>
      </c>
      <c r="M619" s="53"/>
    </row>
    <row r="620" spans="1:13" ht="20.100000000000001" customHeight="1" x14ac:dyDescent="0.25">
      <c r="A620" s="49">
        <v>613</v>
      </c>
      <c r="B620" s="55">
        <v>45619</v>
      </c>
      <c r="C620" s="36" t="str">
        <f>UPPER(TEXT(Dados_Cursos[[#This Row],[Data]],"mmm"))</f>
        <v>NOV</v>
      </c>
      <c r="D620" s="52" t="s">
        <v>1940</v>
      </c>
      <c r="E620" s="49" t="str">
        <f>VLOOKUP(Dados_Cursos[[#This Row],[ID]],Apoio!A613:H1613,2,0)</f>
        <v>mateus.david613@gmail.com</v>
      </c>
      <c r="F620" s="36" t="s">
        <v>729</v>
      </c>
      <c r="G620" s="36" t="s">
        <v>2666</v>
      </c>
      <c r="H620" s="38">
        <v>800</v>
      </c>
      <c r="I620" s="49">
        <v>4</v>
      </c>
      <c r="J620" s="49" t="str">
        <f>VLOOKUP(Dados_Cursos[[#This Row],[ID]],Apoio!A613:H1613,4,0)</f>
        <v>Huambo</v>
      </c>
      <c r="K620" s="37" t="s">
        <v>113</v>
      </c>
      <c r="L620" s="37" t="s">
        <v>110</v>
      </c>
      <c r="M620" s="53"/>
    </row>
    <row r="621" spans="1:13" ht="20.100000000000001" customHeight="1" x14ac:dyDescent="0.25">
      <c r="A621" s="49">
        <v>614</v>
      </c>
      <c r="B621" s="55">
        <v>45329</v>
      </c>
      <c r="C621" s="36" t="str">
        <f>UPPER(TEXT(Dados_Cursos[[#This Row],[Data]],"mmm"))</f>
        <v>FEV</v>
      </c>
      <c r="D621" s="52" t="s">
        <v>1486</v>
      </c>
      <c r="E621" s="49" t="str">
        <f>VLOOKUP(Dados_Cursos[[#This Row],[ID]],Apoio!A614:H1614,2,0)</f>
        <v>ana.david614@gmail.com</v>
      </c>
      <c r="F621" s="36" t="s">
        <v>730</v>
      </c>
      <c r="G621" s="36" t="s">
        <v>2665</v>
      </c>
      <c r="H621" s="38">
        <v>1500</v>
      </c>
      <c r="I621" s="49">
        <v>3</v>
      </c>
      <c r="J621" s="49" t="str">
        <f>VLOOKUP(Dados_Cursos[[#This Row],[ID]],Apoio!A614:H1614,4,0)</f>
        <v>Bié</v>
      </c>
      <c r="K621" s="37" t="s">
        <v>112</v>
      </c>
      <c r="L621" s="37" t="s">
        <v>109</v>
      </c>
      <c r="M621" s="53"/>
    </row>
    <row r="622" spans="1:13" ht="20.100000000000001" customHeight="1" x14ac:dyDescent="0.25">
      <c r="A622" s="49">
        <v>615</v>
      </c>
      <c r="B622" s="55">
        <v>45584</v>
      </c>
      <c r="C622" s="36" t="str">
        <f>UPPER(TEXT(Dados_Cursos[[#This Row],[Data]],"mmm"))</f>
        <v>OUT</v>
      </c>
      <c r="D622" s="52" t="s">
        <v>2157</v>
      </c>
      <c r="E622" s="49" t="str">
        <f>VLOOKUP(Dados_Cursos[[#This Row],[ID]],Apoio!A615:H1615,2,0)</f>
        <v>nelson.almeida615@gmail.com</v>
      </c>
      <c r="F622" s="36" t="s">
        <v>731</v>
      </c>
      <c r="G622" s="36" t="s">
        <v>2665</v>
      </c>
      <c r="H622" s="38">
        <v>1500</v>
      </c>
      <c r="I622" s="49">
        <v>16</v>
      </c>
      <c r="J622" s="49" t="str">
        <f>VLOOKUP(Dados_Cursos[[#This Row],[ID]],Apoio!A615:H1615,4,0)</f>
        <v>Benguela</v>
      </c>
      <c r="K622" s="37" t="s">
        <v>113</v>
      </c>
      <c r="L622" s="37" t="s">
        <v>111</v>
      </c>
      <c r="M622" s="53"/>
    </row>
    <row r="623" spans="1:13" ht="20.100000000000001" customHeight="1" x14ac:dyDescent="0.25">
      <c r="A623" s="49">
        <v>616</v>
      </c>
      <c r="B623" s="55">
        <v>45458</v>
      </c>
      <c r="C623" s="36" t="str">
        <f>UPPER(TEXT(Dados_Cursos[[#This Row],[Data]],"mmm"))</f>
        <v>JUN</v>
      </c>
      <c r="D623" s="52" t="s">
        <v>1476</v>
      </c>
      <c r="E623" s="49" t="str">
        <f>VLOOKUP(Dados_Cursos[[#This Row],[ID]],Apoio!A616:H1616,2,0)</f>
        <v>luís.pereira616@gmail.com</v>
      </c>
      <c r="F623" s="36" t="s">
        <v>732</v>
      </c>
      <c r="G623" s="36" t="s">
        <v>2665</v>
      </c>
      <c r="H623" s="38">
        <v>1500</v>
      </c>
      <c r="I623" s="49">
        <v>14</v>
      </c>
      <c r="J623" s="49" t="str">
        <f>VLOOKUP(Dados_Cursos[[#This Row],[ID]],Apoio!A616:H1616,4,0)</f>
        <v>Cubango</v>
      </c>
      <c r="K623" s="37" t="s">
        <v>113</v>
      </c>
      <c r="L623" s="37" t="s">
        <v>111</v>
      </c>
      <c r="M623" s="53"/>
    </row>
    <row r="624" spans="1:13" ht="20.100000000000001" customHeight="1" x14ac:dyDescent="0.25">
      <c r="A624" s="49">
        <v>617</v>
      </c>
      <c r="B624" s="55">
        <v>45461</v>
      </c>
      <c r="C624" s="36" t="str">
        <f>UPPER(TEXT(Dados_Cursos[[#This Row],[Data]],"mmm"))</f>
        <v>JUN</v>
      </c>
      <c r="D624" s="52" t="s">
        <v>1317</v>
      </c>
      <c r="E624" s="49" t="str">
        <f>VLOOKUP(Dados_Cursos[[#This Row],[ID]],Apoio!A617:H1617,2,0)</f>
        <v>cláudia.gomes617@gmail.com</v>
      </c>
      <c r="F624" s="36" t="s">
        <v>733</v>
      </c>
      <c r="G624" s="36" t="s">
        <v>2665</v>
      </c>
      <c r="H624" s="38">
        <v>1500</v>
      </c>
      <c r="I624" s="49">
        <v>12</v>
      </c>
      <c r="J624" s="49" t="str">
        <f>VLOOKUP(Dados_Cursos[[#This Row],[ID]],Apoio!A617:H1617,4,0)</f>
        <v>Lunda Norte</v>
      </c>
      <c r="K624" s="37" t="s">
        <v>113</v>
      </c>
      <c r="L624" s="37" t="s">
        <v>111</v>
      </c>
      <c r="M624" s="53"/>
    </row>
    <row r="625" spans="1:13" ht="20.100000000000001" customHeight="1" x14ac:dyDescent="0.25">
      <c r="A625" s="49">
        <v>618</v>
      </c>
      <c r="B625" s="55">
        <v>45411</v>
      </c>
      <c r="C625" s="36" t="str">
        <f>UPPER(TEXT(Dados_Cursos[[#This Row],[Data]],"mmm"))</f>
        <v>ABR</v>
      </c>
      <c r="D625" s="52" t="s">
        <v>1595</v>
      </c>
      <c r="E625" s="49" t="str">
        <f>VLOOKUP(Dados_Cursos[[#This Row],[ID]],Apoio!A618:H1618,2,0)</f>
        <v>ana.santos618@gmail.com</v>
      </c>
      <c r="F625" s="36" t="s">
        <v>734</v>
      </c>
      <c r="G625" s="36" t="s">
        <v>2666</v>
      </c>
      <c r="H625" s="38">
        <v>1200</v>
      </c>
      <c r="I625" s="49">
        <v>12</v>
      </c>
      <c r="J625" s="49" t="str">
        <f>VLOOKUP(Dados_Cursos[[#This Row],[ID]],Apoio!A618:H1618,4,0)</f>
        <v>Huambo</v>
      </c>
      <c r="K625" s="37" t="s">
        <v>112</v>
      </c>
      <c r="L625" s="37" t="s">
        <v>109</v>
      </c>
      <c r="M625" s="53"/>
    </row>
    <row r="626" spans="1:13" ht="20.100000000000001" customHeight="1" x14ac:dyDescent="0.25">
      <c r="A626" s="49">
        <v>619</v>
      </c>
      <c r="B626" s="55">
        <v>45460</v>
      </c>
      <c r="C626" s="36" t="str">
        <f>UPPER(TEXT(Dados_Cursos[[#This Row],[Data]],"mmm"))</f>
        <v>JUN</v>
      </c>
      <c r="D626" s="52" t="s">
        <v>1612</v>
      </c>
      <c r="E626" s="49" t="str">
        <f>VLOOKUP(Dados_Cursos[[#This Row],[ID]],Apoio!A619:H1619,2,0)</f>
        <v>sofia.david619@gmail.com</v>
      </c>
      <c r="F626" s="36" t="s">
        <v>735</v>
      </c>
      <c r="G626" s="36" t="s">
        <v>2666</v>
      </c>
      <c r="H626" s="38">
        <v>800</v>
      </c>
      <c r="I626" s="49">
        <v>9</v>
      </c>
      <c r="J626" s="49" t="str">
        <f>VLOOKUP(Dados_Cursos[[#This Row],[ID]],Apoio!A619:H1619,4,0)</f>
        <v>Benguela</v>
      </c>
      <c r="K626" s="37" t="s">
        <v>113</v>
      </c>
      <c r="L626" s="37" t="s">
        <v>111</v>
      </c>
      <c r="M626" s="53"/>
    </row>
    <row r="627" spans="1:13" ht="20.100000000000001" customHeight="1" x14ac:dyDescent="0.25">
      <c r="A627" s="49">
        <v>620</v>
      </c>
      <c r="B627" s="55">
        <v>45396</v>
      </c>
      <c r="C627" s="36" t="str">
        <f>UPPER(TEXT(Dados_Cursos[[#This Row],[Data]],"mmm"))</f>
        <v>ABR</v>
      </c>
      <c r="D627" s="52" t="s">
        <v>2163</v>
      </c>
      <c r="E627" s="49" t="str">
        <f>VLOOKUP(Dados_Cursos[[#This Row],[ID]],Apoio!A620:H1620,2,0)</f>
        <v>teresa.fernandes620@gmail.com</v>
      </c>
      <c r="F627" s="36" t="s">
        <v>736</v>
      </c>
      <c r="G627" s="36" t="s">
        <v>2666</v>
      </c>
      <c r="H627" s="38">
        <v>1200</v>
      </c>
      <c r="I627" s="49">
        <v>5</v>
      </c>
      <c r="J627" s="49" t="str">
        <f>VLOOKUP(Dados_Cursos[[#This Row],[ID]],Apoio!A620:H1620,4,0)</f>
        <v>Moxico Leste</v>
      </c>
      <c r="K627" s="37" t="s">
        <v>112</v>
      </c>
      <c r="L627" s="37" t="s">
        <v>109</v>
      </c>
      <c r="M627" s="53"/>
    </row>
    <row r="628" spans="1:13" ht="20.100000000000001" customHeight="1" x14ac:dyDescent="0.25">
      <c r="A628" s="49">
        <v>621</v>
      </c>
      <c r="B628" s="55">
        <v>45526</v>
      </c>
      <c r="C628" s="36" t="str">
        <f>UPPER(TEXT(Dados_Cursos[[#This Row],[Data]],"mmm"))</f>
        <v>AGO</v>
      </c>
      <c r="D628" s="52" t="s">
        <v>1527</v>
      </c>
      <c r="E628" s="49" t="str">
        <f>VLOOKUP(Dados_Cursos[[#This Row],[ID]],Apoio!A621:H1621,2,0)</f>
        <v>domingos.miguel621@gmail.com</v>
      </c>
      <c r="F628" s="36" t="s">
        <v>737</v>
      </c>
      <c r="G628" s="36" t="s">
        <v>2665</v>
      </c>
      <c r="H628" s="38">
        <v>1500</v>
      </c>
      <c r="I628" s="49">
        <v>4</v>
      </c>
      <c r="J628" s="49" t="str">
        <f>VLOOKUP(Dados_Cursos[[#This Row],[ID]],Apoio!A621:H1621,4,0)</f>
        <v>Malanje</v>
      </c>
      <c r="K628" s="37" t="s">
        <v>113</v>
      </c>
      <c r="L628" s="37" t="s">
        <v>2649</v>
      </c>
      <c r="M628" s="53"/>
    </row>
    <row r="629" spans="1:13" ht="20.100000000000001" customHeight="1" x14ac:dyDescent="0.25">
      <c r="A629" s="49">
        <v>622</v>
      </c>
      <c r="B629" s="55">
        <v>45462</v>
      </c>
      <c r="C629" s="36" t="str">
        <f>UPPER(TEXT(Dados_Cursos[[#This Row],[Data]],"mmm"))</f>
        <v>JUN</v>
      </c>
      <c r="D629" s="52" t="s">
        <v>2166</v>
      </c>
      <c r="E629" s="49" t="str">
        <f>VLOOKUP(Dados_Cursos[[#This Row],[ID]],Apoio!A622:H1622,2,0)</f>
        <v>helena.david622@gmail.com</v>
      </c>
      <c r="F629" s="36" t="s">
        <v>738</v>
      </c>
      <c r="G629" s="36" t="s">
        <v>2666</v>
      </c>
      <c r="H629" s="38">
        <v>1200</v>
      </c>
      <c r="I629" s="49">
        <v>5</v>
      </c>
      <c r="J629" s="49" t="str">
        <f>VLOOKUP(Dados_Cursos[[#This Row],[ID]],Apoio!A622:H1622,4,0)</f>
        <v>Benguela</v>
      </c>
      <c r="K629" s="37" t="s">
        <v>113</v>
      </c>
      <c r="L629" s="37" t="s">
        <v>2649</v>
      </c>
      <c r="M629" s="53"/>
    </row>
    <row r="630" spans="1:13" ht="20.100000000000001" customHeight="1" x14ac:dyDescent="0.25">
      <c r="A630" s="49">
        <v>623</v>
      </c>
      <c r="B630" s="55">
        <v>45387</v>
      </c>
      <c r="C630" s="36" t="str">
        <f>UPPER(TEXT(Dados_Cursos[[#This Row],[Data]],"mmm"))</f>
        <v>ABR</v>
      </c>
      <c r="D630" s="52" t="s">
        <v>2168</v>
      </c>
      <c r="E630" s="49" t="str">
        <f>VLOOKUP(Dados_Cursos[[#This Row],[ID]],Apoio!A623:H1623,2,0)</f>
        <v>sofia.gomes623@gmail.com</v>
      </c>
      <c r="F630" s="36" t="s">
        <v>739</v>
      </c>
      <c r="G630" s="36" t="s">
        <v>2665</v>
      </c>
      <c r="H630" s="38">
        <v>1500</v>
      </c>
      <c r="I630" s="49">
        <v>3</v>
      </c>
      <c r="J630" s="49" t="str">
        <f>VLOOKUP(Dados_Cursos[[#This Row],[ID]],Apoio!A623:H1623,4,0)</f>
        <v>Cuanza Sul</v>
      </c>
      <c r="K630" s="37" t="s">
        <v>113</v>
      </c>
      <c r="L630" s="37" t="s">
        <v>110</v>
      </c>
      <c r="M630" s="53"/>
    </row>
    <row r="631" spans="1:13" ht="20.100000000000001" customHeight="1" x14ac:dyDescent="0.25">
      <c r="A631" s="49">
        <v>624</v>
      </c>
      <c r="B631" s="55">
        <v>45526</v>
      </c>
      <c r="C631" s="36" t="str">
        <f>UPPER(TEXT(Dados_Cursos[[#This Row],[Data]],"mmm"))</f>
        <v>AGO</v>
      </c>
      <c r="D631" s="52" t="s">
        <v>2144</v>
      </c>
      <c r="E631" s="49" t="str">
        <f>VLOOKUP(Dados_Cursos[[#This Row],[ID]],Apoio!A624:H1624,2,0)</f>
        <v>domingos.costa624@gmail.com</v>
      </c>
      <c r="F631" s="36" t="s">
        <v>740</v>
      </c>
      <c r="G631" s="36" t="s">
        <v>2666</v>
      </c>
      <c r="H631" s="38">
        <v>1200</v>
      </c>
      <c r="I631" s="49">
        <v>15</v>
      </c>
      <c r="J631" s="49" t="str">
        <f>VLOOKUP(Dados_Cursos[[#This Row],[ID]],Apoio!A624:H1624,4,0)</f>
        <v>Luanda</v>
      </c>
      <c r="K631" s="37" t="s">
        <v>113</v>
      </c>
      <c r="L631" s="37" t="s">
        <v>111</v>
      </c>
      <c r="M631" s="53"/>
    </row>
    <row r="632" spans="1:13" ht="20.100000000000001" customHeight="1" x14ac:dyDescent="0.25">
      <c r="A632" s="49">
        <v>625</v>
      </c>
      <c r="B632" s="55">
        <v>45583</v>
      </c>
      <c r="C632" s="36" t="str">
        <f>UPPER(TEXT(Dados_Cursos[[#This Row],[Data]],"mmm"))</f>
        <v>OUT</v>
      </c>
      <c r="D632" s="52" t="s">
        <v>1699</v>
      </c>
      <c r="E632" s="49" t="str">
        <f>VLOOKUP(Dados_Cursos[[#This Row],[ID]],Apoio!A625:H1625,2,0)</f>
        <v>nelson.pinto625@gmail.com</v>
      </c>
      <c r="F632" s="36" t="s">
        <v>741</v>
      </c>
      <c r="G632" s="36" t="s">
        <v>2666</v>
      </c>
      <c r="H632" s="38">
        <v>1200</v>
      </c>
      <c r="I632" s="49">
        <v>6</v>
      </c>
      <c r="J632" s="49" t="str">
        <f>VLOOKUP(Dados_Cursos[[#This Row],[ID]],Apoio!A625:H1625,4,0)</f>
        <v>Benguela</v>
      </c>
      <c r="K632" s="37" t="s">
        <v>112</v>
      </c>
      <c r="L632" s="37" t="s">
        <v>109</v>
      </c>
      <c r="M632" s="53"/>
    </row>
    <row r="633" spans="1:13" ht="20.100000000000001" customHeight="1" x14ac:dyDescent="0.25">
      <c r="A633" s="49">
        <v>626</v>
      </c>
      <c r="B633" s="55">
        <v>45318</v>
      </c>
      <c r="C633" s="36" t="str">
        <f>UPPER(TEXT(Dados_Cursos[[#This Row],[Data]],"mmm"))</f>
        <v>JAN</v>
      </c>
      <c r="D633" s="52" t="s">
        <v>2172</v>
      </c>
      <c r="E633" s="49" t="str">
        <f>VLOOKUP(Dados_Cursos[[#This Row],[ID]],Apoio!A626:H1626,2,0)</f>
        <v>isabel.soares626@gmail.com</v>
      </c>
      <c r="F633" s="36" t="s">
        <v>742</v>
      </c>
      <c r="G633" s="36" t="s">
        <v>2666</v>
      </c>
      <c r="H633" s="38">
        <v>800</v>
      </c>
      <c r="I633" s="49">
        <v>19</v>
      </c>
      <c r="J633" s="49" t="str">
        <f>VLOOKUP(Dados_Cursos[[#This Row],[ID]],Apoio!A626:H1626,4,0)</f>
        <v>Cuanza Sul</v>
      </c>
      <c r="K633" s="37" t="s">
        <v>113</v>
      </c>
      <c r="L633" s="37" t="s">
        <v>110</v>
      </c>
      <c r="M633" s="53"/>
    </row>
    <row r="634" spans="1:13" ht="20.100000000000001" customHeight="1" x14ac:dyDescent="0.25">
      <c r="A634" s="49">
        <v>627</v>
      </c>
      <c r="B634" s="55">
        <v>45458</v>
      </c>
      <c r="C634" s="36" t="str">
        <f>UPPER(TEXT(Dados_Cursos[[#This Row],[Data]],"mmm"))</f>
        <v>JUN</v>
      </c>
      <c r="D634" s="52" t="s">
        <v>1571</v>
      </c>
      <c r="E634" s="49" t="str">
        <f>VLOOKUP(Dados_Cursos[[#This Row],[ID]],Apoio!A627:H1627,2,0)</f>
        <v>isabel.gomes627@gmail.com</v>
      </c>
      <c r="F634" s="36" t="s">
        <v>743</v>
      </c>
      <c r="G634" s="36" t="s">
        <v>2666</v>
      </c>
      <c r="H634" s="38">
        <v>1200</v>
      </c>
      <c r="I634" s="49">
        <v>18</v>
      </c>
      <c r="J634" s="49" t="str">
        <f>VLOOKUP(Dados_Cursos[[#This Row],[ID]],Apoio!A627:H1627,4,0)</f>
        <v>Malanje</v>
      </c>
      <c r="K634" s="37" t="s">
        <v>113</v>
      </c>
      <c r="L634" s="37" t="s">
        <v>111</v>
      </c>
      <c r="M634" s="53"/>
    </row>
    <row r="635" spans="1:13" ht="20.100000000000001" customHeight="1" x14ac:dyDescent="0.25">
      <c r="A635" s="49">
        <v>628</v>
      </c>
      <c r="B635" s="55">
        <v>45570</v>
      </c>
      <c r="C635" s="36" t="str">
        <f>UPPER(TEXT(Dados_Cursos[[#This Row],[Data]],"mmm"))</f>
        <v>OUT</v>
      </c>
      <c r="D635" s="52" t="s">
        <v>1418</v>
      </c>
      <c r="E635" s="49" t="str">
        <f>VLOOKUP(Dados_Cursos[[#This Row],[ID]],Apoio!A628:H1628,2,0)</f>
        <v>francisco.barbosa628@gmail.com</v>
      </c>
      <c r="F635" s="36" t="s">
        <v>744</v>
      </c>
      <c r="G635" s="36" t="s">
        <v>2666</v>
      </c>
      <c r="H635" s="38">
        <v>1200</v>
      </c>
      <c r="I635" s="49">
        <v>4</v>
      </c>
      <c r="J635" s="49" t="str">
        <f>VLOOKUP(Dados_Cursos[[#This Row],[ID]],Apoio!A628:H1628,4,0)</f>
        <v>Cuanza Sul</v>
      </c>
      <c r="K635" s="37" t="s">
        <v>113</v>
      </c>
      <c r="L635" s="37" t="s">
        <v>110</v>
      </c>
      <c r="M635" s="53"/>
    </row>
    <row r="636" spans="1:13" ht="20.100000000000001" customHeight="1" x14ac:dyDescent="0.25">
      <c r="A636" s="49">
        <v>629</v>
      </c>
      <c r="B636" s="55">
        <v>45495</v>
      </c>
      <c r="C636" s="36" t="str">
        <f>UPPER(TEXT(Dados_Cursos[[#This Row],[Data]],"mmm"))</f>
        <v>JUL</v>
      </c>
      <c r="D636" s="52" t="s">
        <v>1295</v>
      </c>
      <c r="E636" s="49" t="str">
        <f>VLOOKUP(Dados_Cursos[[#This Row],[ID]],Apoio!A629:H1629,2,0)</f>
        <v>daniel.domingues629@gmail.com</v>
      </c>
      <c r="F636" s="36" t="s">
        <v>745</v>
      </c>
      <c r="G636" s="36" t="s">
        <v>2665</v>
      </c>
      <c r="H636" s="38">
        <v>1500</v>
      </c>
      <c r="I636" s="49">
        <v>20</v>
      </c>
      <c r="J636" s="49" t="str">
        <f>VLOOKUP(Dados_Cursos[[#This Row],[ID]],Apoio!A629:H1629,4,0)</f>
        <v>Zaire</v>
      </c>
      <c r="K636" s="37" t="s">
        <v>112</v>
      </c>
      <c r="L636" s="37" t="s">
        <v>109</v>
      </c>
      <c r="M636" s="53"/>
    </row>
    <row r="637" spans="1:13" ht="20.100000000000001" customHeight="1" x14ac:dyDescent="0.25">
      <c r="A637" s="49">
        <v>630</v>
      </c>
      <c r="B637" s="55">
        <v>45478</v>
      </c>
      <c r="C637" s="36" t="str">
        <f>UPPER(TEXT(Dados_Cursos[[#This Row],[Data]],"mmm"))</f>
        <v>JUL</v>
      </c>
      <c r="D637" s="52" t="s">
        <v>2177</v>
      </c>
      <c r="E637" s="49" t="str">
        <f>VLOOKUP(Dados_Cursos[[#This Row],[ID]],Apoio!A630:H1630,2,0)</f>
        <v>francisco.santos630@gmail.com</v>
      </c>
      <c r="F637" s="36" t="s">
        <v>746</v>
      </c>
      <c r="G637" s="36" t="s">
        <v>2666</v>
      </c>
      <c r="H637" s="38">
        <v>1200</v>
      </c>
      <c r="I637" s="49">
        <v>17</v>
      </c>
      <c r="J637" s="49" t="str">
        <f>VLOOKUP(Dados_Cursos[[#This Row],[ID]],Apoio!A630:H1630,4,0)</f>
        <v>Huíla</v>
      </c>
      <c r="K637" s="37" t="s">
        <v>113</v>
      </c>
      <c r="L637" s="37" t="s">
        <v>2649</v>
      </c>
      <c r="M637" s="53"/>
    </row>
    <row r="638" spans="1:13" ht="20.100000000000001" customHeight="1" x14ac:dyDescent="0.25">
      <c r="A638" s="49">
        <v>631</v>
      </c>
      <c r="B638" s="55">
        <v>45434</v>
      </c>
      <c r="C638" s="36" t="str">
        <f>UPPER(TEXT(Dados_Cursos[[#This Row],[Data]],"mmm"))</f>
        <v>MAI</v>
      </c>
      <c r="D638" s="52" t="s">
        <v>2179</v>
      </c>
      <c r="E638" s="49" t="str">
        <f>VLOOKUP(Dados_Cursos[[#This Row],[ID]],Apoio!A631:H1631,2,0)</f>
        <v>maria.rodrigues631@gmail.com</v>
      </c>
      <c r="F638" s="36" t="s">
        <v>747</v>
      </c>
      <c r="G638" s="36" t="s">
        <v>2665</v>
      </c>
      <c r="H638" s="38">
        <v>1500</v>
      </c>
      <c r="I638" s="49">
        <v>14</v>
      </c>
      <c r="J638" s="49" t="str">
        <f>VLOOKUP(Dados_Cursos[[#This Row],[ID]],Apoio!A631:H1631,4,0)</f>
        <v>Benguela</v>
      </c>
      <c r="K638" s="37" t="s">
        <v>112</v>
      </c>
      <c r="L638" s="37" t="s">
        <v>109</v>
      </c>
      <c r="M638" s="53"/>
    </row>
    <row r="639" spans="1:13" ht="20.100000000000001" customHeight="1" x14ac:dyDescent="0.25">
      <c r="A639" s="49">
        <v>632</v>
      </c>
      <c r="B639" s="55">
        <v>45437</v>
      </c>
      <c r="C639" s="36" t="str">
        <f>UPPER(TEXT(Dados_Cursos[[#This Row],[Data]],"mmm"))</f>
        <v>MAI</v>
      </c>
      <c r="D639" s="52" t="s">
        <v>2181</v>
      </c>
      <c r="E639" s="49" t="str">
        <f>VLOOKUP(Dados_Cursos[[#This Row],[ID]],Apoio!A632:H1632,2,0)</f>
        <v>fátima.tavares632@gmail.com</v>
      </c>
      <c r="F639" s="36" t="s">
        <v>748</v>
      </c>
      <c r="G639" s="36" t="s">
        <v>2665</v>
      </c>
      <c r="H639" s="38">
        <v>1500</v>
      </c>
      <c r="I639" s="49">
        <v>17</v>
      </c>
      <c r="J639" s="49" t="str">
        <f>VLOOKUP(Dados_Cursos[[#This Row],[ID]],Apoio!A632:H1632,4,0)</f>
        <v>Luanda</v>
      </c>
      <c r="K639" s="37" t="s">
        <v>113</v>
      </c>
      <c r="L639" s="37" t="s">
        <v>2649</v>
      </c>
      <c r="M639" s="53"/>
    </row>
    <row r="640" spans="1:13" ht="20.100000000000001" customHeight="1" x14ac:dyDescent="0.25">
      <c r="A640" s="49">
        <v>633</v>
      </c>
      <c r="B640" s="55">
        <v>45302</v>
      </c>
      <c r="C640" s="36" t="str">
        <f>UPPER(TEXT(Dados_Cursos[[#This Row],[Data]],"mmm"))</f>
        <v>JAN</v>
      </c>
      <c r="D640" s="52" t="s">
        <v>1699</v>
      </c>
      <c r="E640" s="49" t="str">
        <f>VLOOKUP(Dados_Cursos[[#This Row],[ID]],Apoio!A633:H1633,2,0)</f>
        <v>nelson.pinto633@gmail.com</v>
      </c>
      <c r="F640" s="36" t="s">
        <v>749</v>
      </c>
      <c r="G640" s="36" t="s">
        <v>2666</v>
      </c>
      <c r="H640" s="38">
        <v>1200</v>
      </c>
      <c r="I640" s="49">
        <v>16</v>
      </c>
      <c r="J640" s="49" t="str">
        <f>VLOOKUP(Dados_Cursos[[#This Row],[ID]],Apoio!A633:H1633,4,0)</f>
        <v>Bengo</v>
      </c>
      <c r="K640" s="37" t="s">
        <v>113</v>
      </c>
      <c r="L640" s="37" t="s">
        <v>110</v>
      </c>
      <c r="M640" s="53"/>
    </row>
    <row r="641" spans="1:13" ht="20.100000000000001" customHeight="1" x14ac:dyDescent="0.25">
      <c r="A641" s="49">
        <v>634</v>
      </c>
      <c r="B641" s="55">
        <v>45365</v>
      </c>
      <c r="C641" s="36" t="str">
        <f>UPPER(TEXT(Dados_Cursos[[#This Row],[Data]],"mmm"))</f>
        <v>MAR</v>
      </c>
      <c r="D641" s="52" t="s">
        <v>2184</v>
      </c>
      <c r="E641" s="49" t="str">
        <f>VLOOKUP(Dados_Cursos[[#This Row],[ID]],Apoio!A634:H1634,2,0)</f>
        <v>josé.almeida634@gmail.com</v>
      </c>
      <c r="F641" s="36" t="s">
        <v>750</v>
      </c>
      <c r="G641" s="36" t="s">
        <v>2665</v>
      </c>
      <c r="H641" s="38">
        <v>1500</v>
      </c>
      <c r="I641" s="49">
        <v>1</v>
      </c>
      <c r="J641" s="49" t="str">
        <f>VLOOKUP(Dados_Cursos[[#This Row],[ID]],Apoio!A634:H1634,4,0)</f>
        <v>Cabinda</v>
      </c>
      <c r="K641" s="37" t="s">
        <v>113</v>
      </c>
      <c r="L641" s="37" t="s">
        <v>111</v>
      </c>
      <c r="M641" s="53"/>
    </row>
    <row r="642" spans="1:13" ht="20.100000000000001" customHeight="1" x14ac:dyDescent="0.25">
      <c r="A642" s="49">
        <v>635</v>
      </c>
      <c r="B642" s="55">
        <v>45649</v>
      </c>
      <c r="C642" s="36" t="str">
        <f>UPPER(TEXT(Dados_Cursos[[#This Row],[Data]],"mmm"))</f>
        <v>DEZ</v>
      </c>
      <c r="D642" s="52" t="s">
        <v>2186</v>
      </c>
      <c r="E642" s="49" t="str">
        <f>VLOOKUP(Dados_Cursos[[#This Row],[ID]],Apoio!A635:H1635,2,0)</f>
        <v>david.domingues635@gmail.com</v>
      </c>
      <c r="F642" s="36" t="s">
        <v>751</v>
      </c>
      <c r="G642" s="36" t="s">
        <v>2666</v>
      </c>
      <c r="H642" s="38">
        <v>1200</v>
      </c>
      <c r="I642" s="49">
        <v>5</v>
      </c>
      <c r="J642" s="49" t="str">
        <f>VLOOKUP(Dados_Cursos[[#This Row],[ID]],Apoio!A635:H1635,4,0)</f>
        <v>Zaire</v>
      </c>
      <c r="K642" s="37" t="s">
        <v>113</v>
      </c>
      <c r="L642" s="37" t="s">
        <v>111</v>
      </c>
      <c r="M642" s="53"/>
    </row>
    <row r="643" spans="1:13" ht="20.100000000000001" customHeight="1" x14ac:dyDescent="0.25">
      <c r="A643" s="49">
        <v>636</v>
      </c>
      <c r="B643" s="55">
        <v>45322</v>
      </c>
      <c r="C643" s="36" t="str">
        <f>UPPER(TEXT(Dados_Cursos[[#This Row],[Data]],"mmm"))</f>
        <v>JAN</v>
      </c>
      <c r="D643" s="52" t="s">
        <v>1236</v>
      </c>
      <c r="E643" s="49" t="str">
        <f>VLOOKUP(Dados_Cursos[[#This Row],[ID]],Apoio!A636:H1636,2,0)</f>
        <v>ana.tavares636@gmail.com</v>
      </c>
      <c r="F643" s="36" t="s">
        <v>752</v>
      </c>
      <c r="G643" s="36" t="s">
        <v>2665</v>
      </c>
      <c r="H643" s="38">
        <v>1500</v>
      </c>
      <c r="I643" s="49">
        <v>20</v>
      </c>
      <c r="J643" s="49" t="str">
        <f>VLOOKUP(Dados_Cursos[[#This Row],[ID]],Apoio!A636:H1636,4,0)</f>
        <v>Cuanza Norte</v>
      </c>
      <c r="K643" s="37" t="s">
        <v>113</v>
      </c>
      <c r="L643" s="37" t="s">
        <v>110</v>
      </c>
      <c r="M643" s="53"/>
    </row>
    <row r="644" spans="1:13" ht="20.100000000000001" customHeight="1" x14ac:dyDescent="0.25">
      <c r="A644" s="49">
        <v>637</v>
      </c>
      <c r="B644" s="55">
        <v>45309</v>
      </c>
      <c r="C644" s="36" t="str">
        <f>UPPER(TEXT(Dados_Cursos[[#This Row],[Data]],"mmm"))</f>
        <v>JAN</v>
      </c>
      <c r="D644" s="52" t="s">
        <v>1251</v>
      </c>
      <c r="E644" s="49" t="str">
        <f>VLOOKUP(Dados_Cursos[[#This Row],[ID]],Apoio!A637:H1637,2,0)</f>
        <v>teresa.soares637@gmail.com</v>
      </c>
      <c r="F644" s="36" t="s">
        <v>753</v>
      </c>
      <c r="G644" s="36" t="s">
        <v>2665</v>
      </c>
      <c r="H644" s="38">
        <v>1500</v>
      </c>
      <c r="I644" s="49">
        <v>7</v>
      </c>
      <c r="J644" s="49" t="str">
        <f>VLOOKUP(Dados_Cursos[[#This Row],[ID]],Apoio!A637:H1637,4,0)</f>
        <v>Moxico Leste</v>
      </c>
      <c r="K644" s="37" t="s">
        <v>113</v>
      </c>
      <c r="L644" s="37" t="s">
        <v>2649</v>
      </c>
      <c r="M644" s="53"/>
    </row>
    <row r="645" spans="1:13" ht="20.100000000000001" customHeight="1" x14ac:dyDescent="0.25">
      <c r="A645" s="49">
        <v>638</v>
      </c>
      <c r="B645" s="55">
        <v>45360</v>
      </c>
      <c r="C645" s="36" t="str">
        <f>UPPER(TEXT(Dados_Cursos[[#This Row],[Data]],"mmm"))</f>
        <v>MAR</v>
      </c>
      <c r="D645" s="52" t="s">
        <v>1569</v>
      </c>
      <c r="E645" s="49" t="str">
        <f>VLOOKUP(Dados_Cursos[[#This Row],[ID]],Apoio!A638:H1638,2,0)</f>
        <v>francisco.tavares638@gmail.com</v>
      </c>
      <c r="F645" s="36" t="s">
        <v>754</v>
      </c>
      <c r="G645" s="36" t="s">
        <v>2666</v>
      </c>
      <c r="H645" s="38">
        <v>800</v>
      </c>
      <c r="I645" s="49">
        <v>14</v>
      </c>
      <c r="J645" s="49" t="str">
        <f>VLOOKUP(Dados_Cursos[[#This Row],[ID]],Apoio!A638:H1638,4,0)</f>
        <v>Malanje</v>
      </c>
      <c r="K645" s="37" t="s">
        <v>113</v>
      </c>
      <c r="L645" s="37" t="s">
        <v>111</v>
      </c>
      <c r="M645" s="53"/>
    </row>
    <row r="646" spans="1:13" ht="20.100000000000001" customHeight="1" x14ac:dyDescent="0.25">
      <c r="A646" s="49">
        <v>639</v>
      </c>
      <c r="B646" s="55">
        <v>45494</v>
      </c>
      <c r="C646" s="36" t="str">
        <f>UPPER(TEXT(Dados_Cursos[[#This Row],[Data]],"mmm"))</f>
        <v>JUL</v>
      </c>
      <c r="D646" s="52" t="s">
        <v>1616</v>
      </c>
      <c r="E646" s="49" t="str">
        <f>VLOOKUP(Dados_Cursos[[#This Row],[ID]],Apoio!A639:H1639,2,0)</f>
        <v>bruno.silva639@gmail.com</v>
      </c>
      <c r="F646" s="36" t="s">
        <v>755</v>
      </c>
      <c r="G646" s="36" t="s">
        <v>2666</v>
      </c>
      <c r="H646" s="38">
        <v>1200</v>
      </c>
      <c r="I646" s="49">
        <v>10</v>
      </c>
      <c r="J646" s="49" t="str">
        <f>VLOOKUP(Dados_Cursos[[#This Row],[ID]],Apoio!A639:H1639,4,0)</f>
        <v>Luanda</v>
      </c>
      <c r="K646" s="37" t="s">
        <v>112</v>
      </c>
      <c r="L646" s="37" t="s">
        <v>109</v>
      </c>
      <c r="M646" s="53"/>
    </row>
    <row r="647" spans="1:13" ht="20.100000000000001" customHeight="1" x14ac:dyDescent="0.25">
      <c r="A647" s="49">
        <v>640</v>
      </c>
      <c r="B647" s="55">
        <v>45295</v>
      </c>
      <c r="C647" s="36" t="str">
        <f>UPPER(TEXT(Dados_Cursos[[#This Row],[Data]],"mmm"))</f>
        <v>JAN</v>
      </c>
      <c r="D647" s="52" t="s">
        <v>1725</v>
      </c>
      <c r="E647" s="49" t="str">
        <f>VLOOKUP(Dados_Cursos[[#This Row],[ID]],Apoio!A640:H1640,2,0)</f>
        <v>fátima.andrade640@gmail.com</v>
      </c>
      <c r="F647" s="36" t="s">
        <v>756</v>
      </c>
      <c r="G647" s="36" t="s">
        <v>2665</v>
      </c>
      <c r="H647" s="38">
        <v>1500</v>
      </c>
      <c r="I647" s="49">
        <v>14</v>
      </c>
      <c r="J647" s="49" t="str">
        <f>VLOOKUP(Dados_Cursos[[#This Row],[ID]],Apoio!A640:H1640,4,0)</f>
        <v>Benguela</v>
      </c>
      <c r="K647" s="37" t="s">
        <v>112</v>
      </c>
      <c r="L647" s="37" t="s">
        <v>109</v>
      </c>
      <c r="M647" s="53"/>
    </row>
    <row r="648" spans="1:13" ht="20.100000000000001" customHeight="1" x14ac:dyDescent="0.25">
      <c r="A648" s="49">
        <v>641</v>
      </c>
      <c r="B648" s="55">
        <v>45414</v>
      </c>
      <c r="C648" s="36" t="str">
        <f>UPPER(TEXT(Dados_Cursos[[#This Row],[Data]],"mmm"))</f>
        <v>MAI</v>
      </c>
      <c r="D648" s="52" t="s">
        <v>2193</v>
      </c>
      <c r="E648" s="49" t="str">
        <f>VLOOKUP(Dados_Cursos[[#This Row],[ID]],Apoio!A641:H1641,2,0)</f>
        <v>pedro.miguel641@gmail.com</v>
      </c>
      <c r="F648" s="36" t="s">
        <v>757</v>
      </c>
      <c r="G648" s="36" t="s">
        <v>2665</v>
      </c>
      <c r="H648" s="38">
        <v>1500</v>
      </c>
      <c r="I648" s="49">
        <v>2</v>
      </c>
      <c r="J648" s="49" t="str">
        <f>VLOOKUP(Dados_Cursos[[#This Row],[ID]],Apoio!A641:H1641,4,0)</f>
        <v>Luanda</v>
      </c>
      <c r="K648" s="37" t="s">
        <v>112</v>
      </c>
      <c r="L648" s="37" t="s">
        <v>109</v>
      </c>
      <c r="M648" s="53"/>
    </row>
    <row r="649" spans="1:13" ht="20.100000000000001" customHeight="1" x14ac:dyDescent="0.25">
      <c r="A649" s="49">
        <v>642</v>
      </c>
      <c r="B649" s="55">
        <v>45507</v>
      </c>
      <c r="C649" s="36" t="str">
        <f>UPPER(TEXT(Dados_Cursos[[#This Row],[Data]],"mmm"))</f>
        <v>AGO</v>
      </c>
      <c r="D649" s="52" t="s">
        <v>1956</v>
      </c>
      <c r="E649" s="49" t="str">
        <f>VLOOKUP(Dados_Cursos[[#This Row],[ID]],Apoio!A642:H1642,2,0)</f>
        <v>sofia.martins642@gmail.com</v>
      </c>
      <c r="F649" s="36" t="s">
        <v>758</v>
      </c>
      <c r="G649" s="36" t="s">
        <v>2666</v>
      </c>
      <c r="H649" s="38">
        <v>1200</v>
      </c>
      <c r="I649" s="49">
        <v>11</v>
      </c>
      <c r="J649" s="49" t="str">
        <f>VLOOKUP(Dados_Cursos[[#This Row],[ID]],Apoio!A642:H1642,4,0)</f>
        <v>Lunda Norte</v>
      </c>
      <c r="K649" s="37" t="s">
        <v>113</v>
      </c>
      <c r="L649" s="37" t="s">
        <v>2649</v>
      </c>
      <c r="M649" s="53"/>
    </row>
    <row r="650" spans="1:13" ht="20.100000000000001" customHeight="1" x14ac:dyDescent="0.25">
      <c r="A650" s="49">
        <v>643</v>
      </c>
      <c r="B650" s="55">
        <v>45607</v>
      </c>
      <c r="C650" s="36" t="str">
        <f>UPPER(TEXT(Dados_Cursos[[#This Row],[Data]],"mmm"))</f>
        <v>NOV</v>
      </c>
      <c r="D650" s="52" t="s">
        <v>2116</v>
      </c>
      <c r="E650" s="49" t="str">
        <f>VLOOKUP(Dados_Cursos[[#This Row],[ID]],Apoio!A643:H1643,2,0)</f>
        <v>mateus.barbosa643@gmail.com</v>
      </c>
      <c r="F650" s="36" t="s">
        <v>759</v>
      </c>
      <c r="G650" s="36" t="s">
        <v>2666</v>
      </c>
      <c r="H650" s="38">
        <v>800</v>
      </c>
      <c r="I650" s="49">
        <v>5</v>
      </c>
      <c r="J650" s="49" t="str">
        <f>VLOOKUP(Dados_Cursos[[#This Row],[ID]],Apoio!A643:H1643,4,0)</f>
        <v>Uíge</v>
      </c>
      <c r="K650" s="37" t="s">
        <v>113</v>
      </c>
      <c r="L650" s="37" t="s">
        <v>2649</v>
      </c>
      <c r="M650" s="53"/>
    </row>
    <row r="651" spans="1:13" ht="20.100000000000001" customHeight="1" x14ac:dyDescent="0.25">
      <c r="A651" s="49">
        <v>644</v>
      </c>
      <c r="B651" s="55">
        <v>45545</v>
      </c>
      <c r="C651" s="36" t="str">
        <f>UPPER(TEXT(Dados_Cursos[[#This Row],[Data]],"mmm"))</f>
        <v>SET</v>
      </c>
      <c r="D651" s="52" t="s">
        <v>1798</v>
      </c>
      <c r="E651" s="49" t="str">
        <f>VLOOKUP(Dados_Cursos[[#This Row],[ID]],Apoio!A644:H1644,2,0)</f>
        <v>daniel.lopes644@gmail.com</v>
      </c>
      <c r="F651" s="36" t="s">
        <v>760</v>
      </c>
      <c r="G651" s="36" t="s">
        <v>2666</v>
      </c>
      <c r="H651" s="38">
        <v>800</v>
      </c>
      <c r="I651" s="49">
        <v>12</v>
      </c>
      <c r="J651" s="49" t="str">
        <f>VLOOKUP(Dados_Cursos[[#This Row],[ID]],Apoio!A644:H1644,4,0)</f>
        <v>Lunda Norte</v>
      </c>
      <c r="K651" s="37" t="s">
        <v>113</v>
      </c>
      <c r="L651" s="37" t="s">
        <v>2649</v>
      </c>
      <c r="M651" s="53"/>
    </row>
    <row r="652" spans="1:13" ht="20.100000000000001" customHeight="1" x14ac:dyDescent="0.25">
      <c r="A652" s="49">
        <v>645</v>
      </c>
      <c r="B652" s="55">
        <v>45540</v>
      </c>
      <c r="C652" s="36" t="str">
        <f>UPPER(TEXT(Dados_Cursos[[#This Row],[Data]],"mmm"))</f>
        <v>SET</v>
      </c>
      <c r="D652" s="52" t="s">
        <v>1212</v>
      </c>
      <c r="E652" s="49" t="str">
        <f>VLOOKUP(Dados_Cursos[[#This Row],[ID]],Apoio!A645:H1645,2,0)</f>
        <v>ana.gomes645@gmail.com</v>
      </c>
      <c r="F652" s="36" t="s">
        <v>761</v>
      </c>
      <c r="G652" s="36" t="s">
        <v>2666</v>
      </c>
      <c r="H652" s="38">
        <v>800</v>
      </c>
      <c r="I652" s="49">
        <v>3</v>
      </c>
      <c r="J652" s="49" t="str">
        <f>VLOOKUP(Dados_Cursos[[#This Row],[ID]],Apoio!A645:H1645,4,0)</f>
        <v>Malanje</v>
      </c>
      <c r="K652" s="37" t="s">
        <v>112</v>
      </c>
      <c r="L652" s="37" t="s">
        <v>109</v>
      </c>
      <c r="M652" s="53"/>
    </row>
    <row r="653" spans="1:13" ht="20.100000000000001" customHeight="1" x14ac:dyDescent="0.25">
      <c r="A653" s="49">
        <v>646</v>
      </c>
      <c r="B653" s="55">
        <v>45350</v>
      </c>
      <c r="C653" s="36" t="str">
        <f>UPPER(TEXT(Dados_Cursos[[#This Row],[Data]],"mmm"))</f>
        <v>FEV</v>
      </c>
      <c r="D653" s="52" t="s">
        <v>2184</v>
      </c>
      <c r="E653" s="49" t="str">
        <f>VLOOKUP(Dados_Cursos[[#This Row],[ID]],Apoio!A646:H1646,2,0)</f>
        <v>josé.almeida646@gmail.com</v>
      </c>
      <c r="F653" s="36" t="s">
        <v>762</v>
      </c>
      <c r="G653" s="36" t="s">
        <v>2666</v>
      </c>
      <c r="H653" s="38">
        <v>800</v>
      </c>
      <c r="I653" s="49">
        <v>11</v>
      </c>
      <c r="J653" s="49" t="str">
        <f>VLOOKUP(Dados_Cursos[[#This Row],[ID]],Apoio!A646:H1646,4,0)</f>
        <v>Huíla</v>
      </c>
      <c r="K653" s="37" t="s">
        <v>112</v>
      </c>
      <c r="L653" s="37" t="s">
        <v>109</v>
      </c>
      <c r="M653" s="53"/>
    </row>
    <row r="654" spans="1:13" ht="20.100000000000001" customHeight="1" x14ac:dyDescent="0.25">
      <c r="A654" s="49">
        <v>647</v>
      </c>
      <c r="B654" s="55">
        <v>45618</v>
      </c>
      <c r="C654" s="36" t="str">
        <f>UPPER(TEXT(Dados_Cursos[[#This Row],[Data]],"mmm"))</f>
        <v>NOV</v>
      </c>
      <c r="D654" s="52" t="s">
        <v>1309</v>
      </c>
      <c r="E654" s="49" t="str">
        <f>VLOOKUP(Dados_Cursos[[#This Row],[ID]],Apoio!A647:H1647,2,0)</f>
        <v>manuel.santos647@gmail.com</v>
      </c>
      <c r="F654" s="36" t="s">
        <v>763</v>
      </c>
      <c r="G654" s="36" t="s">
        <v>2665</v>
      </c>
      <c r="H654" s="38">
        <v>1500</v>
      </c>
      <c r="I654" s="49">
        <v>18</v>
      </c>
      <c r="J654" s="49" t="str">
        <f>VLOOKUP(Dados_Cursos[[#This Row],[ID]],Apoio!A647:H1647,4,0)</f>
        <v>Lunda Sul</v>
      </c>
      <c r="K654" s="37" t="s">
        <v>113</v>
      </c>
      <c r="L654" s="37" t="s">
        <v>110</v>
      </c>
      <c r="M654" s="53"/>
    </row>
    <row r="655" spans="1:13" ht="20.100000000000001" customHeight="1" x14ac:dyDescent="0.25">
      <c r="A655" s="49">
        <v>648</v>
      </c>
      <c r="B655" s="55">
        <v>45413</v>
      </c>
      <c r="C655" s="36" t="str">
        <f>UPPER(TEXT(Dados_Cursos[[#This Row],[Data]],"mmm"))</f>
        <v>MAI</v>
      </c>
      <c r="D655" s="52" t="s">
        <v>2201</v>
      </c>
      <c r="E655" s="49" t="str">
        <f>VLOOKUP(Dados_Cursos[[#This Row],[ID]],Apoio!A648:H1648,2,0)</f>
        <v>benedito.andrade648@gmail.com</v>
      </c>
      <c r="F655" s="36" t="s">
        <v>764</v>
      </c>
      <c r="G655" s="36" t="s">
        <v>2666</v>
      </c>
      <c r="H655" s="38">
        <v>800</v>
      </c>
      <c r="I655" s="49">
        <v>18</v>
      </c>
      <c r="J655" s="49" t="str">
        <f>VLOOKUP(Dados_Cursos[[#This Row],[ID]],Apoio!A648:H1648,4,0)</f>
        <v>Moxico Leste</v>
      </c>
      <c r="K655" s="37" t="s">
        <v>113</v>
      </c>
      <c r="L655" s="37" t="s">
        <v>111</v>
      </c>
      <c r="M655" s="53"/>
    </row>
    <row r="656" spans="1:13" ht="20.100000000000001" customHeight="1" x14ac:dyDescent="0.25">
      <c r="A656" s="49">
        <v>649</v>
      </c>
      <c r="B656" s="55">
        <v>45646</v>
      </c>
      <c r="C656" s="36" t="str">
        <f>UPPER(TEXT(Dados_Cursos[[#This Row],[Data]],"mmm"))</f>
        <v>DEZ</v>
      </c>
      <c r="D656" s="52" t="s">
        <v>1303</v>
      </c>
      <c r="E656" s="49" t="str">
        <f>VLOOKUP(Dados_Cursos[[#This Row],[ID]],Apoio!A649:H1649,2,0)</f>
        <v>antónio.pereira649@gmail.com</v>
      </c>
      <c r="F656" s="36" t="s">
        <v>765</v>
      </c>
      <c r="G656" s="36" t="s">
        <v>2665</v>
      </c>
      <c r="H656" s="38">
        <v>1500</v>
      </c>
      <c r="I656" s="49">
        <v>2</v>
      </c>
      <c r="J656" s="49" t="str">
        <f>VLOOKUP(Dados_Cursos[[#This Row],[ID]],Apoio!A649:H1649,4,0)</f>
        <v>Malanje</v>
      </c>
      <c r="K656" s="37" t="s">
        <v>113</v>
      </c>
      <c r="L656" s="37" t="s">
        <v>2649</v>
      </c>
      <c r="M656" s="53"/>
    </row>
    <row r="657" spans="1:13" ht="20.100000000000001" customHeight="1" x14ac:dyDescent="0.25">
      <c r="A657" s="49">
        <v>650</v>
      </c>
      <c r="B657" s="55">
        <v>45509</v>
      </c>
      <c r="C657" s="36" t="str">
        <f>UPPER(TEXT(Dados_Cursos[[#This Row],[Data]],"mmm"))</f>
        <v>AGO</v>
      </c>
      <c r="D657" s="52" t="s">
        <v>1249</v>
      </c>
      <c r="E657" s="49" t="str">
        <f>VLOOKUP(Dados_Cursos[[#This Row],[ID]],Apoio!A650:H1650,2,0)</f>
        <v>benedito.lukeba650@gmail.com</v>
      </c>
      <c r="F657" s="36" t="s">
        <v>766</v>
      </c>
      <c r="G657" s="36" t="s">
        <v>2665</v>
      </c>
      <c r="H657" s="38">
        <v>1500</v>
      </c>
      <c r="I657" s="49">
        <v>12</v>
      </c>
      <c r="J657" s="49" t="str">
        <f>VLOOKUP(Dados_Cursos[[#This Row],[ID]],Apoio!A650:H1650,4,0)</f>
        <v>Cunene</v>
      </c>
      <c r="K657" s="37" t="s">
        <v>113</v>
      </c>
      <c r="L657" s="37" t="s">
        <v>111</v>
      </c>
      <c r="M657" s="53"/>
    </row>
    <row r="658" spans="1:13" ht="20.100000000000001" customHeight="1" x14ac:dyDescent="0.25">
      <c r="A658" s="49">
        <v>651</v>
      </c>
      <c r="B658" s="55">
        <v>45440</v>
      </c>
      <c r="C658" s="36" t="str">
        <f>UPPER(TEXT(Dados_Cursos[[#This Row],[Data]],"mmm"))</f>
        <v>MAI</v>
      </c>
      <c r="D658" s="52" t="s">
        <v>2079</v>
      </c>
      <c r="E658" s="49" t="str">
        <f>VLOOKUP(Dados_Cursos[[#This Row],[ID]],Apoio!A651:H1651,2,0)</f>
        <v>adriano.silva651@gmail.com</v>
      </c>
      <c r="F658" s="36" t="s">
        <v>767</v>
      </c>
      <c r="G658" s="36" t="s">
        <v>2666</v>
      </c>
      <c r="H658" s="38">
        <v>1200</v>
      </c>
      <c r="I658" s="49">
        <v>1</v>
      </c>
      <c r="J658" s="49" t="str">
        <f>VLOOKUP(Dados_Cursos[[#This Row],[ID]],Apoio!A651:H1651,4,0)</f>
        <v>Cunene</v>
      </c>
      <c r="K658" s="37" t="s">
        <v>113</v>
      </c>
      <c r="L658" s="37" t="s">
        <v>111</v>
      </c>
      <c r="M658" s="53"/>
    </row>
    <row r="659" spans="1:13" ht="20.100000000000001" customHeight="1" x14ac:dyDescent="0.25">
      <c r="A659" s="49">
        <v>652</v>
      </c>
      <c r="B659" s="55">
        <v>45440</v>
      </c>
      <c r="C659" s="36" t="str">
        <f>UPPER(TEXT(Dados_Cursos[[#This Row],[Data]],"mmm"))</f>
        <v>MAI</v>
      </c>
      <c r="D659" s="52" t="s">
        <v>2206</v>
      </c>
      <c r="E659" s="49" t="str">
        <f>VLOOKUP(Dados_Cursos[[#This Row],[ID]],Apoio!A652:H1652,2,0)</f>
        <v>teresa.andrade652@gmail.com</v>
      </c>
      <c r="F659" s="36" t="s">
        <v>768</v>
      </c>
      <c r="G659" s="36" t="s">
        <v>2666</v>
      </c>
      <c r="H659" s="38">
        <v>1200</v>
      </c>
      <c r="I659" s="49">
        <v>9</v>
      </c>
      <c r="J659" s="49" t="str">
        <f>VLOOKUP(Dados_Cursos[[#This Row],[ID]],Apoio!A652:H1652,4,0)</f>
        <v>Zaire</v>
      </c>
      <c r="K659" s="37" t="s">
        <v>112</v>
      </c>
      <c r="L659" s="37" t="s">
        <v>109</v>
      </c>
      <c r="M659" s="53"/>
    </row>
    <row r="660" spans="1:13" ht="20.100000000000001" customHeight="1" x14ac:dyDescent="0.25">
      <c r="A660" s="49">
        <v>653</v>
      </c>
      <c r="B660" s="55">
        <v>45620</v>
      </c>
      <c r="C660" s="36" t="str">
        <f>UPPER(TEXT(Dados_Cursos[[#This Row],[Data]],"mmm"))</f>
        <v>NOV</v>
      </c>
      <c r="D660" s="52" t="s">
        <v>1923</v>
      </c>
      <c r="E660" s="49" t="str">
        <f>VLOOKUP(Dados_Cursos[[#This Row],[ID]],Apoio!A653:H1653,2,0)</f>
        <v>teresa.silva653@gmail.com</v>
      </c>
      <c r="F660" s="36" t="s">
        <v>769</v>
      </c>
      <c r="G660" s="36" t="s">
        <v>2666</v>
      </c>
      <c r="H660" s="38">
        <v>800</v>
      </c>
      <c r="I660" s="49">
        <v>2</v>
      </c>
      <c r="J660" s="49" t="str">
        <f>VLOOKUP(Dados_Cursos[[#This Row],[ID]],Apoio!A653:H1653,4,0)</f>
        <v>Moxico</v>
      </c>
      <c r="K660" s="37" t="s">
        <v>113</v>
      </c>
      <c r="L660" s="37" t="s">
        <v>110</v>
      </c>
      <c r="M660" s="53"/>
    </row>
    <row r="661" spans="1:13" ht="20.100000000000001" customHeight="1" x14ac:dyDescent="0.25">
      <c r="A661" s="49">
        <v>654</v>
      </c>
      <c r="B661" s="55">
        <v>45550</v>
      </c>
      <c r="C661" s="36" t="str">
        <f>UPPER(TEXT(Dados_Cursos[[#This Row],[Data]],"mmm"))</f>
        <v>SET</v>
      </c>
      <c r="D661" s="52" t="s">
        <v>2209</v>
      </c>
      <c r="E661" s="49" t="str">
        <f>VLOOKUP(Dados_Cursos[[#This Row],[ID]],Apoio!A654:H1654,2,0)</f>
        <v>manuel.fernandes654@gmail.com</v>
      </c>
      <c r="F661" s="36" t="s">
        <v>770</v>
      </c>
      <c r="G661" s="36" t="s">
        <v>2666</v>
      </c>
      <c r="H661" s="38">
        <v>1200</v>
      </c>
      <c r="I661" s="49">
        <v>19</v>
      </c>
      <c r="J661" s="49" t="str">
        <f>VLOOKUP(Dados_Cursos[[#This Row],[ID]],Apoio!A654:H1654,4,0)</f>
        <v>Cabinda</v>
      </c>
      <c r="K661" s="37" t="s">
        <v>113</v>
      </c>
      <c r="L661" s="37" t="s">
        <v>2649</v>
      </c>
      <c r="M661" s="53"/>
    </row>
    <row r="662" spans="1:13" ht="20.100000000000001" customHeight="1" x14ac:dyDescent="0.25">
      <c r="A662" s="49">
        <v>655</v>
      </c>
      <c r="B662" s="55">
        <v>45437</v>
      </c>
      <c r="C662" s="36" t="str">
        <f>UPPER(TEXT(Dados_Cursos[[#This Row],[Data]],"mmm"))</f>
        <v>MAI</v>
      </c>
      <c r="D662" s="52" t="s">
        <v>2211</v>
      </c>
      <c r="E662" s="49" t="str">
        <f>VLOOKUP(Dados_Cursos[[#This Row],[ID]],Apoio!A655:H1655,2,0)</f>
        <v>maria.miguel655@gmail.com</v>
      </c>
      <c r="F662" s="36" t="s">
        <v>771</v>
      </c>
      <c r="G662" s="36" t="s">
        <v>2666</v>
      </c>
      <c r="H662" s="38">
        <v>800</v>
      </c>
      <c r="I662" s="49">
        <v>19</v>
      </c>
      <c r="J662" s="49" t="str">
        <f>VLOOKUP(Dados_Cursos[[#This Row],[ID]],Apoio!A655:H1655,4,0)</f>
        <v>Malanje</v>
      </c>
      <c r="K662" s="37" t="s">
        <v>113</v>
      </c>
      <c r="L662" s="37" t="s">
        <v>110</v>
      </c>
      <c r="M662" s="53"/>
    </row>
    <row r="663" spans="1:13" ht="20.100000000000001" customHeight="1" x14ac:dyDescent="0.25">
      <c r="A663" s="49">
        <v>656</v>
      </c>
      <c r="B663" s="55">
        <v>45378</v>
      </c>
      <c r="C663" s="36" t="str">
        <f>UPPER(TEXT(Dados_Cursos[[#This Row],[Data]],"mmm"))</f>
        <v>MAR</v>
      </c>
      <c r="D663" s="52" t="s">
        <v>1567</v>
      </c>
      <c r="E663" s="49" t="str">
        <f>VLOOKUP(Dados_Cursos[[#This Row],[ID]],Apoio!A656:H1656,2,0)</f>
        <v>isabel.pereira656@gmail.com</v>
      </c>
      <c r="F663" s="36" t="s">
        <v>772</v>
      </c>
      <c r="G663" s="36" t="s">
        <v>2666</v>
      </c>
      <c r="H663" s="38">
        <v>1200</v>
      </c>
      <c r="I663" s="49">
        <v>3</v>
      </c>
      <c r="J663" s="49" t="str">
        <f>VLOOKUP(Dados_Cursos[[#This Row],[ID]],Apoio!A656:H1656,4,0)</f>
        <v>Bengo</v>
      </c>
      <c r="K663" s="37" t="s">
        <v>112</v>
      </c>
      <c r="L663" s="37" t="s">
        <v>109</v>
      </c>
      <c r="M663" s="53"/>
    </row>
    <row r="664" spans="1:13" ht="20.100000000000001" customHeight="1" x14ac:dyDescent="0.25">
      <c r="A664" s="49">
        <v>657</v>
      </c>
      <c r="B664" s="55">
        <v>45304</v>
      </c>
      <c r="C664" s="36" t="str">
        <f>UPPER(TEXT(Dados_Cursos[[#This Row],[Data]],"mmm"))</f>
        <v>JAN</v>
      </c>
      <c r="D664" s="52" t="s">
        <v>2214</v>
      </c>
      <c r="E664" s="49" t="str">
        <f>VLOOKUP(Dados_Cursos[[#This Row],[ID]],Apoio!A657:H1657,2,0)</f>
        <v>rosa.almeida657@gmail.com</v>
      </c>
      <c r="F664" s="36" t="s">
        <v>773</v>
      </c>
      <c r="G664" s="36" t="s">
        <v>2665</v>
      </c>
      <c r="H664" s="38">
        <v>1500</v>
      </c>
      <c r="I664" s="49">
        <v>7</v>
      </c>
      <c r="J664" s="49" t="str">
        <f>VLOOKUP(Dados_Cursos[[#This Row],[ID]],Apoio!A657:H1657,4,0)</f>
        <v>Cubango</v>
      </c>
      <c r="K664" s="37" t="s">
        <v>112</v>
      </c>
      <c r="L664" s="37" t="s">
        <v>109</v>
      </c>
      <c r="M664" s="53"/>
    </row>
    <row r="665" spans="1:13" ht="20.100000000000001" customHeight="1" x14ac:dyDescent="0.25">
      <c r="A665" s="49">
        <v>658</v>
      </c>
      <c r="B665" s="55">
        <v>45635</v>
      </c>
      <c r="C665" s="36" t="str">
        <f>UPPER(TEXT(Dados_Cursos[[#This Row],[Data]],"mmm"))</f>
        <v>DEZ</v>
      </c>
      <c r="D665" s="52" t="s">
        <v>2216</v>
      </c>
      <c r="E665" s="49" t="str">
        <f>VLOOKUP(Dados_Cursos[[#This Row],[ID]],Apoio!A658:H1658,2,0)</f>
        <v>marta.costa658@gmail.com</v>
      </c>
      <c r="F665" s="36" t="s">
        <v>774</v>
      </c>
      <c r="G665" s="36" t="s">
        <v>2665</v>
      </c>
      <c r="H665" s="38">
        <v>1500</v>
      </c>
      <c r="I665" s="49">
        <v>20</v>
      </c>
      <c r="J665" s="49" t="str">
        <f>VLOOKUP(Dados_Cursos[[#This Row],[ID]],Apoio!A658:H1658,4,0)</f>
        <v>Icolo e Bengo</v>
      </c>
      <c r="K665" s="37" t="s">
        <v>113</v>
      </c>
      <c r="L665" s="37" t="s">
        <v>2649</v>
      </c>
      <c r="M665" s="53"/>
    </row>
    <row r="666" spans="1:13" ht="20.100000000000001" customHeight="1" x14ac:dyDescent="0.25">
      <c r="A666" s="49">
        <v>659</v>
      </c>
      <c r="B666" s="55">
        <v>45522</v>
      </c>
      <c r="C666" s="36" t="str">
        <f>UPPER(TEXT(Dados_Cursos[[#This Row],[Data]],"mmm"))</f>
        <v>AGO</v>
      </c>
      <c r="D666" s="52" t="s">
        <v>1884</v>
      </c>
      <c r="E666" s="49" t="str">
        <f>VLOOKUP(Dados_Cursos[[#This Row],[ID]],Apoio!A659:H1659,2,0)</f>
        <v>manuel.pereira659@gmail.com</v>
      </c>
      <c r="F666" s="36" t="s">
        <v>775</v>
      </c>
      <c r="G666" s="36" t="s">
        <v>2665</v>
      </c>
      <c r="H666" s="38">
        <v>1500</v>
      </c>
      <c r="I666" s="49">
        <v>5</v>
      </c>
      <c r="J666" s="49" t="str">
        <f>VLOOKUP(Dados_Cursos[[#This Row],[ID]],Apoio!A659:H1659,4,0)</f>
        <v>Moxico Leste</v>
      </c>
      <c r="K666" s="37" t="s">
        <v>113</v>
      </c>
      <c r="L666" s="37" t="s">
        <v>110</v>
      </c>
      <c r="M666" s="53"/>
    </row>
    <row r="667" spans="1:13" ht="20.100000000000001" customHeight="1" x14ac:dyDescent="0.25">
      <c r="A667" s="49">
        <v>660</v>
      </c>
      <c r="B667" s="55">
        <v>45544</v>
      </c>
      <c r="C667" s="36" t="str">
        <f>UPPER(TEXT(Dados_Cursos[[#This Row],[Data]],"mmm"))</f>
        <v>SET</v>
      </c>
      <c r="D667" s="52" t="s">
        <v>1577</v>
      </c>
      <c r="E667" s="49" t="str">
        <f>VLOOKUP(Dados_Cursos[[#This Row],[ID]],Apoio!A660:H1660,2,0)</f>
        <v>marta.fernandes660@gmail.com</v>
      </c>
      <c r="F667" s="36" t="s">
        <v>776</v>
      </c>
      <c r="G667" s="36" t="s">
        <v>2665</v>
      </c>
      <c r="H667" s="38">
        <v>1500</v>
      </c>
      <c r="I667" s="49">
        <v>14</v>
      </c>
      <c r="J667" s="49" t="str">
        <f>VLOOKUP(Dados_Cursos[[#This Row],[ID]],Apoio!A660:H1660,4,0)</f>
        <v>Cuanza Sul</v>
      </c>
      <c r="K667" s="37" t="s">
        <v>113</v>
      </c>
      <c r="L667" s="37" t="s">
        <v>2649</v>
      </c>
      <c r="M667" s="53"/>
    </row>
    <row r="668" spans="1:13" ht="20.100000000000001" customHeight="1" x14ac:dyDescent="0.25">
      <c r="A668" s="49">
        <v>661</v>
      </c>
      <c r="B668" s="55">
        <v>45458</v>
      </c>
      <c r="C668" s="36" t="str">
        <f>UPPER(TEXT(Dados_Cursos[[#This Row],[Data]],"mmm"))</f>
        <v>JUN</v>
      </c>
      <c r="D668" s="52" t="s">
        <v>1549</v>
      </c>
      <c r="E668" s="49" t="str">
        <f>VLOOKUP(Dados_Cursos[[#This Row],[ID]],Apoio!A661:H1661,2,0)</f>
        <v>rui.santos661@gmail.com</v>
      </c>
      <c r="F668" s="36" t="s">
        <v>777</v>
      </c>
      <c r="G668" s="36" t="s">
        <v>2666</v>
      </c>
      <c r="H668" s="38">
        <v>800</v>
      </c>
      <c r="I668" s="49">
        <v>16</v>
      </c>
      <c r="J668" s="49" t="str">
        <f>VLOOKUP(Dados_Cursos[[#This Row],[ID]],Apoio!A661:H1661,4,0)</f>
        <v>Moxico</v>
      </c>
      <c r="K668" s="37" t="s">
        <v>113</v>
      </c>
      <c r="L668" s="37" t="s">
        <v>110</v>
      </c>
      <c r="M668" s="53"/>
    </row>
    <row r="669" spans="1:13" ht="20.100000000000001" customHeight="1" x14ac:dyDescent="0.25">
      <c r="A669" s="49">
        <v>662</v>
      </c>
      <c r="B669" s="55">
        <v>45374</v>
      </c>
      <c r="C669" s="36" t="str">
        <f>UPPER(TEXT(Dados_Cursos[[#This Row],[Data]],"mmm"))</f>
        <v>MAR</v>
      </c>
      <c r="D669" s="52" t="s">
        <v>1816</v>
      </c>
      <c r="E669" s="49" t="str">
        <f>VLOOKUP(Dados_Cursos[[#This Row],[ID]],Apoio!A662:H1662,2,0)</f>
        <v>daniel.fernandes662@gmail.com</v>
      </c>
      <c r="F669" s="36" t="s">
        <v>778</v>
      </c>
      <c r="G669" s="36" t="s">
        <v>2666</v>
      </c>
      <c r="H669" s="38">
        <v>1200</v>
      </c>
      <c r="I669" s="49">
        <v>6</v>
      </c>
      <c r="J669" s="49" t="str">
        <f>VLOOKUP(Dados_Cursos[[#This Row],[ID]],Apoio!A662:H1662,4,0)</f>
        <v>Cubango</v>
      </c>
      <c r="K669" s="37" t="s">
        <v>113</v>
      </c>
      <c r="L669" s="37" t="s">
        <v>2649</v>
      </c>
      <c r="M669" s="53"/>
    </row>
    <row r="670" spans="1:13" ht="20.100000000000001" customHeight="1" x14ac:dyDescent="0.25">
      <c r="A670" s="49">
        <v>663</v>
      </c>
      <c r="B670" s="55">
        <v>45545</v>
      </c>
      <c r="C670" s="36" t="str">
        <f>UPPER(TEXT(Dados_Cursos[[#This Row],[Data]],"mmm"))</f>
        <v>SET</v>
      </c>
      <c r="D670" s="52" t="s">
        <v>1206</v>
      </c>
      <c r="E670" s="49" t="str">
        <f>VLOOKUP(Dados_Cursos[[#This Row],[ID]],Apoio!A663:H1663,2,0)</f>
        <v>antónio.david663@gmail.com</v>
      </c>
      <c r="F670" s="36" t="s">
        <v>779</v>
      </c>
      <c r="G670" s="36" t="s">
        <v>2665</v>
      </c>
      <c r="H670" s="38">
        <v>1500</v>
      </c>
      <c r="I670" s="49">
        <v>1</v>
      </c>
      <c r="J670" s="49" t="str">
        <f>VLOOKUP(Dados_Cursos[[#This Row],[ID]],Apoio!A663:H1663,4,0)</f>
        <v>Moxico Leste</v>
      </c>
      <c r="K670" s="37" t="s">
        <v>113</v>
      </c>
      <c r="L670" s="37" t="s">
        <v>110</v>
      </c>
      <c r="M670" s="53"/>
    </row>
    <row r="671" spans="1:13" ht="20.100000000000001" customHeight="1" x14ac:dyDescent="0.25">
      <c r="A671" s="49">
        <v>664</v>
      </c>
      <c r="B671" s="55">
        <v>45429</v>
      </c>
      <c r="C671" s="36" t="str">
        <f>UPPER(TEXT(Dados_Cursos[[#This Row],[Data]],"mmm"))</f>
        <v>MAI</v>
      </c>
      <c r="D671" s="52" t="s">
        <v>1960</v>
      </c>
      <c r="E671" s="49" t="str">
        <f>VLOOKUP(Dados_Cursos[[#This Row],[ID]],Apoio!A664:H1664,2,0)</f>
        <v>adriano.david664@gmail.com</v>
      </c>
      <c r="F671" s="36" t="s">
        <v>780</v>
      </c>
      <c r="G671" s="36" t="s">
        <v>2666</v>
      </c>
      <c r="H671" s="38">
        <v>800</v>
      </c>
      <c r="I671" s="49">
        <v>2</v>
      </c>
      <c r="J671" s="49" t="str">
        <f>VLOOKUP(Dados_Cursos[[#This Row],[ID]],Apoio!A664:H1664,4,0)</f>
        <v>Huambo</v>
      </c>
      <c r="K671" s="37" t="s">
        <v>113</v>
      </c>
      <c r="L671" s="37" t="s">
        <v>110</v>
      </c>
      <c r="M671" s="53"/>
    </row>
    <row r="672" spans="1:13" ht="20.100000000000001" customHeight="1" x14ac:dyDescent="0.25">
      <c r="A672" s="49">
        <v>665</v>
      </c>
      <c r="B672" s="55">
        <v>45653</v>
      </c>
      <c r="C672" s="36" t="str">
        <f>UPPER(TEXT(Dados_Cursos[[#This Row],[Data]],"mmm"))</f>
        <v>DEZ</v>
      </c>
      <c r="D672" s="52" t="s">
        <v>2224</v>
      </c>
      <c r="E672" s="49" t="str">
        <f>VLOOKUP(Dados_Cursos[[#This Row],[ID]],Apoio!A665:H1665,2,0)</f>
        <v>samuel.barbosa665@gmail.com</v>
      </c>
      <c r="F672" s="36" t="s">
        <v>781</v>
      </c>
      <c r="G672" s="36" t="s">
        <v>2666</v>
      </c>
      <c r="H672" s="38">
        <v>1200</v>
      </c>
      <c r="I672" s="49">
        <v>1</v>
      </c>
      <c r="J672" s="49" t="str">
        <f>VLOOKUP(Dados_Cursos[[#This Row],[ID]],Apoio!A665:H1665,4,0)</f>
        <v>Huíla</v>
      </c>
      <c r="K672" s="37" t="s">
        <v>112</v>
      </c>
      <c r="L672" s="37" t="s">
        <v>109</v>
      </c>
      <c r="M672" s="53"/>
    </row>
    <row r="673" spans="1:13" ht="20.100000000000001" customHeight="1" x14ac:dyDescent="0.25">
      <c r="A673" s="49">
        <v>666</v>
      </c>
      <c r="B673" s="55">
        <v>45625</v>
      </c>
      <c r="C673" s="36" t="str">
        <f>UPPER(TEXT(Dados_Cursos[[#This Row],[Data]],"mmm"))</f>
        <v>NOV</v>
      </c>
      <c r="D673" s="52" t="s">
        <v>2226</v>
      </c>
      <c r="E673" s="49" t="str">
        <f>VLOOKUP(Dados_Cursos[[#This Row],[ID]],Apoio!A666:H1666,2,0)</f>
        <v>joaquim.barbosa666@gmail.com</v>
      </c>
      <c r="F673" s="36" t="s">
        <v>782</v>
      </c>
      <c r="G673" s="36" t="s">
        <v>2666</v>
      </c>
      <c r="H673" s="38">
        <v>1200</v>
      </c>
      <c r="I673" s="49">
        <v>8</v>
      </c>
      <c r="J673" s="49" t="str">
        <f>VLOOKUP(Dados_Cursos[[#This Row],[ID]],Apoio!A666:H1666,4,0)</f>
        <v>Lunda Norte</v>
      </c>
      <c r="K673" s="37" t="s">
        <v>112</v>
      </c>
      <c r="L673" s="37" t="s">
        <v>109</v>
      </c>
      <c r="M673" s="53"/>
    </row>
    <row r="674" spans="1:13" ht="20.100000000000001" customHeight="1" x14ac:dyDescent="0.25">
      <c r="A674" s="49">
        <v>667</v>
      </c>
      <c r="B674" s="55">
        <v>45362</v>
      </c>
      <c r="C674" s="36" t="str">
        <f>UPPER(TEXT(Dados_Cursos[[#This Row],[Data]],"mmm"))</f>
        <v>MAR</v>
      </c>
      <c r="D674" s="52" t="s">
        <v>1529</v>
      </c>
      <c r="E674" s="49" t="str">
        <f>VLOOKUP(Dados_Cursos[[#This Row],[ID]],Apoio!A667:H1667,2,0)</f>
        <v>cláudia.pinto667@gmail.com</v>
      </c>
      <c r="F674" s="36" t="s">
        <v>783</v>
      </c>
      <c r="G674" s="36" t="s">
        <v>2666</v>
      </c>
      <c r="H674" s="38">
        <v>800</v>
      </c>
      <c r="I674" s="49">
        <v>7</v>
      </c>
      <c r="J674" s="49" t="str">
        <f>VLOOKUP(Dados_Cursos[[#This Row],[ID]],Apoio!A667:H1667,4,0)</f>
        <v>Moxico</v>
      </c>
      <c r="K674" s="37" t="s">
        <v>113</v>
      </c>
      <c r="L674" s="37" t="s">
        <v>2649</v>
      </c>
      <c r="M674" s="53"/>
    </row>
    <row r="675" spans="1:13" ht="20.100000000000001" customHeight="1" x14ac:dyDescent="0.25">
      <c r="A675" s="49">
        <v>668</v>
      </c>
      <c r="B675" s="55">
        <v>45607</v>
      </c>
      <c r="C675" s="36" t="str">
        <f>UPPER(TEXT(Dados_Cursos[[#This Row],[Data]],"mmm"))</f>
        <v>NOV</v>
      </c>
      <c r="D675" s="52" t="s">
        <v>1819</v>
      </c>
      <c r="E675" s="49" t="str">
        <f>VLOOKUP(Dados_Cursos[[#This Row],[ID]],Apoio!A668:H1668,2,0)</f>
        <v>maria.lukeba668@gmail.com</v>
      </c>
      <c r="F675" s="36" t="s">
        <v>784</v>
      </c>
      <c r="G675" s="36" t="s">
        <v>2666</v>
      </c>
      <c r="H675" s="38">
        <v>1200</v>
      </c>
      <c r="I675" s="49">
        <v>10</v>
      </c>
      <c r="J675" s="49" t="str">
        <f>VLOOKUP(Dados_Cursos[[#This Row],[ID]],Apoio!A668:H1668,4,0)</f>
        <v>Lunda Sul</v>
      </c>
      <c r="K675" s="37" t="s">
        <v>112</v>
      </c>
      <c r="L675" s="37" t="s">
        <v>109</v>
      </c>
      <c r="M675" s="53"/>
    </row>
    <row r="676" spans="1:13" ht="20.100000000000001" customHeight="1" x14ac:dyDescent="0.25">
      <c r="A676" s="49">
        <v>669</v>
      </c>
      <c r="B676" s="55">
        <v>45374</v>
      </c>
      <c r="C676" s="36" t="str">
        <f>UPPER(TEXT(Dados_Cursos[[#This Row],[Data]],"mmm"))</f>
        <v>MAR</v>
      </c>
      <c r="D676" s="52" t="s">
        <v>1914</v>
      </c>
      <c r="E676" s="49" t="str">
        <f>VLOOKUP(Dados_Cursos[[#This Row],[ID]],Apoio!A669:H1669,2,0)</f>
        <v>bruno.andrade669@gmail.com</v>
      </c>
      <c r="F676" s="36" t="s">
        <v>785</v>
      </c>
      <c r="G676" s="36" t="s">
        <v>2666</v>
      </c>
      <c r="H676" s="38">
        <v>800</v>
      </c>
      <c r="I676" s="49">
        <v>7</v>
      </c>
      <c r="J676" s="49" t="str">
        <f>VLOOKUP(Dados_Cursos[[#This Row],[ID]],Apoio!A669:H1669,4,0)</f>
        <v>Malanje</v>
      </c>
      <c r="K676" s="37" t="s">
        <v>112</v>
      </c>
      <c r="L676" s="37" t="s">
        <v>109</v>
      </c>
      <c r="M676" s="53"/>
    </row>
    <row r="677" spans="1:13" ht="20.100000000000001" customHeight="1" x14ac:dyDescent="0.25">
      <c r="A677" s="49">
        <v>670</v>
      </c>
      <c r="B677" s="55">
        <v>45395</v>
      </c>
      <c r="C677" s="36" t="str">
        <f>UPPER(TEXT(Dados_Cursos[[#This Row],[Data]],"mmm"))</f>
        <v>ABR</v>
      </c>
      <c r="D677" s="52" t="s">
        <v>2231</v>
      </c>
      <c r="E677" s="49" t="str">
        <f>VLOOKUP(Dados_Cursos[[#This Row],[ID]],Apoio!A670:H1670,2,0)</f>
        <v>adriano.domingues670@gmail.com</v>
      </c>
      <c r="F677" s="36" t="s">
        <v>786</v>
      </c>
      <c r="G677" s="36" t="s">
        <v>2666</v>
      </c>
      <c r="H677" s="38">
        <v>1200</v>
      </c>
      <c r="I677" s="49">
        <v>16</v>
      </c>
      <c r="J677" s="49" t="str">
        <f>VLOOKUP(Dados_Cursos[[#This Row],[ID]],Apoio!A670:H1670,4,0)</f>
        <v>Zaire</v>
      </c>
      <c r="K677" s="37" t="s">
        <v>113</v>
      </c>
      <c r="L677" s="37" t="s">
        <v>111</v>
      </c>
      <c r="M677" s="53"/>
    </row>
    <row r="678" spans="1:13" ht="20.100000000000001" customHeight="1" x14ac:dyDescent="0.25">
      <c r="A678" s="49">
        <v>671</v>
      </c>
      <c r="B678" s="55">
        <v>45645</v>
      </c>
      <c r="C678" s="36" t="str">
        <f>UPPER(TEXT(Dados_Cursos[[#This Row],[Data]],"mmm"))</f>
        <v>DEZ</v>
      </c>
      <c r="D678" s="52" t="s">
        <v>1948</v>
      </c>
      <c r="E678" s="49" t="str">
        <f>VLOOKUP(Dados_Cursos[[#This Row],[ID]],Apoio!A671:H1671,2,0)</f>
        <v>bruno.gomes671@gmail.com</v>
      </c>
      <c r="F678" s="36" t="s">
        <v>787</v>
      </c>
      <c r="G678" s="36" t="s">
        <v>2665</v>
      </c>
      <c r="H678" s="38">
        <v>1500</v>
      </c>
      <c r="I678" s="49">
        <v>8</v>
      </c>
      <c r="J678" s="49" t="str">
        <f>VLOOKUP(Dados_Cursos[[#This Row],[ID]],Apoio!A671:H1671,4,0)</f>
        <v>Cunene</v>
      </c>
      <c r="K678" s="37" t="s">
        <v>113</v>
      </c>
      <c r="L678" s="37" t="s">
        <v>111</v>
      </c>
      <c r="M678" s="53"/>
    </row>
    <row r="679" spans="1:13" ht="20.100000000000001" customHeight="1" x14ac:dyDescent="0.25">
      <c r="A679" s="49">
        <v>672</v>
      </c>
      <c r="B679" s="55">
        <v>45441</v>
      </c>
      <c r="C679" s="36" t="str">
        <f>UPPER(TEXT(Dados_Cursos[[#This Row],[Data]],"mmm"))</f>
        <v>MAI</v>
      </c>
      <c r="D679" s="52" t="s">
        <v>1599</v>
      </c>
      <c r="E679" s="49" t="str">
        <f>VLOOKUP(Dados_Cursos[[#This Row],[ID]],Apoio!A672:H1672,2,0)</f>
        <v>paulo.monteiro672@gmail.com</v>
      </c>
      <c r="F679" s="36" t="s">
        <v>788</v>
      </c>
      <c r="G679" s="36" t="s">
        <v>2666</v>
      </c>
      <c r="H679" s="38">
        <v>1200</v>
      </c>
      <c r="I679" s="49">
        <v>9</v>
      </c>
      <c r="J679" s="49" t="str">
        <f>VLOOKUP(Dados_Cursos[[#This Row],[ID]],Apoio!A672:H1672,4,0)</f>
        <v>Benguela</v>
      </c>
      <c r="K679" s="37" t="s">
        <v>113</v>
      </c>
      <c r="L679" s="37" t="s">
        <v>2649</v>
      </c>
      <c r="M679" s="53"/>
    </row>
    <row r="680" spans="1:13" ht="20.100000000000001" customHeight="1" x14ac:dyDescent="0.25">
      <c r="A680" s="49">
        <v>673</v>
      </c>
      <c r="B680" s="55">
        <v>45601</v>
      </c>
      <c r="C680" s="36" t="str">
        <f>UPPER(TEXT(Dados_Cursos[[#This Row],[Data]],"mmm"))</f>
        <v>NOV</v>
      </c>
      <c r="D680" s="52" t="s">
        <v>1476</v>
      </c>
      <c r="E680" s="49" t="str">
        <f>VLOOKUP(Dados_Cursos[[#This Row],[ID]],Apoio!A673:H1673,2,0)</f>
        <v>luís.pereira673@gmail.com</v>
      </c>
      <c r="F680" s="36" t="s">
        <v>789</v>
      </c>
      <c r="G680" s="36" t="s">
        <v>2666</v>
      </c>
      <c r="H680" s="38">
        <v>1200</v>
      </c>
      <c r="I680" s="49">
        <v>3</v>
      </c>
      <c r="J680" s="49" t="str">
        <f>VLOOKUP(Dados_Cursos[[#This Row],[ID]],Apoio!A673:H1673,4,0)</f>
        <v>Lunda Sul</v>
      </c>
      <c r="K680" s="37" t="s">
        <v>113</v>
      </c>
      <c r="L680" s="37" t="s">
        <v>110</v>
      </c>
      <c r="M680" s="53"/>
    </row>
    <row r="681" spans="1:13" ht="20.100000000000001" customHeight="1" x14ac:dyDescent="0.25">
      <c r="A681" s="49">
        <v>674</v>
      </c>
      <c r="B681" s="55">
        <v>45452</v>
      </c>
      <c r="C681" s="36" t="str">
        <f>UPPER(TEXT(Dados_Cursos[[#This Row],[Data]],"mmm"))</f>
        <v>JUN</v>
      </c>
      <c r="D681" s="52" t="s">
        <v>2236</v>
      </c>
      <c r="E681" s="49" t="str">
        <f>VLOOKUP(Dados_Cursos[[#This Row],[ID]],Apoio!A674:H1674,2,0)</f>
        <v>samuel.silva674@gmail.com</v>
      </c>
      <c r="F681" s="36" t="s">
        <v>790</v>
      </c>
      <c r="G681" s="36" t="s">
        <v>2665</v>
      </c>
      <c r="H681" s="38">
        <v>1500</v>
      </c>
      <c r="I681" s="49">
        <v>18</v>
      </c>
      <c r="J681" s="49" t="str">
        <f>VLOOKUP(Dados_Cursos[[#This Row],[ID]],Apoio!A674:H1674,4,0)</f>
        <v>Zaire</v>
      </c>
      <c r="K681" s="37" t="s">
        <v>112</v>
      </c>
      <c r="L681" s="37" t="s">
        <v>109</v>
      </c>
      <c r="M681" s="53"/>
    </row>
    <row r="682" spans="1:13" ht="20.100000000000001" customHeight="1" x14ac:dyDescent="0.25">
      <c r="A682" s="49">
        <v>675</v>
      </c>
      <c r="B682" s="55">
        <v>45649</v>
      </c>
      <c r="C682" s="36" t="str">
        <f>UPPER(TEXT(Dados_Cursos[[#This Row],[Data]],"mmm"))</f>
        <v>DEZ</v>
      </c>
      <c r="D682" s="52" t="s">
        <v>1608</v>
      </c>
      <c r="E682" s="49" t="str">
        <f>VLOOKUP(Dados_Cursos[[#This Row],[ID]],Apoio!A675:H1675,2,0)</f>
        <v>ana.domingues675@gmail.com</v>
      </c>
      <c r="F682" s="36" t="s">
        <v>791</v>
      </c>
      <c r="G682" s="36" t="s">
        <v>2666</v>
      </c>
      <c r="H682" s="38">
        <v>800</v>
      </c>
      <c r="I682" s="49">
        <v>17</v>
      </c>
      <c r="J682" s="49" t="str">
        <f>VLOOKUP(Dados_Cursos[[#This Row],[ID]],Apoio!A675:H1675,4,0)</f>
        <v>Zaire</v>
      </c>
      <c r="K682" s="37" t="s">
        <v>113</v>
      </c>
      <c r="L682" s="37" t="s">
        <v>111</v>
      </c>
      <c r="M682" s="53"/>
    </row>
    <row r="683" spans="1:13" ht="20.100000000000001" customHeight="1" x14ac:dyDescent="0.25">
      <c r="A683" s="49">
        <v>676</v>
      </c>
      <c r="B683" s="55">
        <v>45342</v>
      </c>
      <c r="C683" s="36" t="str">
        <f>UPPER(TEXT(Dados_Cursos[[#This Row],[Data]],"mmm"))</f>
        <v>FEV</v>
      </c>
      <c r="D683" s="52" t="s">
        <v>2239</v>
      </c>
      <c r="E683" s="49" t="str">
        <f>VLOOKUP(Dados_Cursos[[#This Row],[ID]],Apoio!A676:H1676,2,0)</f>
        <v>antónio.miguel676@gmail.com</v>
      </c>
      <c r="F683" s="36" t="s">
        <v>792</v>
      </c>
      <c r="G683" s="36" t="s">
        <v>2666</v>
      </c>
      <c r="H683" s="38">
        <v>800</v>
      </c>
      <c r="I683" s="49">
        <v>11</v>
      </c>
      <c r="J683" s="49" t="str">
        <f>VLOOKUP(Dados_Cursos[[#This Row],[ID]],Apoio!A676:H1676,4,0)</f>
        <v>Cubango</v>
      </c>
      <c r="K683" s="37" t="s">
        <v>113</v>
      </c>
      <c r="L683" s="37" t="s">
        <v>111</v>
      </c>
      <c r="M683" s="53"/>
    </row>
    <row r="684" spans="1:13" ht="20.100000000000001" customHeight="1" x14ac:dyDescent="0.25">
      <c r="A684" s="49">
        <v>677</v>
      </c>
      <c r="B684" s="55">
        <v>45477</v>
      </c>
      <c r="C684" s="36" t="str">
        <f>UPPER(TEXT(Dados_Cursos[[#This Row],[Data]],"mmm"))</f>
        <v>JUL</v>
      </c>
      <c r="D684" s="52" t="s">
        <v>1534</v>
      </c>
      <c r="E684" s="49" t="str">
        <f>VLOOKUP(Dados_Cursos[[#This Row],[ID]],Apoio!A677:H1677,2,0)</f>
        <v>fátima.monteiro677@gmail.com</v>
      </c>
      <c r="F684" s="36" t="s">
        <v>793</v>
      </c>
      <c r="G684" s="36" t="s">
        <v>2666</v>
      </c>
      <c r="H684" s="38">
        <v>800</v>
      </c>
      <c r="I684" s="49">
        <v>4</v>
      </c>
      <c r="J684" s="49" t="str">
        <f>VLOOKUP(Dados_Cursos[[#This Row],[ID]],Apoio!A677:H1677,4,0)</f>
        <v>Cunene</v>
      </c>
      <c r="K684" s="37" t="s">
        <v>112</v>
      </c>
      <c r="L684" s="37" t="s">
        <v>109</v>
      </c>
      <c r="M684" s="53"/>
    </row>
    <row r="685" spans="1:13" ht="20.100000000000001" customHeight="1" x14ac:dyDescent="0.25">
      <c r="A685" s="49">
        <v>678</v>
      </c>
      <c r="B685" s="55">
        <v>45622</v>
      </c>
      <c r="C685" s="36" t="str">
        <f>UPPER(TEXT(Dados_Cursos[[#This Row],[Data]],"mmm"))</f>
        <v>NOV</v>
      </c>
      <c r="D685" s="52" t="s">
        <v>2095</v>
      </c>
      <c r="E685" s="49" t="str">
        <f>VLOOKUP(Dados_Cursos[[#This Row],[ID]],Apoio!A678:H1678,2,0)</f>
        <v>daniel.martins678@gmail.com</v>
      </c>
      <c r="F685" s="36" t="s">
        <v>794</v>
      </c>
      <c r="G685" s="36" t="s">
        <v>2666</v>
      </c>
      <c r="H685" s="38">
        <v>800</v>
      </c>
      <c r="I685" s="49">
        <v>4</v>
      </c>
      <c r="J685" s="49" t="str">
        <f>VLOOKUP(Dados_Cursos[[#This Row],[ID]],Apoio!A678:H1678,4,0)</f>
        <v>Lunda Norte</v>
      </c>
      <c r="K685" s="37" t="s">
        <v>112</v>
      </c>
      <c r="L685" s="37" t="s">
        <v>109</v>
      </c>
      <c r="M685" s="53"/>
    </row>
    <row r="686" spans="1:13" ht="20.100000000000001" customHeight="1" x14ac:dyDescent="0.25">
      <c r="A686" s="49">
        <v>679</v>
      </c>
      <c r="B686" s="55">
        <v>45494</v>
      </c>
      <c r="C686" s="36" t="str">
        <f>UPPER(TEXT(Dados_Cursos[[#This Row],[Data]],"mmm"))</f>
        <v>JUL</v>
      </c>
      <c r="D686" s="52" t="s">
        <v>2046</v>
      </c>
      <c r="E686" s="49" t="str">
        <f>VLOOKUP(Dados_Cursos[[#This Row],[ID]],Apoio!A679:H1679,2,0)</f>
        <v>luís.lukeba679@gmail.com</v>
      </c>
      <c r="F686" s="36" t="s">
        <v>795</v>
      </c>
      <c r="G686" s="36" t="s">
        <v>2666</v>
      </c>
      <c r="H686" s="38">
        <v>1200</v>
      </c>
      <c r="I686" s="49">
        <v>9</v>
      </c>
      <c r="J686" s="49" t="str">
        <f>VLOOKUP(Dados_Cursos[[#This Row],[ID]],Apoio!A679:H1679,4,0)</f>
        <v>Huíla</v>
      </c>
      <c r="K686" s="37" t="s">
        <v>113</v>
      </c>
      <c r="L686" s="37" t="s">
        <v>111</v>
      </c>
      <c r="M686" s="53"/>
    </row>
    <row r="687" spans="1:13" ht="20.100000000000001" customHeight="1" x14ac:dyDescent="0.25">
      <c r="A687" s="49">
        <v>680</v>
      </c>
      <c r="B687" s="55">
        <v>45500</v>
      </c>
      <c r="C687" s="36" t="str">
        <f>UPPER(TEXT(Dados_Cursos[[#This Row],[Data]],"mmm"))</f>
        <v>JUL</v>
      </c>
      <c r="D687" s="52" t="s">
        <v>1819</v>
      </c>
      <c r="E687" s="49" t="str">
        <f>VLOOKUP(Dados_Cursos[[#This Row],[ID]],Apoio!A680:H1680,2,0)</f>
        <v>maria.lukeba680@gmail.com</v>
      </c>
      <c r="F687" s="36" t="s">
        <v>796</v>
      </c>
      <c r="G687" s="36" t="s">
        <v>2666</v>
      </c>
      <c r="H687" s="38">
        <v>1200</v>
      </c>
      <c r="I687" s="49">
        <v>20</v>
      </c>
      <c r="J687" s="49" t="str">
        <f>VLOOKUP(Dados_Cursos[[#This Row],[ID]],Apoio!A680:H1680,4,0)</f>
        <v>Cabinda</v>
      </c>
      <c r="K687" s="37" t="s">
        <v>113</v>
      </c>
      <c r="L687" s="37" t="s">
        <v>2649</v>
      </c>
      <c r="M687" s="53"/>
    </row>
    <row r="688" spans="1:13" ht="20.100000000000001" customHeight="1" x14ac:dyDescent="0.25">
      <c r="A688" s="49">
        <v>681</v>
      </c>
      <c r="B688" s="55">
        <v>45413</v>
      </c>
      <c r="C688" s="36" t="str">
        <f>UPPER(TEXT(Dados_Cursos[[#This Row],[Data]],"mmm"))</f>
        <v>MAI</v>
      </c>
      <c r="D688" s="52" t="s">
        <v>2245</v>
      </c>
      <c r="E688" s="49" t="str">
        <f>VLOOKUP(Dados_Cursos[[#This Row],[ID]],Apoio!A681:H1681,2,0)</f>
        <v>david.barbosa681@gmail.com</v>
      </c>
      <c r="F688" s="36" t="s">
        <v>797</v>
      </c>
      <c r="G688" s="36" t="s">
        <v>2665</v>
      </c>
      <c r="H688" s="38">
        <v>1500</v>
      </c>
      <c r="I688" s="49">
        <v>8</v>
      </c>
      <c r="J688" s="49" t="str">
        <f>VLOOKUP(Dados_Cursos[[#This Row],[ID]],Apoio!A681:H1681,4,0)</f>
        <v>Cabinda</v>
      </c>
      <c r="K688" s="37" t="s">
        <v>113</v>
      </c>
      <c r="L688" s="37" t="s">
        <v>2649</v>
      </c>
      <c r="M688" s="53"/>
    </row>
    <row r="689" spans="1:13" ht="20.100000000000001" customHeight="1" x14ac:dyDescent="0.25">
      <c r="A689" s="49">
        <v>682</v>
      </c>
      <c r="B689" s="55">
        <v>45350</v>
      </c>
      <c r="C689" s="36" t="str">
        <f>UPPER(TEXT(Dados_Cursos[[#This Row],[Data]],"mmm"))</f>
        <v>FEV</v>
      </c>
      <c r="D689" s="52" t="s">
        <v>2247</v>
      </c>
      <c r="E689" s="49" t="str">
        <f>VLOOKUP(Dados_Cursos[[#This Row],[ID]],Apoio!A682:H1682,2,0)</f>
        <v>nelson.miguel682@gmail.com</v>
      </c>
      <c r="F689" s="36" t="s">
        <v>798</v>
      </c>
      <c r="G689" s="36" t="s">
        <v>2666</v>
      </c>
      <c r="H689" s="38">
        <v>800</v>
      </c>
      <c r="I689" s="49">
        <v>17</v>
      </c>
      <c r="J689" s="49" t="str">
        <f>VLOOKUP(Dados_Cursos[[#This Row],[ID]],Apoio!A682:H1682,4,0)</f>
        <v>Benguela</v>
      </c>
      <c r="K689" s="37" t="s">
        <v>113</v>
      </c>
      <c r="L689" s="37" t="s">
        <v>2649</v>
      </c>
      <c r="M689" s="53"/>
    </row>
    <row r="690" spans="1:13" ht="20.100000000000001" customHeight="1" x14ac:dyDescent="0.25">
      <c r="A690" s="49">
        <v>683</v>
      </c>
      <c r="B690" s="55">
        <v>45541</v>
      </c>
      <c r="C690" s="36" t="str">
        <f>UPPER(TEXT(Dados_Cursos[[#This Row],[Data]],"mmm"))</f>
        <v>SET</v>
      </c>
      <c r="D690" s="52" t="s">
        <v>1850</v>
      </c>
      <c r="E690" s="49" t="str">
        <f>VLOOKUP(Dados_Cursos[[#This Row],[ID]],Apoio!A683:H1683,2,0)</f>
        <v>marta.tavares683@gmail.com</v>
      </c>
      <c r="F690" s="36" t="s">
        <v>799</v>
      </c>
      <c r="G690" s="36" t="s">
        <v>2665</v>
      </c>
      <c r="H690" s="38">
        <v>1500</v>
      </c>
      <c r="I690" s="49">
        <v>5</v>
      </c>
      <c r="J690" s="49" t="str">
        <f>VLOOKUP(Dados_Cursos[[#This Row],[ID]],Apoio!A683:H1683,4,0)</f>
        <v>Moxico Leste</v>
      </c>
      <c r="K690" s="37" t="s">
        <v>113</v>
      </c>
      <c r="L690" s="37" t="s">
        <v>111</v>
      </c>
      <c r="M690" s="53"/>
    </row>
    <row r="691" spans="1:13" ht="20.100000000000001" customHeight="1" x14ac:dyDescent="0.25">
      <c r="A691" s="49">
        <v>684</v>
      </c>
      <c r="B691" s="55">
        <v>45647</v>
      </c>
      <c r="C691" s="36" t="str">
        <f>UPPER(TEXT(Dados_Cursos[[#This Row],[Data]],"mmm"))</f>
        <v>DEZ</v>
      </c>
      <c r="D691" s="52" t="s">
        <v>2211</v>
      </c>
      <c r="E691" s="49" t="str">
        <f>VLOOKUP(Dados_Cursos[[#This Row],[ID]],Apoio!A684:H1684,2,0)</f>
        <v>maria.miguel684@gmail.com</v>
      </c>
      <c r="F691" s="36" t="s">
        <v>800</v>
      </c>
      <c r="G691" s="36" t="s">
        <v>2666</v>
      </c>
      <c r="H691" s="38">
        <v>1200</v>
      </c>
      <c r="I691" s="49">
        <v>6</v>
      </c>
      <c r="J691" s="49" t="str">
        <f>VLOOKUP(Dados_Cursos[[#This Row],[ID]],Apoio!A684:H1684,4,0)</f>
        <v>Cunene</v>
      </c>
      <c r="K691" s="37" t="s">
        <v>113</v>
      </c>
      <c r="L691" s="37" t="s">
        <v>110</v>
      </c>
      <c r="M691" s="53"/>
    </row>
    <row r="692" spans="1:13" ht="20.100000000000001" customHeight="1" x14ac:dyDescent="0.25">
      <c r="A692" s="49">
        <v>685</v>
      </c>
      <c r="B692" s="55">
        <v>45646</v>
      </c>
      <c r="C692" s="36" t="str">
        <f>UPPER(TEXT(Dados_Cursos[[#This Row],[Data]],"mmm"))</f>
        <v>DEZ</v>
      </c>
      <c r="D692" s="52" t="s">
        <v>2251</v>
      </c>
      <c r="E692" s="49" t="str">
        <f>VLOOKUP(Dados_Cursos[[#This Row],[ID]],Apoio!A685:H1685,2,0)</f>
        <v>joão.lukeba685@gmail.com</v>
      </c>
      <c r="F692" s="36" t="s">
        <v>801</v>
      </c>
      <c r="G692" s="36" t="s">
        <v>2665</v>
      </c>
      <c r="H692" s="38">
        <v>1500</v>
      </c>
      <c r="I692" s="49">
        <v>11</v>
      </c>
      <c r="J692" s="49" t="str">
        <f>VLOOKUP(Dados_Cursos[[#This Row],[ID]],Apoio!A685:H1685,4,0)</f>
        <v>Cuando</v>
      </c>
      <c r="K692" s="37" t="s">
        <v>113</v>
      </c>
      <c r="L692" s="37" t="s">
        <v>2649</v>
      </c>
      <c r="M692" s="53"/>
    </row>
    <row r="693" spans="1:13" ht="20.100000000000001" customHeight="1" x14ac:dyDescent="0.25">
      <c r="A693" s="49">
        <v>686</v>
      </c>
      <c r="B693" s="55">
        <v>45423</v>
      </c>
      <c r="C693" s="36" t="str">
        <f>UPPER(TEXT(Dados_Cursos[[#This Row],[Data]],"mmm"))</f>
        <v>MAI</v>
      </c>
      <c r="D693" s="52" t="s">
        <v>2253</v>
      </c>
      <c r="E693" s="49" t="str">
        <f>VLOOKUP(Dados_Cursos[[#This Row],[ID]],Apoio!A686:H1686,2,0)</f>
        <v>cláudia.barbosa686@gmail.com</v>
      </c>
      <c r="F693" s="36" t="s">
        <v>802</v>
      </c>
      <c r="G693" s="36" t="s">
        <v>2666</v>
      </c>
      <c r="H693" s="38">
        <v>1200</v>
      </c>
      <c r="I693" s="49">
        <v>16</v>
      </c>
      <c r="J693" s="49" t="str">
        <f>VLOOKUP(Dados_Cursos[[#This Row],[ID]],Apoio!A686:H1686,4,0)</f>
        <v>Bié</v>
      </c>
      <c r="K693" s="37" t="s">
        <v>112</v>
      </c>
      <c r="L693" s="37" t="s">
        <v>109</v>
      </c>
      <c r="M693" s="53"/>
    </row>
    <row r="694" spans="1:13" ht="20.100000000000001" customHeight="1" x14ac:dyDescent="0.25">
      <c r="A694" s="49">
        <v>687</v>
      </c>
      <c r="B694" s="55">
        <v>45493</v>
      </c>
      <c r="C694" s="36" t="str">
        <f>UPPER(TEXT(Dados_Cursos[[#This Row],[Data]],"mmm"))</f>
        <v>JUL</v>
      </c>
      <c r="D694" s="52" t="s">
        <v>1412</v>
      </c>
      <c r="E694" s="49" t="str">
        <f>VLOOKUP(Dados_Cursos[[#This Row],[ID]],Apoio!A687:H1687,2,0)</f>
        <v>francisco.almeida687@gmail.com</v>
      </c>
      <c r="F694" s="36" t="s">
        <v>803</v>
      </c>
      <c r="G694" s="36" t="s">
        <v>2666</v>
      </c>
      <c r="H694" s="38">
        <v>1200</v>
      </c>
      <c r="I694" s="49">
        <v>8</v>
      </c>
      <c r="J694" s="49" t="str">
        <f>VLOOKUP(Dados_Cursos[[#This Row],[ID]],Apoio!A687:H1687,4,0)</f>
        <v>Huíla</v>
      </c>
      <c r="K694" s="37" t="s">
        <v>113</v>
      </c>
      <c r="L694" s="37" t="s">
        <v>110</v>
      </c>
      <c r="M694" s="53"/>
    </row>
    <row r="695" spans="1:13" ht="20.100000000000001" customHeight="1" x14ac:dyDescent="0.25">
      <c r="A695" s="49">
        <v>688</v>
      </c>
      <c r="B695" s="55">
        <v>45511</v>
      </c>
      <c r="C695" s="36" t="str">
        <f>UPPER(TEXT(Dados_Cursos[[#This Row],[Data]],"mmm"))</f>
        <v>AGO</v>
      </c>
      <c r="D695" s="52" t="s">
        <v>1440</v>
      </c>
      <c r="E695" s="49" t="str">
        <f>VLOOKUP(Dados_Cursos[[#This Row],[ID]],Apoio!A688:H1688,2,0)</f>
        <v>joaquim.pereira688@gmail.com</v>
      </c>
      <c r="F695" s="36" t="s">
        <v>804</v>
      </c>
      <c r="G695" s="36" t="s">
        <v>2666</v>
      </c>
      <c r="H695" s="38">
        <v>800</v>
      </c>
      <c r="I695" s="49">
        <v>2</v>
      </c>
      <c r="J695" s="49" t="str">
        <f>VLOOKUP(Dados_Cursos[[#This Row],[ID]],Apoio!A688:H1688,4,0)</f>
        <v>Benguela</v>
      </c>
      <c r="K695" s="37" t="s">
        <v>113</v>
      </c>
      <c r="L695" s="37" t="s">
        <v>111</v>
      </c>
      <c r="M695" s="53"/>
    </row>
    <row r="696" spans="1:13" ht="20.100000000000001" customHeight="1" x14ac:dyDescent="0.25">
      <c r="A696" s="49">
        <v>689</v>
      </c>
      <c r="B696" s="55">
        <v>45424</v>
      </c>
      <c r="C696" s="36" t="str">
        <f>UPPER(TEXT(Dados_Cursos[[#This Row],[Data]],"mmm"))</f>
        <v>MAI</v>
      </c>
      <c r="D696" s="52" t="s">
        <v>2257</v>
      </c>
      <c r="E696" s="49" t="str">
        <f>VLOOKUP(Dados_Cursos[[#This Row],[ID]],Apoio!A689:H1689,2,0)</f>
        <v>samuel.andrade689@gmail.com</v>
      </c>
      <c r="F696" s="36" t="s">
        <v>805</v>
      </c>
      <c r="G696" s="36" t="s">
        <v>2665</v>
      </c>
      <c r="H696" s="38">
        <v>1500</v>
      </c>
      <c r="I696" s="49">
        <v>3</v>
      </c>
      <c r="J696" s="49" t="str">
        <f>VLOOKUP(Dados_Cursos[[#This Row],[ID]],Apoio!A689:H1689,4,0)</f>
        <v>Cubango</v>
      </c>
      <c r="K696" s="37" t="s">
        <v>112</v>
      </c>
      <c r="L696" s="37" t="s">
        <v>109</v>
      </c>
      <c r="M696" s="53"/>
    </row>
    <row r="697" spans="1:13" ht="20.100000000000001" customHeight="1" x14ac:dyDescent="0.25">
      <c r="A697" s="49">
        <v>690</v>
      </c>
      <c r="B697" s="55">
        <v>45656</v>
      </c>
      <c r="C697" s="36" t="str">
        <f>UPPER(TEXT(Dados_Cursos[[#This Row],[Data]],"mmm"))</f>
        <v>DEZ</v>
      </c>
      <c r="D697" s="52" t="s">
        <v>2259</v>
      </c>
      <c r="E697" s="49" t="str">
        <f>VLOOKUP(Dados_Cursos[[#This Row],[ID]],Apoio!A690:H1690,2,0)</f>
        <v>cláudia.martins690@gmail.com</v>
      </c>
      <c r="F697" s="36" t="s">
        <v>806</v>
      </c>
      <c r="G697" s="36" t="s">
        <v>2666</v>
      </c>
      <c r="H697" s="38">
        <v>800</v>
      </c>
      <c r="I697" s="49">
        <v>12</v>
      </c>
      <c r="J697" s="49" t="str">
        <f>VLOOKUP(Dados_Cursos[[#This Row],[ID]],Apoio!A690:H1690,4,0)</f>
        <v>Huambo</v>
      </c>
      <c r="K697" s="37" t="s">
        <v>113</v>
      </c>
      <c r="L697" s="37" t="s">
        <v>2649</v>
      </c>
      <c r="M697" s="53"/>
    </row>
    <row r="698" spans="1:13" ht="20.100000000000001" customHeight="1" x14ac:dyDescent="0.25">
      <c r="A698" s="49">
        <v>691</v>
      </c>
      <c r="B698" s="55">
        <v>45555</v>
      </c>
      <c r="C698" s="36" t="str">
        <f>UPPER(TEXT(Dados_Cursos[[#This Row],[Data]],"mmm"))</f>
        <v>SET</v>
      </c>
      <c r="D698" s="52" t="s">
        <v>2193</v>
      </c>
      <c r="E698" s="49" t="str">
        <f>VLOOKUP(Dados_Cursos[[#This Row],[ID]],Apoio!A691:H1691,2,0)</f>
        <v>pedro.miguel691@gmail.com</v>
      </c>
      <c r="F698" s="36" t="s">
        <v>807</v>
      </c>
      <c r="G698" s="36" t="s">
        <v>2665</v>
      </c>
      <c r="H698" s="38">
        <v>1500</v>
      </c>
      <c r="I698" s="49">
        <v>2</v>
      </c>
      <c r="J698" s="49" t="str">
        <f>VLOOKUP(Dados_Cursos[[#This Row],[ID]],Apoio!A691:H1691,4,0)</f>
        <v>Namibe</v>
      </c>
      <c r="K698" s="37" t="s">
        <v>113</v>
      </c>
      <c r="L698" s="37" t="s">
        <v>110</v>
      </c>
      <c r="M698" s="53"/>
    </row>
    <row r="699" spans="1:13" ht="20.100000000000001" customHeight="1" x14ac:dyDescent="0.25">
      <c r="A699" s="49">
        <v>692</v>
      </c>
      <c r="B699" s="55">
        <v>45649</v>
      </c>
      <c r="C699" s="36" t="str">
        <f>UPPER(TEXT(Dados_Cursos[[#This Row],[Data]],"mmm"))</f>
        <v>DEZ</v>
      </c>
      <c r="D699" s="52" t="s">
        <v>1593</v>
      </c>
      <c r="E699" s="49" t="str">
        <f>VLOOKUP(Dados_Cursos[[#This Row],[ID]],Apoio!A692:H1692,2,0)</f>
        <v>maria.pereira692@gmail.com</v>
      </c>
      <c r="F699" s="36" t="s">
        <v>808</v>
      </c>
      <c r="G699" s="36" t="s">
        <v>2665</v>
      </c>
      <c r="H699" s="38">
        <v>1500</v>
      </c>
      <c r="I699" s="49">
        <v>10</v>
      </c>
      <c r="J699" s="49" t="str">
        <f>VLOOKUP(Dados_Cursos[[#This Row],[ID]],Apoio!A692:H1692,4,0)</f>
        <v>Icolo e Bengo</v>
      </c>
      <c r="K699" s="37" t="s">
        <v>112</v>
      </c>
      <c r="L699" s="37" t="s">
        <v>109</v>
      </c>
      <c r="M699" s="53"/>
    </row>
    <row r="700" spans="1:13" ht="20.100000000000001" customHeight="1" x14ac:dyDescent="0.25">
      <c r="A700" s="49">
        <v>693</v>
      </c>
      <c r="B700" s="55">
        <v>45456</v>
      </c>
      <c r="C700" s="36" t="str">
        <f>UPPER(TEXT(Dados_Cursos[[#This Row],[Data]],"mmm"))</f>
        <v>JUN</v>
      </c>
      <c r="D700" s="52" t="s">
        <v>1216</v>
      </c>
      <c r="E700" s="49" t="str">
        <f>VLOOKUP(Dados_Cursos[[#This Row],[ID]],Apoio!A693:H1693,2,0)</f>
        <v>josé.david693@gmail.com</v>
      </c>
      <c r="F700" s="36" t="s">
        <v>809</v>
      </c>
      <c r="G700" s="36" t="s">
        <v>2666</v>
      </c>
      <c r="H700" s="38">
        <v>800</v>
      </c>
      <c r="I700" s="49">
        <v>19</v>
      </c>
      <c r="J700" s="49" t="str">
        <f>VLOOKUP(Dados_Cursos[[#This Row],[ID]],Apoio!A693:H1693,4,0)</f>
        <v>Bié</v>
      </c>
      <c r="K700" s="37" t="s">
        <v>113</v>
      </c>
      <c r="L700" s="37" t="s">
        <v>111</v>
      </c>
      <c r="M700" s="53"/>
    </row>
    <row r="701" spans="1:13" ht="20.100000000000001" customHeight="1" x14ac:dyDescent="0.25">
      <c r="A701" s="49">
        <v>694</v>
      </c>
      <c r="B701" s="55">
        <v>45468</v>
      </c>
      <c r="C701" s="36" t="str">
        <f>UPPER(TEXT(Dados_Cursos[[#This Row],[Data]],"mmm"))</f>
        <v>JUN</v>
      </c>
      <c r="D701" s="52" t="s">
        <v>2264</v>
      </c>
      <c r="E701" s="49" t="str">
        <f>VLOOKUP(Dados_Cursos[[#This Row],[ID]],Apoio!A694:H1694,2,0)</f>
        <v>joaquim.silva694@gmail.com</v>
      </c>
      <c r="F701" s="36" t="s">
        <v>810</v>
      </c>
      <c r="G701" s="36" t="s">
        <v>2666</v>
      </c>
      <c r="H701" s="38">
        <v>1200</v>
      </c>
      <c r="I701" s="49">
        <v>16</v>
      </c>
      <c r="J701" s="49" t="str">
        <f>VLOOKUP(Dados_Cursos[[#This Row],[ID]],Apoio!A694:H1694,4,0)</f>
        <v>Bié</v>
      </c>
      <c r="K701" s="37" t="s">
        <v>113</v>
      </c>
      <c r="L701" s="37" t="s">
        <v>110</v>
      </c>
      <c r="M701" s="53"/>
    </row>
    <row r="702" spans="1:13" ht="20.100000000000001" customHeight="1" x14ac:dyDescent="0.25">
      <c r="A702" s="49">
        <v>695</v>
      </c>
      <c r="B702" s="55">
        <v>45429</v>
      </c>
      <c r="C702" s="36" t="str">
        <f>UPPER(TEXT(Dados_Cursos[[#This Row],[Data]],"mmm"))</f>
        <v>MAI</v>
      </c>
      <c r="D702" s="52" t="s">
        <v>2236</v>
      </c>
      <c r="E702" s="49" t="str">
        <f>VLOOKUP(Dados_Cursos[[#This Row],[ID]],Apoio!A695:H1695,2,0)</f>
        <v>samuel.silva695@gmail.com</v>
      </c>
      <c r="F702" s="36" t="s">
        <v>811</v>
      </c>
      <c r="G702" s="36" t="s">
        <v>2666</v>
      </c>
      <c r="H702" s="38">
        <v>800</v>
      </c>
      <c r="I702" s="49">
        <v>3</v>
      </c>
      <c r="J702" s="49" t="str">
        <f>VLOOKUP(Dados_Cursos[[#This Row],[ID]],Apoio!A695:H1695,4,0)</f>
        <v>Bengo</v>
      </c>
      <c r="K702" s="37" t="s">
        <v>112</v>
      </c>
      <c r="L702" s="37" t="s">
        <v>109</v>
      </c>
      <c r="M702" s="53"/>
    </row>
    <row r="703" spans="1:13" ht="20.100000000000001" customHeight="1" x14ac:dyDescent="0.25">
      <c r="A703" s="49">
        <v>696</v>
      </c>
      <c r="B703" s="55">
        <v>45564</v>
      </c>
      <c r="C703" s="36" t="str">
        <f>UPPER(TEXT(Dados_Cursos[[#This Row],[Data]],"mmm"))</f>
        <v>SET</v>
      </c>
      <c r="D703" s="52" t="s">
        <v>2267</v>
      </c>
      <c r="E703" s="49" t="str">
        <f>VLOOKUP(Dados_Cursos[[#This Row],[ID]],Apoio!A696:H1696,2,0)</f>
        <v>joão.soares696@gmail.com</v>
      </c>
      <c r="F703" s="36" t="s">
        <v>812</v>
      </c>
      <c r="G703" s="36" t="s">
        <v>2665</v>
      </c>
      <c r="H703" s="38">
        <v>1500</v>
      </c>
      <c r="I703" s="49">
        <v>2</v>
      </c>
      <c r="J703" s="49" t="str">
        <f>VLOOKUP(Dados_Cursos[[#This Row],[ID]],Apoio!A696:H1696,4,0)</f>
        <v>Benguela</v>
      </c>
      <c r="K703" s="37" t="s">
        <v>113</v>
      </c>
      <c r="L703" s="37" t="s">
        <v>2649</v>
      </c>
      <c r="M703" s="53"/>
    </row>
    <row r="704" spans="1:13" ht="20.100000000000001" customHeight="1" x14ac:dyDescent="0.25">
      <c r="A704" s="49">
        <v>697</v>
      </c>
      <c r="B704" s="55">
        <v>45475</v>
      </c>
      <c r="C704" s="36" t="str">
        <f>UPPER(TEXT(Dados_Cursos[[#This Row],[Data]],"mmm"))</f>
        <v>JUL</v>
      </c>
      <c r="D704" s="52" t="s">
        <v>1962</v>
      </c>
      <c r="E704" s="49" t="str">
        <f>VLOOKUP(Dados_Cursos[[#This Row],[ID]],Apoio!A697:H1697,2,0)</f>
        <v>sofia.almeida697@gmail.com</v>
      </c>
      <c r="F704" s="36" t="s">
        <v>813</v>
      </c>
      <c r="G704" s="36" t="s">
        <v>2665</v>
      </c>
      <c r="H704" s="38">
        <v>1500</v>
      </c>
      <c r="I704" s="49">
        <v>10</v>
      </c>
      <c r="J704" s="49" t="str">
        <f>VLOOKUP(Dados_Cursos[[#This Row],[ID]],Apoio!A697:H1697,4,0)</f>
        <v>Huambo</v>
      </c>
      <c r="K704" s="37" t="s">
        <v>113</v>
      </c>
      <c r="L704" s="37" t="s">
        <v>110</v>
      </c>
      <c r="M704" s="53"/>
    </row>
    <row r="705" spans="1:13" ht="20.100000000000001" customHeight="1" x14ac:dyDescent="0.25">
      <c r="A705" s="49">
        <v>698</v>
      </c>
      <c r="B705" s="55">
        <v>45654</v>
      </c>
      <c r="C705" s="36" t="str">
        <f>UPPER(TEXT(Dados_Cursos[[#This Row],[Data]],"mmm"))</f>
        <v>DEZ</v>
      </c>
      <c r="D705" s="52" t="s">
        <v>1465</v>
      </c>
      <c r="E705" s="49" t="str">
        <f>VLOOKUP(Dados_Cursos[[#This Row],[ID]],Apoio!A698:H1698,2,0)</f>
        <v>david.lopes698@gmail.com</v>
      </c>
      <c r="F705" s="36" t="s">
        <v>814</v>
      </c>
      <c r="G705" s="36" t="s">
        <v>2666</v>
      </c>
      <c r="H705" s="38">
        <v>800</v>
      </c>
      <c r="I705" s="49">
        <v>10</v>
      </c>
      <c r="J705" s="49" t="str">
        <f>VLOOKUP(Dados_Cursos[[#This Row],[ID]],Apoio!A698:H1698,4,0)</f>
        <v>Namibe</v>
      </c>
      <c r="K705" s="37" t="s">
        <v>113</v>
      </c>
      <c r="L705" s="37" t="s">
        <v>110</v>
      </c>
      <c r="M705" s="53"/>
    </row>
    <row r="706" spans="1:13" ht="20.100000000000001" customHeight="1" x14ac:dyDescent="0.25">
      <c r="A706" s="49">
        <v>699</v>
      </c>
      <c r="B706" s="55">
        <v>45457</v>
      </c>
      <c r="C706" s="36" t="str">
        <f>UPPER(TEXT(Dados_Cursos[[#This Row],[Data]],"mmm"))</f>
        <v>JUN</v>
      </c>
      <c r="D706" s="52" t="s">
        <v>1549</v>
      </c>
      <c r="E706" s="49" t="str">
        <f>VLOOKUP(Dados_Cursos[[#This Row],[ID]],Apoio!A699:H1699,2,0)</f>
        <v>rui.santos699@gmail.com</v>
      </c>
      <c r="F706" s="36" t="s">
        <v>815</v>
      </c>
      <c r="G706" s="36" t="s">
        <v>2666</v>
      </c>
      <c r="H706" s="38">
        <v>1200</v>
      </c>
      <c r="I706" s="49">
        <v>8</v>
      </c>
      <c r="J706" s="49" t="str">
        <f>VLOOKUP(Dados_Cursos[[#This Row],[ID]],Apoio!A699:H1699,4,0)</f>
        <v>Benguela</v>
      </c>
      <c r="K706" s="37" t="s">
        <v>112</v>
      </c>
      <c r="L706" s="37" t="s">
        <v>109</v>
      </c>
      <c r="M706" s="53"/>
    </row>
    <row r="707" spans="1:13" ht="20.100000000000001" customHeight="1" x14ac:dyDescent="0.25">
      <c r="A707" s="49">
        <v>700</v>
      </c>
      <c r="B707" s="55">
        <v>45314</v>
      </c>
      <c r="C707" s="36" t="str">
        <f>UPPER(TEXT(Dados_Cursos[[#This Row],[Data]],"mmm"))</f>
        <v>JAN</v>
      </c>
      <c r="D707" s="52" t="s">
        <v>1486</v>
      </c>
      <c r="E707" s="49" t="str">
        <f>VLOOKUP(Dados_Cursos[[#This Row],[ID]],Apoio!A700:H1700,2,0)</f>
        <v>ana.david700@gmail.com</v>
      </c>
      <c r="F707" s="36" t="s">
        <v>816</v>
      </c>
      <c r="G707" s="36" t="s">
        <v>2665</v>
      </c>
      <c r="H707" s="38">
        <v>1500</v>
      </c>
      <c r="I707" s="49">
        <v>14</v>
      </c>
      <c r="J707" s="49" t="str">
        <f>VLOOKUP(Dados_Cursos[[#This Row],[ID]],Apoio!A700:H1700,4,0)</f>
        <v>Cabinda</v>
      </c>
      <c r="K707" s="37" t="s">
        <v>113</v>
      </c>
      <c r="L707" s="37" t="s">
        <v>110</v>
      </c>
      <c r="M707" s="53"/>
    </row>
    <row r="708" spans="1:13" ht="20.100000000000001" customHeight="1" x14ac:dyDescent="0.25">
      <c r="A708" s="49">
        <v>701</v>
      </c>
      <c r="B708" s="55">
        <v>45517</v>
      </c>
      <c r="C708" s="36" t="str">
        <f>UPPER(TEXT(Dados_Cursos[[#This Row],[Data]],"mmm"))</f>
        <v>AGO</v>
      </c>
      <c r="D708" s="52" t="s">
        <v>2259</v>
      </c>
      <c r="E708" s="49" t="str">
        <f>VLOOKUP(Dados_Cursos[[#This Row],[ID]],Apoio!A701:H1701,2,0)</f>
        <v>cláudia.martins701@gmail.com</v>
      </c>
      <c r="F708" s="36" t="s">
        <v>817</v>
      </c>
      <c r="G708" s="36" t="s">
        <v>2665</v>
      </c>
      <c r="H708" s="38">
        <v>1500</v>
      </c>
      <c r="I708" s="49">
        <v>11</v>
      </c>
      <c r="J708" s="49" t="str">
        <f>VLOOKUP(Dados_Cursos[[#This Row],[ID]],Apoio!A701:H1701,4,0)</f>
        <v>Moxico Leste</v>
      </c>
      <c r="K708" s="37" t="s">
        <v>113</v>
      </c>
      <c r="L708" s="37" t="s">
        <v>2649</v>
      </c>
      <c r="M708" s="53"/>
    </row>
    <row r="709" spans="1:13" ht="20.100000000000001" customHeight="1" x14ac:dyDescent="0.25">
      <c r="A709" s="49">
        <v>702</v>
      </c>
      <c r="B709" s="55">
        <v>45348</v>
      </c>
      <c r="C709" s="36" t="str">
        <f>UPPER(TEXT(Dados_Cursos[[#This Row],[Data]],"mmm"))</f>
        <v>FEV</v>
      </c>
      <c r="D709" s="52" t="s">
        <v>1404</v>
      </c>
      <c r="E709" s="49" t="str">
        <f>VLOOKUP(Dados_Cursos[[#This Row],[ID]],Apoio!A702:H1702,2,0)</f>
        <v>sofia.monteiro702@gmail.com</v>
      </c>
      <c r="F709" s="36" t="s">
        <v>818</v>
      </c>
      <c r="G709" s="36" t="s">
        <v>2666</v>
      </c>
      <c r="H709" s="38">
        <v>800</v>
      </c>
      <c r="I709" s="49">
        <v>13</v>
      </c>
      <c r="J709" s="49" t="str">
        <f>VLOOKUP(Dados_Cursos[[#This Row],[ID]],Apoio!A702:H1702,4,0)</f>
        <v>Luanda</v>
      </c>
      <c r="K709" s="37" t="s">
        <v>112</v>
      </c>
      <c r="L709" s="37" t="s">
        <v>109</v>
      </c>
      <c r="M709" s="53"/>
    </row>
    <row r="710" spans="1:13" ht="20.100000000000001" customHeight="1" x14ac:dyDescent="0.25">
      <c r="A710" s="49">
        <v>703</v>
      </c>
      <c r="B710" s="55">
        <v>45400</v>
      </c>
      <c r="C710" s="36" t="str">
        <f>UPPER(TEXT(Dados_Cursos[[#This Row],[Data]],"mmm"))</f>
        <v>ABR</v>
      </c>
      <c r="D710" s="52" t="s">
        <v>1270</v>
      </c>
      <c r="E710" s="49" t="str">
        <f>VLOOKUP(Dados_Cursos[[#This Row],[ID]],Apoio!A703:H1703,2,0)</f>
        <v>nelson.silva703@gmail.com</v>
      </c>
      <c r="F710" s="36" t="s">
        <v>819</v>
      </c>
      <c r="G710" s="36" t="s">
        <v>2666</v>
      </c>
      <c r="H710" s="38">
        <v>800</v>
      </c>
      <c r="I710" s="49">
        <v>9</v>
      </c>
      <c r="J710" s="49" t="str">
        <f>VLOOKUP(Dados_Cursos[[#This Row],[ID]],Apoio!A703:H1703,4,0)</f>
        <v>Bié</v>
      </c>
      <c r="K710" s="37" t="s">
        <v>112</v>
      </c>
      <c r="L710" s="37" t="s">
        <v>109</v>
      </c>
      <c r="M710" s="53"/>
    </row>
    <row r="711" spans="1:13" ht="20.100000000000001" customHeight="1" x14ac:dyDescent="0.25">
      <c r="A711" s="49">
        <v>704</v>
      </c>
      <c r="B711" s="55">
        <v>45301</v>
      </c>
      <c r="C711" s="36" t="str">
        <f>UPPER(TEXT(Dados_Cursos[[#This Row],[Data]],"mmm"))</f>
        <v>JAN</v>
      </c>
      <c r="D711" s="52" t="s">
        <v>1274</v>
      </c>
      <c r="E711" s="49" t="str">
        <f>VLOOKUP(Dados_Cursos[[#This Row],[ID]],Apoio!A704:H1704,2,0)</f>
        <v>mateus.lopes704@gmail.com</v>
      </c>
      <c r="F711" s="36" t="s">
        <v>820</v>
      </c>
      <c r="G711" s="36" t="s">
        <v>2666</v>
      </c>
      <c r="H711" s="38">
        <v>1200</v>
      </c>
      <c r="I711" s="49">
        <v>17</v>
      </c>
      <c r="J711" s="49" t="str">
        <f>VLOOKUP(Dados_Cursos[[#This Row],[ID]],Apoio!A704:H1704,4,0)</f>
        <v>Namibe</v>
      </c>
      <c r="K711" s="37" t="s">
        <v>112</v>
      </c>
      <c r="L711" s="37" t="s">
        <v>109</v>
      </c>
      <c r="M711" s="53"/>
    </row>
    <row r="712" spans="1:13" ht="20.100000000000001" customHeight="1" x14ac:dyDescent="0.25">
      <c r="A712" s="49">
        <v>705</v>
      </c>
      <c r="B712" s="55">
        <v>45586</v>
      </c>
      <c r="C712" s="36" t="str">
        <f>UPPER(TEXT(Dados_Cursos[[#This Row],[Data]],"mmm"))</f>
        <v>OUT</v>
      </c>
      <c r="D712" s="52" t="s">
        <v>1798</v>
      </c>
      <c r="E712" s="49" t="str">
        <f>VLOOKUP(Dados_Cursos[[#This Row],[ID]],Apoio!A705:H1705,2,0)</f>
        <v>daniel.lopes705@gmail.com</v>
      </c>
      <c r="F712" s="36" t="s">
        <v>821</v>
      </c>
      <c r="G712" s="36" t="s">
        <v>2666</v>
      </c>
      <c r="H712" s="38">
        <v>800</v>
      </c>
      <c r="I712" s="49">
        <v>4</v>
      </c>
      <c r="J712" s="49" t="str">
        <f>VLOOKUP(Dados_Cursos[[#This Row],[ID]],Apoio!A705:H1705,4,0)</f>
        <v>Uíge</v>
      </c>
      <c r="K712" s="37" t="s">
        <v>113</v>
      </c>
      <c r="L712" s="37" t="s">
        <v>111</v>
      </c>
      <c r="M712" s="53"/>
    </row>
    <row r="713" spans="1:13" ht="20.100000000000001" customHeight="1" x14ac:dyDescent="0.25">
      <c r="A713" s="49">
        <v>706</v>
      </c>
      <c r="B713" s="55">
        <v>45547</v>
      </c>
      <c r="C713" s="36" t="str">
        <f>UPPER(TEXT(Dados_Cursos[[#This Row],[Data]],"mmm"))</f>
        <v>SET</v>
      </c>
      <c r="D713" s="52" t="s">
        <v>1612</v>
      </c>
      <c r="E713" s="49" t="str">
        <f>VLOOKUP(Dados_Cursos[[#This Row],[ID]],Apoio!A706:H1706,2,0)</f>
        <v>sofia.david706@gmail.com</v>
      </c>
      <c r="F713" s="36" t="s">
        <v>822</v>
      </c>
      <c r="G713" s="36" t="s">
        <v>2665</v>
      </c>
      <c r="H713" s="38">
        <v>1500</v>
      </c>
      <c r="I713" s="49">
        <v>5</v>
      </c>
      <c r="J713" s="49" t="str">
        <f>VLOOKUP(Dados_Cursos[[#This Row],[ID]],Apoio!A706:H1706,4,0)</f>
        <v>Lunda Norte</v>
      </c>
      <c r="K713" s="37" t="s">
        <v>113</v>
      </c>
      <c r="L713" s="37" t="s">
        <v>2649</v>
      </c>
      <c r="M713" s="53"/>
    </row>
    <row r="714" spans="1:13" ht="20.100000000000001" customHeight="1" x14ac:dyDescent="0.25">
      <c r="A714" s="49">
        <v>707</v>
      </c>
      <c r="B714" s="55">
        <v>45403</v>
      </c>
      <c r="C714" s="36" t="str">
        <f>UPPER(TEXT(Dados_Cursos[[#This Row],[Data]],"mmm"))</f>
        <v>ABR</v>
      </c>
      <c r="D714" s="52" t="s">
        <v>1335</v>
      </c>
      <c r="E714" s="49" t="str">
        <f>VLOOKUP(Dados_Cursos[[#This Row],[ID]],Apoio!A707:H1707,2,0)</f>
        <v>rosa.barbosa707@gmail.com</v>
      </c>
      <c r="F714" s="36" t="s">
        <v>823</v>
      </c>
      <c r="G714" s="36" t="s">
        <v>2665</v>
      </c>
      <c r="H714" s="38">
        <v>1500</v>
      </c>
      <c r="I714" s="49">
        <v>16</v>
      </c>
      <c r="J714" s="49" t="str">
        <f>VLOOKUP(Dados_Cursos[[#This Row],[ID]],Apoio!A707:H1707,4,0)</f>
        <v>Cuanza Sul</v>
      </c>
      <c r="K714" s="37" t="s">
        <v>113</v>
      </c>
      <c r="L714" s="37" t="s">
        <v>110</v>
      </c>
      <c r="M714" s="53"/>
    </row>
    <row r="715" spans="1:13" ht="20.100000000000001" customHeight="1" x14ac:dyDescent="0.25">
      <c r="A715" s="49">
        <v>708</v>
      </c>
      <c r="B715" s="55">
        <v>45366</v>
      </c>
      <c r="C715" s="36" t="str">
        <f>UPPER(TEXT(Dados_Cursos[[#This Row],[Data]],"mmm"))</f>
        <v>MAR</v>
      </c>
      <c r="D715" s="52" t="s">
        <v>1878</v>
      </c>
      <c r="E715" s="49" t="str">
        <f>VLOOKUP(Dados_Cursos[[#This Row],[ID]],Apoio!A708:H1708,2,0)</f>
        <v>manuel.lukeba708@gmail.com</v>
      </c>
      <c r="F715" s="36" t="s">
        <v>824</v>
      </c>
      <c r="G715" s="36" t="s">
        <v>2666</v>
      </c>
      <c r="H715" s="38">
        <v>800</v>
      </c>
      <c r="I715" s="49">
        <v>1</v>
      </c>
      <c r="J715" s="49" t="str">
        <f>VLOOKUP(Dados_Cursos[[#This Row],[ID]],Apoio!A708:H1708,4,0)</f>
        <v>Bié</v>
      </c>
      <c r="K715" s="37" t="s">
        <v>113</v>
      </c>
      <c r="L715" s="37" t="s">
        <v>110</v>
      </c>
      <c r="M715" s="53"/>
    </row>
    <row r="716" spans="1:13" ht="20.100000000000001" customHeight="1" x14ac:dyDescent="0.25">
      <c r="A716" s="49">
        <v>709</v>
      </c>
      <c r="B716" s="55">
        <v>45493</v>
      </c>
      <c r="C716" s="36" t="str">
        <f>UPPER(TEXT(Dados_Cursos[[#This Row],[Data]],"mmm"))</f>
        <v>JUL</v>
      </c>
      <c r="D716" s="52" t="s">
        <v>1448</v>
      </c>
      <c r="E716" s="49" t="str">
        <f>VLOOKUP(Dados_Cursos[[#This Row],[ID]],Apoio!A709:H1709,2,0)</f>
        <v>adriano.lukeba709@gmail.com</v>
      </c>
      <c r="F716" s="36" t="s">
        <v>825</v>
      </c>
      <c r="G716" s="36" t="s">
        <v>2666</v>
      </c>
      <c r="H716" s="38">
        <v>1200</v>
      </c>
      <c r="I716" s="49">
        <v>18</v>
      </c>
      <c r="J716" s="49" t="str">
        <f>VLOOKUP(Dados_Cursos[[#This Row],[ID]],Apoio!A709:H1709,4,0)</f>
        <v>Lunda Sul</v>
      </c>
      <c r="K716" s="37" t="s">
        <v>112</v>
      </c>
      <c r="L716" s="37" t="s">
        <v>109</v>
      </c>
      <c r="M716" s="53"/>
    </row>
    <row r="717" spans="1:13" ht="20.100000000000001" customHeight="1" x14ac:dyDescent="0.25">
      <c r="A717" s="49">
        <v>710</v>
      </c>
      <c r="B717" s="55">
        <v>45482</v>
      </c>
      <c r="C717" s="36" t="str">
        <f>UPPER(TEXT(Dados_Cursos[[#This Row],[Data]],"mmm"))</f>
        <v>JUL</v>
      </c>
      <c r="D717" s="52" t="s">
        <v>1845</v>
      </c>
      <c r="E717" s="49" t="str">
        <f>VLOOKUP(Dados_Cursos[[#This Row],[ID]],Apoio!A710:H1710,2,0)</f>
        <v>carlos.costa710@gmail.com</v>
      </c>
      <c r="F717" s="36" t="s">
        <v>826</v>
      </c>
      <c r="G717" s="36" t="s">
        <v>2666</v>
      </c>
      <c r="H717" s="38">
        <v>800</v>
      </c>
      <c r="I717" s="49">
        <v>6</v>
      </c>
      <c r="J717" s="49" t="str">
        <f>VLOOKUP(Dados_Cursos[[#This Row],[ID]],Apoio!A710:H1710,4,0)</f>
        <v>Cubango</v>
      </c>
      <c r="K717" s="37" t="s">
        <v>113</v>
      </c>
      <c r="L717" s="37" t="s">
        <v>110</v>
      </c>
      <c r="M717" s="53"/>
    </row>
    <row r="718" spans="1:13" ht="20.100000000000001" customHeight="1" x14ac:dyDescent="0.25">
      <c r="A718" s="49">
        <v>711</v>
      </c>
      <c r="B718" s="55">
        <v>45471</v>
      </c>
      <c r="C718" s="36" t="str">
        <f>UPPER(TEXT(Dados_Cursos[[#This Row],[Data]],"mmm"))</f>
        <v>JUN</v>
      </c>
      <c r="D718" s="52" t="s">
        <v>2157</v>
      </c>
      <c r="E718" s="49" t="str">
        <f>VLOOKUP(Dados_Cursos[[#This Row],[ID]],Apoio!A711:H1711,2,0)</f>
        <v>nelson.almeida711@gmail.com</v>
      </c>
      <c r="F718" s="36" t="s">
        <v>827</v>
      </c>
      <c r="G718" s="36" t="s">
        <v>2665</v>
      </c>
      <c r="H718" s="38">
        <v>1500</v>
      </c>
      <c r="I718" s="49">
        <v>14</v>
      </c>
      <c r="J718" s="49" t="str">
        <f>VLOOKUP(Dados_Cursos[[#This Row],[ID]],Apoio!A711:H1711,4,0)</f>
        <v>Bié</v>
      </c>
      <c r="K718" s="37" t="s">
        <v>113</v>
      </c>
      <c r="L718" s="37" t="s">
        <v>2649</v>
      </c>
      <c r="M718" s="53"/>
    </row>
    <row r="719" spans="1:13" ht="20.100000000000001" customHeight="1" x14ac:dyDescent="0.25">
      <c r="A719" s="49">
        <v>712</v>
      </c>
      <c r="B719" s="55">
        <v>45422</v>
      </c>
      <c r="C719" s="36" t="str">
        <f>UPPER(TEXT(Dados_Cursos[[#This Row],[Data]],"mmm"))</f>
        <v>MAI</v>
      </c>
      <c r="D719" s="52" t="s">
        <v>2284</v>
      </c>
      <c r="E719" s="49" t="str">
        <f>VLOOKUP(Dados_Cursos[[#This Row],[ID]],Apoio!A712:H1712,2,0)</f>
        <v>luís.barbosa712@gmail.com</v>
      </c>
      <c r="F719" s="36" t="s">
        <v>828</v>
      </c>
      <c r="G719" s="36" t="s">
        <v>2666</v>
      </c>
      <c r="H719" s="38">
        <v>1200</v>
      </c>
      <c r="I719" s="49">
        <v>9</v>
      </c>
      <c r="J719" s="49" t="str">
        <f>VLOOKUP(Dados_Cursos[[#This Row],[ID]],Apoio!A712:H1712,4,0)</f>
        <v>Cuando</v>
      </c>
      <c r="K719" s="37" t="s">
        <v>113</v>
      </c>
      <c r="L719" s="37" t="s">
        <v>2649</v>
      </c>
      <c r="M719" s="53"/>
    </row>
    <row r="720" spans="1:13" ht="20.100000000000001" customHeight="1" x14ac:dyDescent="0.25">
      <c r="A720" s="49">
        <v>713</v>
      </c>
      <c r="B720" s="55">
        <v>45437</v>
      </c>
      <c r="C720" s="36" t="str">
        <f>UPPER(TEXT(Dados_Cursos[[#This Row],[Data]],"mmm"))</f>
        <v>MAI</v>
      </c>
      <c r="D720" s="52" t="s">
        <v>1864</v>
      </c>
      <c r="E720" s="49" t="str">
        <f>VLOOKUP(Dados_Cursos[[#This Row],[ID]],Apoio!A713:H1713,2,0)</f>
        <v>bruno.santos713@gmail.com</v>
      </c>
      <c r="F720" s="36" t="s">
        <v>829</v>
      </c>
      <c r="G720" s="36" t="s">
        <v>2665</v>
      </c>
      <c r="H720" s="38">
        <v>1500</v>
      </c>
      <c r="I720" s="49">
        <v>17</v>
      </c>
      <c r="J720" s="49" t="str">
        <f>VLOOKUP(Dados_Cursos[[#This Row],[ID]],Apoio!A713:H1713,4,0)</f>
        <v>Uíge</v>
      </c>
      <c r="K720" s="37" t="s">
        <v>113</v>
      </c>
      <c r="L720" s="37" t="s">
        <v>2649</v>
      </c>
      <c r="M720" s="53"/>
    </row>
    <row r="721" spans="1:13" ht="20.100000000000001" customHeight="1" x14ac:dyDescent="0.25">
      <c r="A721" s="49">
        <v>714</v>
      </c>
      <c r="B721" s="55">
        <v>45572</v>
      </c>
      <c r="C721" s="36" t="str">
        <f>UPPER(TEXT(Dados_Cursos[[#This Row],[Data]],"mmm"))</f>
        <v>OUT</v>
      </c>
      <c r="D721" s="52" t="s">
        <v>2287</v>
      </c>
      <c r="E721" s="49" t="str">
        <f>VLOOKUP(Dados_Cursos[[#This Row],[ID]],Apoio!A714:H1714,2,0)</f>
        <v>sofia.tavares714@gmail.com</v>
      </c>
      <c r="F721" s="36" t="s">
        <v>830</v>
      </c>
      <c r="G721" s="36" t="s">
        <v>2666</v>
      </c>
      <c r="H721" s="38">
        <v>800</v>
      </c>
      <c r="I721" s="49">
        <v>17</v>
      </c>
      <c r="J721" s="49" t="str">
        <f>VLOOKUP(Dados_Cursos[[#This Row],[ID]],Apoio!A714:H1714,4,0)</f>
        <v>Icolo e Bengo</v>
      </c>
      <c r="K721" s="37" t="s">
        <v>112</v>
      </c>
      <c r="L721" s="37" t="s">
        <v>109</v>
      </c>
      <c r="M721" s="53"/>
    </row>
    <row r="722" spans="1:13" ht="20.100000000000001" customHeight="1" x14ac:dyDescent="0.25">
      <c r="A722" s="49">
        <v>715</v>
      </c>
      <c r="B722" s="55">
        <v>45545</v>
      </c>
      <c r="C722" s="36" t="str">
        <f>UPPER(TEXT(Dados_Cursos[[#This Row],[Data]],"mmm"))</f>
        <v>SET</v>
      </c>
      <c r="D722" s="52" t="s">
        <v>2114</v>
      </c>
      <c r="E722" s="49" t="str">
        <f>VLOOKUP(Dados_Cursos[[#This Row],[ID]],Apoio!A715:H1715,2,0)</f>
        <v>domingos.lukeba715@gmail.com</v>
      </c>
      <c r="F722" s="36" t="s">
        <v>831</v>
      </c>
      <c r="G722" s="36" t="s">
        <v>2666</v>
      </c>
      <c r="H722" s="38">
        <v>1200</v>
      </c>
      <c r="I722" s="49">
        <v>16</v>
      </c>
      <c r="J722" s="49" t="str">
        <f>VLOOKUP(Dados_Cursos[[#This Row],[ID]],Apoio!A715:H1715,4,0)</f>
        <v>Cunene</v>
      </c>
      <c r="K722" s="37" t="s">
        <v>113</v>
      </c>
      <c r="L722" s="37" t="s">
        <v>111</v>
      </c>
      <c r="M722" s="53"/>
    </row>
    <row r="723" spans="1:13" ht="20.100000000000001" customHeight="1" x14ac:dyDescent="0.25">
      <c r="A723" s="49">
        <v>716</v>
      </c>
      <c r="B723" s="55">
        <v>45353</v>
      </c>
      <c r="C723" s="36" t="str">
        <f>UPPER(TEXT(Dados_Cursos[[#This Row],[Data]],"mmm"))</f>
        <v>MAR</v>
      </c>
      <c r="D723" s="52" t="s">
        <v>1227</v>
      </c>
      <c r="E723" s="49" t="str">
        <f>VLOOKUP(Dados_Cursos[[#This Row],[ID]],Apoio!A716:H1716,2,0)</f>
        <v>manuel.andrade716@gmail.com</v>
      </c>
      <c r="F723" s="36" t="s">
        <v>832</v>
      </c>
      <c r="G723" s="36" t="s">
        <v>2665</v>
      </c>
      <c r="H723" s="38">
        <v>1500</v>
      </c>
      <c r="I723" s="49">
        <v>2</v>
      </c>
      <c r="J723" s="49" t="str">
        <f>VLOOKUP(Dados_Cursos[[#This Row],[ID]],Apoio!A716:H1716,4,0)</f>
        <v>Cabinda</v>
      </c>
      <c r="K723" s="37" t="s">
        <v>113</v>
      </c>
      <c r="L723" s="37" t="s">
        <v>111</v>
      </c>
      <c r="M723" s="53"/>
    </row>
    <row r="724" spans="1:13" ht="20.100000000000001" customHeight="1" x14ac:dyDescent="0.25">
      <c r="A724" s="49">
        <v>717</v>
      </c>
      <c r="B724" s="55">
        <v>45640</v>
      </c>
      <c r="C724" s="36" t="str">
        <f>UPPER(TEXT(Dados_Cursos[[#This Row],[Data]],"mmm"))</f>
        <v>DEZ</v>
      </c>
      <c r="D724" s="52" t="s">
        <v>2291</v>
      </c>
      <c r="E724" s="49" t="str">
        <f>VLOOKUP(Dados_Cursos[[#This Row],[ID]],Apoio!A717:H1717,2,0)</f>
        <v>joaquim.santos717@gmail.com</v>
      </c>
      <c r="F724" s="36" t="s">
        <v>833</v>
      </c>
      <c r="G724" s="36" t="s">
        <v>2666</v>
      </c>
      <c r="H724" s="38">
        <v>800</v>
      </c>
      <c r="I724" s="49">
        <v>17</v>
      </c>
      <c r="J724" s="49" t="str">
        <f>VLOOKUP(Dados_Cursos[[#This Row],[ID]],Apoio!A717:H1717,4,0)</f>
        <v>Cuanza Sul</v>
      </c>
      <c r="K724" s="37" t="s">
        <v>113</v>
      </c>
      <c r="L724" s="37" t="s">
        <v>110</v>
      </c>
      <c r="M724" s="53"/>
    </row>
    <row r="725" spans="1:13" ht="20.100000000000001" customHeight="1" x14ac:dyDescent="0.25">
      <c r="A725" s="49">
        <v>718</v>
      </c>
      <c r="B725" s="55">
        <v>45319</v>
      </c>
      <c r="C725" s="36" t="str">
        <f>UPPER(TEXT(Dados_Cursos[[#This Row],[Data]],"mmm"))</f>
        <v>JAN</v>
      </c>
      <c r="D725" s="52" t="s">
        <v>2293</v>
      </c>
      <c r="E725" s="49" t="str">
        <f>VLOOKUP(Dados_Cursos[[#This Row],[ID]],Apoio!A718:H1718,2,0)</f>
        <v>pedro.barbosa718@gmail.com</v>
      </c>
      <c r="F725" s="36" t="s">
        <v>834</v>
      </c>
      <c r="G725" s="36" t="s">
        <v>2665</v>
      </c>
      <c r="H725" s="38">
        <v>1500</v>
      </c>
      <c r="I725" s="49">
        <v>8</v>
      </c>
      <c r="J725" s="49" t="str">
        <f>VLOOKUP(Dados_Cursos[[#This Row],[ID]],Apoio!A718:H1718,4,0)</f>
        <v>Cabinda</v>
      </c>
      <c r="K725" s="37" t="s">
        <v>113</v>
      </c>
      <c r="L725" s="37" t="s">
        <v>110</v>
      </c>
      <c r="M725" s="53"/>
    </row>
    <row r="726" spans="1:13" ht="20.100000000000001" customHeight="1" x14ac:dyDescent="0.25">
      <c r="A726" s="49">
        <v>719</v>
      </c>
      <c r="B726" s="55">
        <v>45379</v>
      </c>
      <c r="C726" s="36" t="str">
        <f>UPPER(TEXT(Dados_Cursos[[#This Row],[Data]],"mmm"))</f>
        <v>MAR</v>
      </c>
      <c r="D726" s="52" t="s">
        <v>1531</v>
      </c>
      <c r="E726" s="49" t="str">
        <f>VLOOKUP(Dados_Cursos[[#This Row],[ID]],Apoio!A719:H1719,2,0)</f>
        <v>bruno.monteiro719@gmail.com</v>
      </c>
      <c r="F726" s="36" t="s">
        <v>835</v>
      </c>
      <c r="G726" s="36" t="s">
        <v>2665</v>
      </c>
      <c r="H726" s="38">
        <v>1500</v>
      </c>
      <c r="I726" s="49">
        <v>10</v>
      </c>
      <c r="J726" s="49" t="str">
        <f>VLOOKUP(Dados_Cursos[[#This Row],[ID]],Apoio!A719:H1719,4,0)</f>
        <v>Moxico</v>
      </c>
      <c r="K726" s="37" t="s">
        <v>113</v>
      </c>
      <c r="L726" s="37" t="s">
        <v>110</v>
      </c>
      <c r="M726" s="53"/>
    </row>
    <row r="727" spans="1:13" ht="20.100000000000001" customHeight="1" x14ac:dyDescent="0.25">
      <c r="A727" s="49">
        <v>720</v>
      </c>
      <c r="B727" s="55">
        <v>45383</v>
      </c>
      <c r="C727" s="36" t="str">
        <f>UPPER(TEXT(Dados_Cursos[[#This Row],[Data]],"mmm"))</f>
        <v>ABR</v>
      </c>
      <c r="D727" s="52" t="s">
        <v>1779</v>
      </c>
      <c r="E727" s="49" t="str">
        <f>VLOOKUP(Dados_Cursos[[#This Row],[ID]],Apoio!A720:H1720,2,0)</f>
        <v>nelson.soares720@gmail.com</v>
      </c>
      <c r="F727" s="36" t="s">
        <v>836</v>
      </c>
      <c r="G727" s="36" t="s">
        <v>2666</v>
      </c>
      <c r="H727" s="38">
        <v>1200</v>
      </c>
      <c r="I727" s="49">
        <v>3</v>
      </c>
      <c r="J727" s="49" t="str">
        <f>VLOOKUP(Dados_Cursos[[#This Row],[ID]],Apoio!A720:H1720,4,0)</f>
        <v>Cabinda</v>
      </c>
      <c r="K727" s="37" t="s">
        <v>112</v>
      </c>
      <c r="L727" s="37" t="s">
        <v>109</v>
      </c>
      <c r="M727" s="53"/>
    </row>
    <row r="728" spans="1:13" ht="20.100000000000001" customHeight="1" x14ac:dyDescent="0.25">
      <c r="A728" s="49">
        <v>721</v>
      </c>
      <c r="B728" s="55">
        <v>45541</v>
      </c>
      <c r="C728" s="36" t="str">
        <f>UPPER(TEXT(Dados_Cursos[[#This Row],[Data]],"mmm"))</f>
        <v>SET</v>
      </c>
      <c r="D728" s="52" t="s">
        <v>1408</v>
      </c>
      <c r="E728" s="49" t="str">
        <f>VLOOKUP(Dados_Cursos[[#This Row],[ID]],Apoio!A721:H1721,2,0)</f>
        <v>david.martins721@gmail.com</v>
      </c>
      <c r="F728" s="36" t="s">
        <v>837</v>
      </c>
      <c r="G728" s="36" t="s">
        <v>2666</v>
      </c>
      <c r="H728" s="38">
        <v>1200</v>
      </c>
      <c r="I728" s="49">
        <v>10</v>
      </c>
      <c r="J728" s="49" t="str">
        <f>VLOOKUP(Dados_Cursos[[#This Row],[ID]],Apoio!A721:H1721,4,0)</f>
        <v>Zaire</v>
      </c>
      <c r="K728" s="37" t="s">
        <v>113</v>
      </c>
      <c r="L728" s="37" t="s">
        <v>2649</v>
      </c>
      <c r="M728" s="53"/>
    </row>
    <row r="729" spans="1:13" ht="20.100000000000001" customHeight="1" x14ac:dyDescent="0.25">
      <c r="A729" s="49">
        <v>722</v>
      </c>
      <c r="B729" s="55">
        <v>45294</v>
      </c>
      <c r="C729" s="36" t="str">
        <f>UPPER(TEXT(Dados_Cursos[[#This Row],[Data]],"mmm"))</f>
        <v>JAN</v>
      </c>
      <c r="D729" s="52" t="s">
        <v>2298</v>
      </c>
      <c r="E729" s="49" t="str">
        <f>VLOOKUP(Dados_Cursos[[#This Row],[ID]],Apoio!A722:H1722,2,0)</f>
        <v>marta.monteiro722@gmail.com</v>
      </c>
      <c r="F729" s="36" t="s">
        <v>838</v>
      </c>
      <c r="G729" s="36" t="s">
        <v>2665</v>
      </c>
      <c r="H729" s="38">
        <v>1500</v>
      </c>
      <c r="I729" s="49">
        <v>13</v>
      </c>
      <c r="J729" s="49" t="str">
        <f>VLOOKUP(Dados_Cursos[[#This Row],[ID]],Apoio!A722:H1722,4,0)</f>
        <v>Icolo e Bengo</v>
      </c>
      <c r="K729" s="37" t="s">
        <v>113</v>
      </c>
      <c r="L729" s="37" t="s">
        <v>110</v>
      </c>
      <c r="M729" s="53"/>
    </row>
    <row r="730" spans="1:13" ht="20.100000000000001" customHeight="1" x14ac:dyDescent="0.25">
      <c r="A730" s="49">
        <v>723</v>
      </c>
      <c r="B730" s="55">
        <v>45532</v>
      </c>
      <c r="C730" s="36" t="str">
        <f>UPPER(TEXT(Dados_Cursos[[#This Row],[Data]],"mmm"))</f>
        <v>AGO</v>
      </c>
      <c r="D730" s="52" t="s">
        <v>1309</v>
      </c>
      <c r="E730" s="49" t="str">
        <f>VLOOKUP(Dados_Cursos[[#This Row],[ID]],Apoio!A723:H1723,2,0)</f>
        <v>manuel.santos723@gmail.com</v>
      </c>
      <c r="F730" s="36" t="s">
        <v>839</v>
      </c>
      <c r="G730" s="36" t="s">
        <v>2666</v>
      </c>
      <c r="H730" s="38">
        <v>800</v>
      </c>
      <c r="I730" s="49">
        <v>7</v>
      </c>
      <c r="J730" s="49" t="str">
        <f>VLOOKUP(Dados_Cursos[[#This Row],[ID]],Apoio!A723:H1723,4,0)</f>
        <v>Benguela</v>
      </c>
      <c r="K730" s="37" t="s">
        <v>113</v>
      </c>
      <c r="L730" s="37" t="s">
        <v>2649</v>
      </c>
      <c r="M730" s="53"/>
    </row>
    <row r="731" spans="1:13" ht="20.100000000000001" customHeight="1" x14ac:dyDescent="0.25">
      <c r="A731" s="49">
        <v>724</v>
      </c>
      <c r="B731" s="55">
        <v>45608</v>
      </c>
      <c r="C731" s="36" t="str">
        <f>UPPER(TEXT(Dados_Cursos[[#This Row],[Data]],"mmm"))</f>
        <v>NOV</v>
      </c>
      <c r="D731" s="52" t="s">
        <v>1358</v>
      </c>
      <c r="E731" s="49" t="str">
        <f>VLOOKUP(Dados_Cursos[[#This Row],[ID]],Apoio!A724:H1724,2,0)</f>
        <v>joão.lopes724@gmail.com</v>
      </c>
      <c r="F731" s="36" t="s">
        <v>840</v>
      </c>
      <c r="G731" s="36" t="s">
        <v>2665</v>
      </c>
      <c r="H731" s="38">
        <v>1500</v>
      </c>
      <c r="I731" s="49">
        <v>9</v>
      </c>
      <c r="J731" s="49" t="str">
        <f>VLOOKUP(Dados_Cursos[[#This Row],[ID]],Apoio!A724:H1724,4,0)</f>
        <v>Cunene</v>
      </c>
      <c r="K731" s="37" t="s">
        <v>113</v>
      </c>
      <c r="L731" s="37" t="s">
        <v>110</v>
      </c>
      <c r="M731" s="53"/>
    </row>
    <row r="732" spans="1:13" ht="20.100000000000001" customHeight="1" x14ac:dyDescent="0.25">
      <c r="A732" s="49">
        <v>725</v>
      </c>
      <c r="B732" s="55">
        <v>45394</v>
      </c>
      <c r="C732" s="36" t="str">
        <f>UPPER(TEXT(Dados_Cursos[[#This Row],[Data]],"mmm"))</f>
        <v>ABR</v>
      </c>
      <c r="D732" s="52" t="s">
        <v>1629</v>
      </c>
      <c r="E732" s="49" t="str">
        <f>VLOOKUP(Dados_Cursos[[#This Row],[ID]],Apoio!A725:H1725,2,0)</f>
        <v>adriano.andrade725@gmail.com</v>
      </c>
      <c r="F732" s="36" t="s">
        <v>841</v>
      </c>
      <c r="G732" s="36" t="s">
        <v>2665</v>
      </c>
      <c r="H732" s="38">
        <v>1500</v>
      </c>
      <c r="I732" s="49">
        <v>2</v>
      </c>
      <c r="J732" s="49" t="str">
        <f>VLOOKUP(Dados_Cursos[[#This Row],[ID]],Apoio!A725:H1725,4,0)</f>
        <v>Benguela</v>
      </c>
      <c r="K732" s="37" t="s">
        <v>113</v>
      </c>
      <c r="L732" s="37" t="s">
        <v>111</v>
      </c>
      <c r="M732" s="53"/>
    </row>
    <row r="733" spans="1:13" ht="20.100000000000001" customHeight="1" x14ac:dyDescent="0.25">
      <c r="A733" s="49">
        <v>726</v>
      </c>
      <c r="B733" s="55">
        <v>45440</v>
      </c>
      <c r="C733" s="36" t="str">
        <f>UPPER(TEXT(Dados_Cursos[[#This Row],[Data]],"mmm"))</f>
        <v>MAI</v>
      </c>
      <c r="D733" s="52" t="s">
        <v>1729</v>
      </c>
      <c r="E733" s="49" t="str">
        <f>VLOOKUP(Dados_Cursos[[#This Row],[ID]],Apoio!A726:H1726,2,0)</f>
        <v>josé.lukeba726@gmail.com</v>
      </c>
      <c r="F733" s="36" t="s">
        <v>842</v>
      </c>
      <c r="G733" s="36" t="s">
        <v>2666</v>
      </c>
      <c r="H733" s="38">
        <v>1200</v>
      </c>
      <c r="I733" s="49">
        <v>8</v>
      </c>
      <c r="J733" s="49" t="str">
        <f>VLOOKUP(Dados_Cursos[[#This Row],[ID]],Apoio!A726:H1726,4,0)</f>
        <v>Cuanza Sul</v>
      </c>
      <c r="K733" s="37" t="s">
        <v>112</v>
      </c>
      <c r="L733" s="37" t="s">
        <v>109</v>
      </c>
      <c r="M733" s="53"/>
    </row>
    <row r="734" spans="1:13" ht="20.100000000000001" customHeight="1" x14ac:dyDescent="0.25">
      <c r="A734" s="49">
        <v>727</v>
      </c>
      <c r="B734" s="55">
        <v>45315</v>
      </c>
      <c r="C734" s="36" t="str">
        <f>UPPER(TEXT(Dados_Cursos[[#This Row],[Data]],"mmm"))</f>
        <v>JAN</v>
      </c>
      <c r="D734" s="52" t="s">
        <v>2304</v>
      </c>
      <c r="E734" s="49" t="str">
        <f>VLOOKUP(Dados_Cursos[[#This Row],[ID]],Apoio!A727:H1727,2,0)</f>
        <v>luís.costa727@gmail.com</v>
      </c>
      <c r="F734" s="36" t="s">
        <v>843</v>
      </c>
      <c r="G734" s="36" t="s">
        <v>2665</v>
      </c>
      <c r="H734" s="38">
        <v>1500</v>
      </c>
      <c r="I734" s="49">
        <v>4</v>
      </c>
      <c r="J734" s="49" t="str">
        <f>VLOOKUP(Dados_Cursos[[#This Row],[ID]],Apoio!A727:H1727,4,0)</f>
        <v>Lunda Sul</v>
      </c>
      <c r="K734" s="37" t="s">
        <v>113</v>
      </c>
      <c r="L734" s="37" t="s">
        <v>110</v>
      </c>
      <c r="M734" s="53"/>
    </row>
    <row r="735" spans="1:13" ht="20.100000000000001" customHeight="1" x14ac:dyDescent="0.25">
      <c r="A735" s="49">
        <v>728</v>
      </c>
      <c r="B735" s="55">
        <v>45374</v>
      </c>
      <c r="C735" s="36" t="str">
        <f>UPPER(TEXT(Dados_Cursos[[#This Row],[Data]],"mmm"))</f>
        <v>MAR</v>
      </c>
      <c r="D735" s="52" t="s">
        <v>2306</v>
      </c>
      <c r="E735" s="49" t="str">
        <f>VLOOKUP(Dados_Cursos[[#This Row],[ID]],Apoio!A728:H1728,2,0)</f>
        <v>marta.silva728@gmail.com</v>
      </c>
      <c r="F735" s="36" t="s">
        <v>844</v>
      </c>
      <c r="G735" s="36" t="s">
        <v>2666</v>
      </c>
      <c r="H735" s="38">
        <v>800</v>
      </c>
      <c r="I735" s="49">
        <v>17</v>
      </c>
      <c r="J735" s="49" t="str">
        <f>VLOOKUP(Dados_Cursos[[#This Row],[ID]],Apoio!A728:H1728,4,0)</f>
        <v>Lunda Norte</v>
      </c>
      <c r="K735" s="37" t="s">
        <v>113</v>
      </c>
      <c r="L735" s="37" t="s">
        <v>110</v>
      </c>
      <c r="M735" s="53"/>
    </row>
    <row r="736" spans="1:13" ht="20.100000000000001" customHeight="1" x14ac:dyDescent="0.25">
      <c r="A736" s="49">
        <v>729</v>
      </c>
      <c r="B736" s="55">
        <v>45453</v>
      </c>
      <c r="C736" s="36" t="str">
        <f>UPPER(TEXT(Dados_Cursos[[#This Row],[Data]],"mmm"))</f>
        <v>JUN</v>
      </c>
      <c r="D736" s="52" t="s">
        <v>1138</v>
      </c>
      <c r="E736" s="49" t="str">
        <f>VLOOKUP(Dados_Cursos[[#This Row],[ID]],Apoio!A729:H1729,2,0)</f>
        <v>paulo.pinto729@gmail.com</v>
      </c>
      <c r="F736" s="36" t="s">
        <v>845</v>
      </c>
      <c r="G736" s="36" t="s">
        <v>2666</v>
      </c>
      <c r="H736" s="38">
        <v>1200</v>
      </c>
      <c r="I736" s="49">
        <v>16</v>
      </c>
      <c r="J736" s="49" t="str">
        <f>VLOOKUP(Dados_Cursos[[#This Row],[ID]],Apoio!A729:H1729,4,0)</f>
        <v>Cubango</v>
      </c>
      <c r="K736" s="37" t="s">
        <v>112</v>
      </c>
      <c r="L736" s="37" t="s">
        <v>109</v>
      </c>
      <c r="M736" s="53"/>
    </row>
    <row r="737" spans="1:13" ht="20.100000000000001" customHeight="1" x14ac:dyDescent="0.25">
      <c r="A737" s="49">
        <v>730</v>
      </c>
      <c r="B737" s="55">
        <v>45365</v>
      </c>
      <c r="C737" s="36" t="str">
        <f>UPPER(TEXT(Dados_Cursos[[#This Row],[Data]],"mmm"))</f>
        <v>MAR</v>
      </c>
      <c r="D737" s="52" t="s">
        <v>2309</v>
      </c>
      <c r="E737" s="49" t="str">
        <f>VLOOKUP(Dados_Cursos[[#This Row],[ID]],Apoio!A730:H1730,2,0)</f>
        <v>domingos.domingues730@gmail.com</v>
      </c>
      <c r="F737" s="36" t="s">
        <v>846</v>
      </c>
      <c r="G737" s="36" t="s">
        <v>2665</v>
      </c>
      <c r="H737" s="38">
        <v>1500</v>
      </c>
      <c r="I737" s="49">
        <v>9</v>
      </c>
      <c r="J737" s="49" t="str">
        <f>VLOOKUP(Dados_Cursos[[#This Row],[ID]],Apoio!A730:H1730,4,0)</f>
        <v>Cubango</v>
      </c>
      <c r="K737" s="37" t="s">
        <v>113</v>
      </c>
      <c r="L737" s="37" t="s">
        <v>2649</v>
      </c>
      <c r="M737" s="53"/>
    </row>
    <row r="738" spans="1:13" ht="20.100000000000001" customHeight="1" x14ac:dyDescent="0.25">
      <c r="A738" s="49">
        <v>731</v>
      </c>
      <c r="B738" s="55">
        <v>45493</v>
      </c>
      <c r="C738" s="36" t="str">
        <f>UPPER(TEXT(Dados_Cursos[[#This Row],[Data]],"mmm"))</f>
        <v>JUL</v>
      </c>
      <c r="D738" s="52" t="s">
        <v>1265</v>
      </c>
      <c r="E738" s="49" t="str">
        <f>VLOOKUP(Dados_Cursos[[#This Row],[ID]],Apoio!A731:H1731,2,0)</f>
        <v>manuel.costa731@gmail.com</v>
      </c>
      <c r="F738" s="36" t="s">
        <v>847</v>
      </c>
      <c r="G738" s="36" t="s">
        <v>2665</v>
      </c>
      <c r="H738" s="38">
        <v>1500</v>
      </c>
      <c r="I738" s="49">
        <v>20</v>
      </c>
      <c r="J738" s="49" t="str">
        <f>VLOOKUP(Dados_Cursos[[#This Row],[ID]],Apoio!A731:H1731,4,0)</f>
        <v>Cunene</v>
      </c>
      <c r="K738" s="37" t="s">
        <v>113</v>
      </c>
      <c r="L738" s="37" t="s">
        <v>110</v>
      </c>
      <c r="M738" s="53"/>
    </row>
    <row r="739" spans="1:13" ht="20.100000000000001" customHeight="1" x14ac:dyDescent="0.25">
      <c r="A739" s="49">
        <v>732</v>
      </c>
      <c r="B739" s="55">
        <v>45405</v>
      </c>
      <c r="C739" s="36" t="str">
        <f>UPPER(TEXT(Dados_Cursos[[#This Row],[Data]],"mmm"))</f>
        <v>ABR</v>
      </c>
      <c r="D739" s="52" t="s">
        <v>2216</v>
      </c>
      <c r="E739" s="49" t="str">
        <f>VLOOKUP(Dados_Cursos[[#This Row],[ID]],Apoio!A732:H1732,2,0)</f>
        <v>marta.costa732@gmail.com</v>
      </c>
      <c r="F739" s="36" t="s">
        <v>848</v>
      </c>
      <c r="G739" s="36" t="s">
        <v>2665</v>
      </c>
      <c r="H739" s="38">
        <v>1500</v>
      </c>
      <c r="I739" s="49">
        <v>8</v>
      </c>
      <c r="J739" s="49" t="str">
        <f>VLOOKUP(Dados_Cursos[[#This Row],[ID]],Apoio!A732:H1732,4,0)</f>
        <v>Bié</v>
      </c>
      <c r="K739" s="37" t="s">
        <v>113</v>
      </c>
      <c r="L739" s="37" t="s">
        <v>2649</v>
      </c>
      <c r="M739" s="53"/>
    </row>
    <row r="740" spans="1:13" ht="20.100000000000001" customHeight="1" x14ac:dyDescent="0.25">
      <c r="A740" s="49">
        <v>733</v>
      </c>
      <c r="B740" s="55">
        <v>45447</v>
      </c>
      <c r="C740" s="36" t="str">
        <f>UPPER(TEXT(Dados_Cursos[[#This Row],[Data]],"mmm"))</f>
        <v>JUN</v>
      </c>
      <c r="D740" s="52" t="s">
        <v>1241</v>
      </c>
      <c r="E740" s="49" t="str">
        <f>VLOOKUP(Dados_Cursos[[#This Row],[ID]],Apoio!A733:H1733,2,0)</f>
        <v>cláudia.fernandes733@gmail.com</v>
      </c>
      <c r="F740" s="36" t="s">
        <v>849</v>
      </c>
      <c r="G740" s="36" t="s">
        <v>2666</v>
      </c>
      <c r="H740" s="38">
        <v>800</v>
      </c>
      <c r="I740" s="49">
        <v>11</v>
      </c>
      <c r="J740" s="49" t="str">
        <f>VLOOKUP(Dados_Cursos[[#This Row],[ID]],Apoio!A733:H1733,4,0)</f>
        <v>Cubango</v>
      </c>
      <c r="K740" s="37" t="s">
        <v>113</v>
      </c>
      <c r="L740" s="37" t="s">
        <v>110</v>
      </c>
      <c r="M740" s="53"/>
    </row>
    <row r="741" spans="1:13" ht="20.100000000000001" customHeight="1" x14ac:dyDescent="0.25">
      <c r="A741" s="49">
        <v>734</v>
      </c>
      <c r="B741" s="55">
        <v>45623</v>
      </c>
      <c r="C741" s="36" t="str">
        <f>UPPER(TEXT(Dados_Cursos[[#This Row],[Data]],"mmm"))</f>
        <v>NOV</v>
      </c>
      <c r="D741" s="52" t="s">
        <v>2314</v>
      </c>
      <c r="E741" s="49" t="str">
        <f>VLOOKUP(Dados_Cursos[[#This Row],[ID]],Apoio!A734:H1734,2,0)</f>
        <v>fátima.gomes734@gmail.com</v>
      </c>
      <c r="F741" s="36" t="s">
        <v>850</v>
      </c>
      <c r="G741" s="36" t="s">
        <v>2665</v>
      </c>
      <c r="H741" s="38">
        <v>1500</v>
      </c>
      <c r="I741" s="49">
        <v>16</v>
      </c>
      <c r="J741" s="49" t="str">
        <f>VLOOKUP(Dados_Cursos[[#This Row],[ID]],Apoio!A734:H1734,4,0)</f>
        <v>Lunda Norte</v>
      </c>
      <c r="K741" s="37" t="s">
        <v>113</v>
      </c>
      <c r="L741" s="37" t="s">
        <v>2649</v>
      </c>
      <c r="M741" s="53"/>
    </row>
    <row r="742" spans="1:13" ht="20.100000000000001" customHeight="1" x14ac:dyDescent="0.25">
      <c r="A742" s="49">
        <v>735</v>
      </c>
      <c r="B742" s="55">
        <v>45314</v>
      </c>
      <c r="C742" s="36" t="str">
        <f>UPPER(TEXT(Dados_Cursos[[#This Row],[Data]],"mmm"))</f>
        <v>JAN</v>
      </c>
      <c r="D742" s="52" t="s">
        <v>2316</v>
      </c>
      <c r="E742" s="49" t="str">
        <f>VLOOKUP(Dados_Cursos[[#This Row],[ID]],Apoio!A735:H1735,2,0)</f>
        <v>rosa.monteiro735@gmail.com</v>
      </c>
      <c r="F742" s="36" t="s">
        <v>851</v>
      </c>
      <c r="G742" s="36" t="s">
        <v>2666</v>
      </c>
      <c r="H742" s="38">
        <v>800</v>
      </c>
      <c r="I742" s="49">
        <v>14</v>
      </c>
      <c r="J742" s="49" t="str">
        <f>VLOOKUP(Dados_Cursos[[#This Row],[ID]],Apoio!A735:H1735,4,0)</f>
        <v>Cuanza Sul</v>
      </c>
      <c r="K742" s="37" t="s">
        <v>113</v>
      </c>
      <c r="L742" s="37" t="s">
        <v>2649</v>
      </c>
      <c r="M742" s="53"/>
    </row>
    <row r="743" spans="1:13" ht="20.100000000000001" customHeight="1" x14ac:dyDescent="0.25">
      <c r="A743" s="49">
        <v>736</v>
      </c>
      <c r="B743" s="55">
        <v>45620</v>
      </c>
      <c r="C743" s="36" t="str">
        <f>UPPER(TEXT(Dados_Cursos[[#This Row],[Data]],"mmm"))</f>
        <v>NOV</v>
      </c>
      <c r="D743" s="52" t="s">
        <v>2318</v>
      </c>
      <c r="E743" s="49" t="str">
        <f>VLOOKUP(Dados_Cursos[[#This Row],[ID]],Apoio!A736:H1736,2,0)</f>
        <v>marta.barbosa736@gmail.com</v>
      </c>
      <c r="F743" s="36" t="s">
        <v>852</v>
      </c>
      <c r="G743" s="36" t="s">
        <v>2665</v>
      </c>
      <c r="H743" s="38">
        <v>1500</v>
      </c>
      <c r="I743" s="49">
        <v>2</v>
      </c>
      <c r="J743" s="49" t="str">
        <f>VLOOKUP(Dados_Cursos[[#This Row],[ID]],Apoio!A736:H1736,4,0)</f>
        <v>Cuando</v>
      </c>
      <c r="K743" s="37" t="s">
        <v>113</v>
      </c>
      <c r="L743" s="37" t="s">
        <v>2649</v>
      </c>
      <c r="M743" s="53"/>
    </row>
    <row r="744" spans="1:13" ht="20.100000000000001" customHeight="1" x14ac:dyDescent="0.25">
      <c r="A744" s="49">
        <v>737</v>
      </c>
      <c r="B744" s="55">
        <v>45316</v>
      </c>
      <c r="C744" s="36" t="str">
        <f>UPPER(TEXT(Dados_Cursos[[#This Row],[Data]],"mmm"))</f>
        <v>JAN</v>
      </c>
      <c r="D744" s="52" t="s">
        <v>2123</v>
      </c>
      <c r="E744" s="49" t="str">
        <f>VLOOKUP(Dados_Cursos[[#This Row],[ID]],Apoio!A737:H1737,2,0)</f>
        <v>helena.tavares737@gmail.com</v>
      </c>
      <c r="F744" s="36" t="s">
        <v>853</v>
      </c>
      <c r="G744" s="36" t="s">
        <v>2666</v>
      </c>
      <c r="H744" s="38">
        <v>1200</v>
      </c>
      <c r="I744" s="49">
        <v>9</v>
      </c>
      <c r="J744" s="49" t="str">
        <f>VLOOKUP(Dados_Cursos[[#This Row],[ID]],Apoio!A737:H1737,4,0)</f>
        <v>Luanda</v>
      </c>
      <c r="K744" s="37" t="s">
        <v>113</v>
      </c>
      <c r="L744" s="37" t="s">
        <v>110</v>
      </c>
      <c r="M744" s="53"/>
    </row>
    <row r="745" spans="1:13" ht="20.100000000000001" customHeight="1" x14ac:dyDescent="0.25">
      <c r="A745" s="49">
        <v>738</v>
      </c>
      <c r="B745" s="55">
        <v>45592</v>
      </c>
      <c r="C745" s="36" t="str">
        <f>UPPER(TEXT(Dados_Cursos[[#This Row],[Data]],"mmm"))</f>
        <v>OUT</v>
      </c>
      <c r="D745" s="52" t="s">
        <v>2321</v>
      </c>
      <c r="E745" s="49" t="str">
        <f>VLOOKUP(Dados_Cursos[[#This Row],[ID]],Apoio!A738:H1738,2,0)</f>
        <v>bruno.lukeba738@gmail.com</v>
      </c>
      <c r="F745" s="36" t="s">
        <v>854</v>
      </c>
      <c r="G745" s="36" t="s">
        <v>2665</v>
      </c>
      <c r="H745" s="38">
        <v>1500</v>
      </c>
      <c r="I745" s="49">
        <v>12</v>
      </c>
      <c r="J745" s="49" t="str">
        <f>VLOOKUP(Dados_Cursos[[#This Row],[ID]],Apoio!A738:H1738,4,0)</f>
        <v>Luanda</v>
      </c>
      <c r="K745" s="37" t="s">
        <v>113</v>
      </c>
      <c r="L745" s="37" t="s">
        <v>2649</v>
      </c>
      <c r="M745" s="53"/>
    </row>
    <row r="746" spans="1:13" ht="20.100000000000001" customHeight="1" x14ac:dyDescent="0.25">
      <c r="A746" s="49">
        <v>739</v>
      </c>
      <c r="B746" s="55">
        <v>45320</v>
      </c>
      <c r="C746" s="36" t="str">
        <f>UPPER(TEXT(Dados_Cursos[[#This Row],[Data]],"mmm"))</f>
        <v>JAN</v>
      </c>
      <c r="D746" s="52" t="s">
        <v>2323</v>
      </c>
      <c r="E746" s="49" t="str">
        <f>VLOOKUP(Dados_Cursos[[#This Row],[ID]],Apoio!A739:H1739,2,0)</f>
        <v>paulo.lukeba739@gmail.com</v>
      </c>
      <c r="F746" s="36" t="s">
        <v>855</v>
      </c>
      <c r="G746" s="36" t="s">
        <v>2665</v>
      </c>
      <c r="H746" s="38">
        <v>1500</v>
      </c>
      <c r="I746" s="49">
        <v>14</v>
      </c>
      <c r="J746" s="49" t="str">
        <f>VLOOKUP(Dados_Cursos[[#This Row],[ID]],Apoio!A739:H1739,4,0)</f>
        <v>Luanda</v>
      </c>
      <c r="K746" s="37" t="s">
        <v>113</v>
      </c>
      <c r="L746" s="37" t="s">
        <v>111</v>
      </c>
      <c r="M746" s="53"/>
    </row>
    <row r="747" spans="1:13" ht="20.100000000000001" customHeight="1" x14ac:dyDescent="0.25">
      <c r="A747" s="49">
        <v>740</v>
      </c>
      <c r="B747" s="55">
        <v>45559</v>
      </c>
      <c r="C747" s="36" t="str">
        <f>UPPER(TEXT(Dados_Cursos[[#This Row],[Data]],"mmm"))</f>
        <v>SET</v>
      </c>
      <c r="D747" s="52" t="s">
        <v>2325</v>
      </c>
      <c r="E747" s="49" t="str">
        <f>VLOOKUP(Dados_Cursos[[#This Row],[ID]],Apoio!A740:H1740,2,0)</f>
        <v>paulo.costa740@gmail.com</v>
      </c>
      <c r="F747" s="36" t="s">
        <v>856</v>
      </c>
      <c r="G747" s="36" t="s">
        <v>2666</v>
      </c>
      <c r="H747" s="38">
        <v>1200</v>
      </c>
      <c r="I747" s="49">
        <v>7</v>
      </c>
      <c r="J747" s="49" t="str">
        <f>VLOOKUP(Dados_Cursos[[#This Row],[ID]],Apoio!A740:H1740,4,0)</f>
        <v>Lunda Sul</v>
      </c>
      <c r="K747" s="37" t="s">
        <v>112</v>
      </c>
      <c r="L747" s="37" t="s">
        <v>109</v>
      </c>
      <c r="M747" s="53"/>
    </row>
    <row r="748" spans="1:13" ht="20.100000000000001" customHeight="1" x14ac:dyDescent="0.25">
      <c r="A748" s="49">
        <v>741</v>
      </c>
      <c r="B748" s="55">
        <v>45645</v>
      </c>
      <c r="C748" s="36" t="str">
        <f>UPPER(TEXT(Dados_Cursos[[#This Row],[Data]],"mmm"))</f>
        <v>DEZ</v>
      </c>
      <c r="D748" s="52" t="s">
        <v>1541</v>
      </c>
      <c r="E748" s="49" t="str">
        <f>VLOOKUP(Dados_Cursos[[#This Row],[ID]],Apoio!A741:H1741,2,0)</f>
        <v>francisco.monteiro741@gmail.com</v>
      </c>
      <c r="F748" s="36" t="s">
        <v>857</v>
      </c>
      <c r="G748" s="36" t="s">
        <v>2666</v>
      </c>
      <c r="H748" s="38">
        <v>800</v>
      </c>
      <c r="I748" s="49">
        <v>2</v>
      </c>
      <c r="J748" s="49" t="str">
        <f>VLOOKUP(Dados_Cursos[[#This Row],[ID]],Apoio!A741:H1741,4,0)</f>
        <v>Zaire</v>
      </c>
      <c r="K748" s="37" t="s">
        <v>113</v>
      </c>
      <c r="L748" s="37" t="s">
        <v>111</v>
      </c>
      <c r="M748" s="53"/>
    </row>
    <row r="749" spans="1:13" ht="20.100000000000001" customHeight="1" x14ac:dyDescent="0.25">
      <c r="A749" s="49">
        <v>742</v>
      </c>
      <c r="B749" s="55">
        <v>45462</v>
      </c>
      <c r="C749" s="36" t="str">
        <f>UPPER(TEXT(Dados_Cursos[[#This Row],[Data]],"mmm"))</f>
        <v>JUN</v>
      </c>
      <c r="D749" s="52" t="s">
        <v>1243</v>
      </c>
      <c r="E749" s="49" t="str">
        <f>VLOOKUP(Dados_Cursos[[#This Row],[ID]],Apoio!A742:H1742,2,0)</f>
        <v>paulo.pereira742@gmail.com</v>
      </c>
      <c r="F749" s="36" t="s">
        <v>858</v>
      </c>
      <c r="G749" s="36" t="s">
        <v>2665</v>
      </c>
      <c r="H749" s="38">
        <v>1500</v>
      </c>
      <c r="I749" s="49">
        <v>1</v>
      </c>
      <c r="J749" s="49" t="str">
        <f>VLOOKUP(Dados_Cursos[[#This Row],[ID]],Apoio!A742:H1742,4,0)</f>
        <v>Moxico</v>
      </c>
      <c r="K749" s="37" t="s">
        <v>112</v>
      </c>
      <c r="L749" s="37" t="s">
        <v>109</v>
      </c>
      <c r="M749" s="53"/>
    </row>
    <row r="750" spans="1:13" ht="20.100000000000001" customHeight="1" x14ac:dyDescent="0.25">
      <c r="A750" s="49">
        <v>743</v>
      </c>
      <c r="B750" s="55">
        <v>45304</v>
      </c>
      <c r="C750" s="36" t="str">
        <f>UPPER(TEXT(Dados_Cursos[[#This Row],[Data]],"mmm"))</f>
        <v>JAN</v>
      </c>
      <c r="D750" s="52" t="s">
        <v>1725</v>
      </c>
      <c r="E750" s="49" t="str">
        <f>VLOOKUP(Dados_Cursos[[#This Row],[ID]],Apoio!A743:H1743,2,0)</f>
        <v>fátima.andrade743@gmail.com</v>
      </c>
      <c r="F750" s="36" t="s">
        <v>859</v>
      </c>
      <c r="G750" s="36" t="s">
        <v>2665</v>
      </c>
      <c r="H750" s="38">
        <v>1500</v>
      </c>
      <c r="I750" s="49">
        <v>17</v>
      </c>
      <c r="J750" s="49" t="str">
        <f>VLOOKUP(Dados_Cursos[[#This Row],[ID]],Apoio!A743:H1743,4,0)</f>
        <v>Malanje</v>
      </c>
      <c r="K750" s="37" t="s">
        <v>113</v>
      </c>
      <c r="L750" s="37" t="s">
        <v>2649</v>
      </c>
      <c r="M750" s="53"/>
    </row>
    <row r="751" spans="1:13" ht="20.100000000000001" customHeight="1" x14ac:dyDescent="0.25">
      <c r="A751" s="49">
        <v>744</v>
      </c>
      <c r="B751" s="55">
        <v>45407</v>
      </c>
      <c r="C751" s="36" t="str">
        <f>UPPER(TEXT(Dados_Cursos[[#This Row],[Data]],"mmm"))</f>
        <v>ABR</v>
      </c>
      <c r="D751" s="52" t="s">
        <v>1241</v>
      </c>
      <c r="E751" s="49" t="str">
        <f>VLOOKUP(Dados_Cursos[[#This Row],[ID]],Apoio!A744:H1744,2,0)</f>
        <v>cláudia.fernandes744@gmail.com</v>
      </c>
      <c r="F751" s="36" t="s">
        <v>860</v>
      </c>
      <c r="G751" s="36" t="s">
        <v>2666</v>
      </c>
      <c r="H751" s="38">
        <v>800</v>
      </c>
      <c r="I751" s="49">
        <v>15</v>
      </c>
      <c r="J751" s="49" t="str">
        <f>VLOOKUP(Dados_Cursos[[#This Row],[ID]],Apoio!A744:H1744,4,0)</f>
        <v>Cunene</v>
      </c>
      <c r="K751" s="37" t="s">
        <v>112</v>
      </c>
      <c r="L751" s="37" t="s">
        <v>109</v>
      </c>
      <c r="M751" s="53"/>
    </row>
    <row r="752" spans="1:13" ht="20.100000000000001" customHeight="1" x14ac:dyDescent="0.25">
      <c r="A752" s="49">
        <v>745</v>
      </c>
      <c r="B752" s="55">
        <v>45643</v>
      </c>
      <c r="C752" s="36" t="str">
        <f>UPPER(TEXT(Dados_Cursos[[#This Row],[Data]],"mmm"))</f>
        <v>DEZ</v>
      </c>
      <c r="D752" s="52" t="s">
        <v>1759</v>
      </c>
      <c r="E752" s="49" t="str">
        <f>VLOOKUP(Dados_Cursos[[#This Row],[ID]],Apoio!A745:H1745,2,0)</f>
        <v>cláudia.rodrigues745@gmail.com</v>
      </c>
      <c r="F752" s="36" t="s">
        <v>861</v>
      </c>
      <c r="G752" s="36" t="s">
        <v>2666</v>
      </c>
      <c r="H752" s="38">
        <v>800</v>
      </c>
      <c r="I752" s="49">
        <v>4</v>
      </c>
      <c r="J752" s="49" t="str">
        <f>VLOOKUP(Dados_Cursos[[#This Row],[ID]],Apoio!A745:H1745,4,0)</f>
        <v>Cuanza Norte</v>
      </c>
      <c r="K752" s="37" t="s">
        <v>112</v>
      </c>
      <c r="L752" s="37" t="s">
        <v>109</v>
      </c>
      <c r="M752" s="53"/>
    </row>
    <row r="753" spans="1:13" ht="20.100000000000001" customHeight="1" x14ac:dyDescent="0.25">
      <c r="A753" s="49">
        <v>746</v>
      </c>
      <c r="B753" s="55">
        <v>45532</v>
      </c>
      <c r="C753" s="36" t="str">
        <f>UPPER(TEXT(Dados_Cursos[[#This Row],[Data]],"mmm"))</f>
        <v>AGO</v>
      </c>
      <c r="D753" s="52" t="s">
        <v>2332</v>
      </c>
      <c r="E753" s="49" t="str">
        <f>VLOOKUP(Dados_Cursos[[#This Row],[ID]],Apoio!A746:H1746,2,0)</f>
        <v>maria.soares746@gmail.com</v>
      </c>
      <c r="F753" s="36" t="s">
        <v>862</v>
      </c>
      <c r="G753" s="36" t="s">
        <v>2666</v>
      </c>
      <c r="H753" s="38">
        <v>800</v>
      </c>
      <c r="I753" s="49">
        <v>2</v>
      </c>
      <c r="J753" s="49" t="str">
        <f>VLOOKUP(Dados_Cursos[[#This Row],[ID]],Apoio!A746:H1746,4,0)</f>
        <v>Cabinda</v>
      </c>
      <c r="K753" s="37" t="s">
        <v>112</v>
      </c>
      <c r="L753" s="37" t="s">
        <v>109</v>
      </c>
      <c r="M753" s="53"/>
    </row>
    <row r="754" spans="1:13" ht="20.100000000000001" customHeight="1" x14ac:dyDescent="0.25">
      <c r="A754" s="49">
        <v>747</v>
      </c>
      <c r="B754" s="55">
        <v>45347</v>
      </c>
      <c r="C754" s="36" t="str">
        <f>UPPER(TEXT(Dados_Cursos[[#This Row],[Data]],"mmm"))</f>
        <v>FEV</v>
      </c>
      <c r="D754" s="52" t="s">
        <v>2334</v>
      </c>
      <c r="E754" s="49" t="str">
        <f>VLOOKUP(Dados_Cursos[[#This Row],[ID]],Apoio!A747:H1747,2,0)</f>
        <v>ana.barbosa747@gmail.com</v>
      </c>
      <c r="F754" s="36" t="s">
        <v>863</v>
      </c>
      <c r="G754" s="36" t="s">
        <v>2665</v>
      </c>
      <c r="H754" s="38">
        <v>1500</v>
      </c>
      <c r="I754" s="49">
        <v>18</v>
      </c>
      <c r="J754" s="49" t="str">
        <f>VLOOKUP(Dados_Cursos[[#This Row],[ID]],Apoio!A747:H1747,4,0)</f>
        <v>Cubango</v>
      </c>
      <c r="K754" s="37" t="s">
        <v>113</v>
      </c>
      <c r="L754" s="37" t="s">
        <v>110</v>
      </c>
      <c r="M754" s="53"/>
    </row>
    <row r="755" spans="1:13" ht="20.100000000000001" customHeight="1" x14ac:dyDescent="0.25">
      <c r="A755" s="49">
        <v>748</v>
      </c>
      <c r="B755" s="55">
        <v>45342</v>
      </c>
      <c r="C755" s="36" t="str">
        <f>UPPER(TEXT(Dados_Cursos[[#This Row],[Data]],"mmm"))</f>
        <v>FEV</v>
      </c>
      <c r="D755" s="52" t="s">
        <v>1855</v>
      </c>
      <c r="E755" s="49" t="str">
        <f>VLOOKUP(Dados_Cursos[[#This Row],[ID]],Apoio!A748:H1748,2,0)</f>
        <v>mateus.miguel748@gmail.com</v>
      </c>
      <c r="F755" s="36" t="s">
        <v>864</v>
      </c>
      <c r="G755" s="36" t="s">
        <v>2666</v>
      </c>
      <c r="H755" s="38">
        <v>800</v>
      </c>
      <c r="I755" s="49">
        <v>4</v>
      </c>
      <c r="J755" s="49" t="str">
        <f>VLOOKUP(Dados_Cursos[[#This Row],[ID]],Apoio!A748:H1748,4,0)</f>
        <v>Zaire</v>
      </c>
      <c r="K755" s="37" t="s">
        <v>112</v>
      </c>
      <c r="L755" s="37" t="s">
        <v>109</v>
      </c>
      <c r="M755" s="53"/>
    </row>
    <row r="756" spans="1:13" ht="20.100000000000001" customHeight="1" x14ac:dyDescent="0.25">
      <c r="A756" s="49">
        <v>749</v>
      </c>
      <c r="B756" s="55">
        <v>45620</v>
      </c>
      <c r="C756" s="36" t="str">
        <f>UPPER(TEXT(Dados_Cursos[[#This Row],[Data]],"mmm"))</f>
        <v>NOV</v>
      </c>
      <c r="D756" s="52" t="s">
        <v>2337</v>
      </c>
      <c r="E756" s="49" t="str">
        <f>VLOOKUP(Dados_Cursos[[#This Row],[ID]],Apoio!A749:H1749,2,0)</f>
        <v>fátima.almeida749@gmail.com</v>
      </c>
      <c r="F756" s="36" t="s">
        <v>865</v>
      </c>
      <c r="G756" s="36" t="s">
        <v>2665</v>
      </c>
      <c r="H756" s="38">
        <v>1500</v>
      </c>
      <c r="I756" s="49">
        <v>20</v>
      </c>
      <c r="J756" s="49" t="str">
        <f>VLOOKUP(Dados_Cursos[[#This Row],[ID]],Apoio!A749:H1749,4,0)</f>
        <v>Cubango</v>
      </c>
      <c r="K756" s="37" t="s">
        <v>112</v>
      </c>
      <c r="L756" s="37" t="s">
        <v>109</v>
      </c>
      <c r="M756" s="53"/>
    </row>
    <row r="757" spans="1:13" ht="20.100000000000001" customHeight="1" x14ac:dyDescent="0.25">
      <c r="A757" s="49">
        <v>750</v>
      </c>
      <c r="B757" s="55">
        <v>45326</v>
      </c>
      <c r="C757" s="36" t="str">
        <f>UPPER(TEXT(Dados_Cursos[[#This Row],[Data]],"mmm"))</f>
        <v>FEV</v>
      </c>
      <c r="D757" s="52" t="s">
        <v>2339</v>
      </c>
      <c r="E757" s="49" t="str">
        <f>VLOOKUP(Dados_Cursos[[#This Row],[ID]],Apoio!A750:H1750,2,0)</f>
        <v>ana.costa750@gmail.com</v>
      </c>
      <c r="F757" s="36" t="s">
        <v>866</v>
      </c>
      <c r="G757" s="36" t="s">
        <v>2665</v>
      </c>
      <c r="H757" s="38">
        <v>1500</v>
      </c>
      <c r="I757" s="49">
        <v>19</v>
      </c>
      <c r="J757" s="49" t="str">
        <f>VLOOKUP(Dados_Cursos[[#This Row],[ID]],Apoio!A750:H1750,4,0)</f>
        <v>Lunda Sul</v>
      </c>
      <c r="K757" s="37" t="s">
        <v>113</v>
      </c>
      <c r="L757" s="37" t="s">
        <v>110</v>
      </c>
      <c r="M757" s="53"/>
    </row>
    <row r="758" spans="1:13" ht="20.100000000000001" customHeight="1" x14ac:dyDescent="0.25">
      <c r="A758" s="49">
        <v>751</v>
      </c>
      <c r="B758" s="55">
        <v>45522</v>
      </c>
      <c r="C758" s="36" t="str">
        <f>UPPER(TEXT(Dados_Cursos[[#This Row],[Data]],"mmm"))</f>
        <v>AGO</v>
      </c>
      <c r="D758" s="52" t="s">
        <v>1399</v>
      </c>
      <c r="E758" s="49" t="str">
        <f>VLOOKUP(Dados_Cursos[[#This Row],[ID]],Apoio!A751:H1751,2,0)</f>
        <v>luís.andrade751@gmail.com</v>
      </c>
      <c r="F758" s="36" t="s">
        <v>867</v>
      </c>
      <c r="G758" s="36" t="s">
        <v>2666</v>
      </c>
      <c r="H758" s="38">
        <v>1200</v>
      </c>
      <c r="I758" s="49">
        <v>6</v>
      </c>
      <c r="J758" s="49" t="str">
        <f>VLOOKUP(Dados_Cursos[[#This Row],[ID]],Apoio!A751:H1751,4,0)</f>
        <v>Cunene</v>
      </c>
      <c r="K758" s="37" t="s">
        <v>112</v>
      </c>
      <c r="L758" s="37" t="s">
        <v>109</v>
      </c>
      <c r="M758" s="53"/>
    </row>
    <row r="759" spans="1:13" ht="20.100000000000001" customHeight="1" x14ac:dyDescent="0.25">
      <c r="A759" s="49">
        <v>752</v>
      </c>
      <c r="B759" s="55">
        <v>45405</v>
      </c>
      <c r="C759" s="36" t="str">
        <f>UPPER(TEXT(Dados_Cursos[[#This Row],[Data]],"mmm"))</f>
        <v>ABR</v>
      </c>
      <c r="D759" s="52" t="s">
        <v>1291</v>
      </c>
      <c r="E759" s="49" t="str">
        <f>VLOOKUP(Dados_Cursos[[#This Row],[ID]],Apoio!A752:H1752,2,0)</f>
        <v>adriano.soares752@gmail.com</v>
      </c>
      <c r="F759" s="36" t="s">
        <v>868</v>
      </c>
      <c r="G759" s="36" t="s">
        <v>2665</v>
      </c>
      <c r="H759" s="38">
        <v>1500</v>
      </c>
      <c r="I759" s="49">
        <v>12</v>
      </c>
      <c r="J759" s="49" t="str">
        <f>VLOOKUP(Dados_Cursos[[#This Row],[ID]],Apoio!A752:H1752,4,0)</f>
        <v>Cunene</v>
      </c>
      <c r="K759" s="37" t="s">
        <v>113</v>
      </c>
      <c r="L759" s="37" t="s">
        <v>111</v>
      </c>
      <c r="M759" s="53"/>
    </row>
    <row r="760" spans="1:13" ht="20.100000000000001" customHeight="1" x14ac:dyDescent="0.25">
      <c r="A760" s="49">
        <v>753</v>
      </c>
      <c r="B760" s="55">
        <v>45433</v>
      </c>
      <c r="C760" s="36" t="str">
        <f>UPPER(TEXT(Dados_Cursos[[#This Row],[Data]],"mmm"))</f>
        <v>MAI</v>
      </c>
      <c r="D760" s="52" t="s">
        <v>1245</v>
      </c>
      <c r="E760" s="49" t="str">
        <f>VLOOKUP(Dados_Cursos[[#This Row],[ID]],Apoio!A753:H1753,2,0)</f>
        <v>josé.lopes753@gmail.com</v>
      </c>
      <c r="F760" s="36" t="s">
        <v>869</v>
      </c>
      <c r="G760" s="36" t="s">
        <v>2666</v>
      </c>
      <c r="H760" s="38">
        <v>1200</v>
      </c>
      <c r="I760" s="49">
        <v>13</v>
      </c>
      <c r="J760" s="49" t="str">
        <f>VLOOKUP(Dados_Cursos[[#This Row],[ID]],Apoio!A753:H1753,4,0)</f>
        <v>Huíla</v>
      </c>
      <c r="K760" s="37" t="s">
        <v>113</v>
      </c>
      <c r="L760" s="37" t="s">
        <v>2649</v>
      </c>
      <c r="M760" s="53"/>
    </row>
    <row r="761" spans="1:13" ht="20.100000000000001" customHeight="1" x14ac:dyDescent="0.25">
      <c r="A761" s="49">
        <v>754</v>
      </c>
      <c r="B761" s="55">
        <v>45374</v>
      </c>
      <c r="C761" s="36" t="str">
        <f>UPPER(TEXT(Dados_Cursos[[#This Row],[Data]],"mmm"))</f>
        <v>MAR</v>
      </c>
      <c r="D761" s="52" t="s">
        <v>2344</v>
      </c>
      <c r="E761" s="49" t="str">
        <f>VLOOKUP(Dados_Cursos[[#This Row],[ID]],Apoio!A754:H1754,2,0)</f>
        <v>benedito.rodrigues754@gmail.com</v>
      </c>
      <c r="F761" s="36" t="s">
        <v>870</v>
      </c>
      <c r="G761" s="36" t="s">
        <v>2665</v>
      </c>
      <c r="H761" s="38">
        <v>1500</v>
      </c>
      <c r="I761" s="49">
        <v>20</v>
      </c>
      <c r="J761" s="49" t="str">
        <f>VLOOKUP(Dados_Cursos[[#This Row],[ID]],Apoio!A754:H1754,4,0)</f>
        <v>Huambo</v>
      </c>
      <c r="K761" s="37" t="s">
        <v>112</v>
      </c>
      <c r="L761" s="37" t="s">
        <v>109</v>
      </c>
      <c r="M761" s="53"/>
    </row>
    <row r="762" spans="1:13" ht="20.100000000000001" customHeight="1" x14ac:dyDescent="0.25">
      <c r="A762" s="49">
        <v>755</v>
      </c>
      <c r="B762" s="55">
        <v>45648</v>
      </c>
      <c r="C762" s="36" t="str">
        <f>UPPER(TEXT(Dados_Cursos[[#This Row],[Data]],"mmm"))</f>
        <v>DEZ</v>
      </c>
      <c r="D762" s="52" t="s">
        <v>2346</v>
      </c>
      <c r="E762" s="49" t="str">
        <f>VLOOKUP(Dados_Cursos[[#This Row],[ID]],Apoio!A755:H1755,2,0)</f>
        <v>carlos.lopes755@gmail.com</v>
      </c>
      <c r="F762" s="36" t="s">
        <v>871</v>
      </c>
      <c r="G762" s="36" t="s">
        <v>2665</v>
      </c>
      <c r="H762" s="38">
        <v>1500</v>
      </c>
      <c r="I762" s="49">
        <v>15</v>
      </c>
      <c r="J762" s="49" t="str">
        <f>VLOOKUP(Dados_Cursos[[#This Row],[ID]],Apoio!A755:H1755,4,0)</f>
        <v>Moxico Leste</v>
      </c>
      <c r="K762" s="37" t="s">
        <v>112</v>
      </c>
      <c r="L762" s="37" t="s">
        <v>109</v>
      </c>
      <c r="M762" s="53"/>
    </row>
    <row r="763" spans="1:13" ht="20.100000000000001" customHeight="1" x14ac:dyDescent="0.25">
      <c r="A763" s="49">
        <v>756</v>
      </c>
      <c r="B763" s="55">
        <v>45645</v>
      </c>
      <c r="C763" s="36" t="str">
        <f>UPPER(TEXT(Dados_Cursos[[#This Row],[Data]],"mmm"))</f>
        <v>DEZ</v>
      </c>
      <c r="D763" s="52" t="s">
        <v>2348</v>
      </c>
      <c r="E763" s="49" t="str">
        <f>VLOOKUP(Dados_Cursos[[#This Row],[ID]],Apoio!A756:H1756,2,0)</f>
        <v>marta.martins756@gmail.com</v>
      </c>
      <c r="F763" s="36" t="s">
        <v>872</v>
      </c>
      <c r="G763" s="36" t="s">
        <v>2666</v>
      </c>
      <c r="H763" s="38">
        <v>800</v>
      </c>
      <c r="I763" s="49">
        <v>10</v>
      </c>
      <c r="J763" s="49" t="str">
        <f>VLOOKUP(Dados_Cursos[[#This Row],[ID]],Apoio!A756:H1756,4,0)</f>
        <v>Bié</v>
      </c>
      <c r="K763" s="37" t="s">
        <v>113</v>
      </c>
      <c r="L763" s="37" t="s">
        <v>2649</v>
      </c>
      <c r="M763" s="53"/>
    </row>
    <row r="764" spans="1:13" ht="20.100000000000001" customHeight="1" x14ac:dyDescent="0.25">
      <c r="A764" s="49">
        <v>757</v>
      </c>
      <c r="B764" s="55">
        <v>45452</v>
      </c>
      <c r="C764" s="36" t="str">
        <f>UPPER(TEXT(Dados_Cursos[[#This Row],[Data]],"mmm"))</f>
        <v>JUN</v>
      </c>
      <c r="D764" s="52" t="s">
        <v>1410</v>
      </c>
      <c r="E764" s="49" t="str">
        <f>VLOOKUP(Dados_Cursos[[#This Row],[ID]],Apoio!A757:H1757,2,0)</f>
        <v>francisco.pereira757@gmail.com</v>
      </c>
      <c r="F764" s="36" t="s">
        <v>873</v>
      </c>
      <c r="G764" s="36" t="s">
        <v>2666</v>
      </c>
      <c r="H764" s="38">
        <v>1200</v>
      </c>
      <c r="I764" s="49">
        <v>2</v>
      </c>
      <c r="J764" s="49" t="str">
        <f>VLOOKUP(Dados_Cursos[[#This Row],[ID]],Apoio!A757:H1757,4,0)</f>
        <v>Namibe</v>
      </c>
      <c r="K764" s="37" t="s">
        <v>113</v>
      </c>
      <c r="L764" s="37" t="s">
        <v>111</v>
      </c>
      <c r="M764" s="53"/>
    </row>
    <row r="765" spans="1:13" ht="20.100000000000001" customHeight="1" x14ac:dyDescent="0.25">
      <c r="A765" s="49">
        <v>758</v>
      </c>
      <c r="B765" s="55">
        <v>45494</v>
      </c>
      <c r="C765" s="36" t="str">
        <f>UPPER(TEXT(Dados_Cursos[[#This Row],[Data]],"mmm"))</f>
        <v>JUL</v>
      </c>
      <c r="D765" s="52" t="s">
        <v>2114</v>
      </c>
      <c r="E765" s="49" t="str">
        <f>VLOOKUP(Dados_Cursos[[#This Row],[ID]],Apoio!A758:H1758,2,0)</f>
        <v>domingos.lukeba758@gmail.com</v>
      </c>
      <c r="F765" s="36" t="s">
        <v>874</v>
      </c>
      <c r="G765" s="36" t="s">
        <v>2666</v>
      </c>
      <c r="H765" s="38">
        <v>1200</v>
      </c>
      <c r="I765" s="49">
        <v>16</v>
      </c>
      <c r="J765" s="49" t="str">
        <f>VLOOKUP(Dados_Cursos[[#This Row],[ID]],Apoio!A758:H1758,4,0)</f>
        <v>Cuanza Sul</v>
      </c>
      <c r="K765" s="37" t="s">
        <v>113</v>
      </c>
      <c r="L765" s="37" t="s">
        <v>2649</v>
      </c>
      <c r="M765" s="53"/>
    </row>
    <row r="766" spans="1:13" ht="20.100000000000001" customHeight="1" x14ac:dyDescent="0.25">
      <c r="A766" s="49">
        <v>759</v>
      </c>
      <c r="B766" s="55">
        <v>45377</v>
      </c>
      <c r="C766" s="36" t="str">
        <f>UPPER(TEXT(Dados_Cursos[[#This Row],[Data]],"mmm"))</f>
        <v>MAR</v>
      </c>
      <c r="D766" s="52" t="s">
        <v>2352</v>
      </c>
      <c r="E766" s="49" t="str">
        <f>VLOOKUP(Dados_Cursos[[#This Row],[ID]],Apoio!A759:H1759,2,0)</f>
        <v>manuel.rodrigues759@gmail.com</v>
      </c>
      <c r="F766" s="36" t="s">
        <v>875</v>
      </c>
      <c r="G766" s="36" t="s">
        <v>2666</v>
      </c>
      <c r="H766" s="38">
        <v>800</v>
      </c>
      <c r="I766" s="49">
        <v>4</v>
      </c>
      <c r="J766" s="49" t="str">
        <f>VLOOKUP(Dados_Cursos[[#This Row],[ID]],Apoio!A759:H1759,4,0)</f>
        <v>Cubango</v>
      </c>
      <c r="K766" s="37" t="s">
        <v>113</v>
      </c>
      <c r="L766" s="37" t="s">
        <v>111</v>
      </c>
      <c r="M766" s="53"/>
    </row>
    <row r="767" spans="1:13" ht="20.100000000000001" customHeight="1" x14ac:dyDescent="0.25">
      <c r="A767" s="49">
        <v>760</v>
      </c>
      <c r="B767" s="55">
        <v>45303</v>
      </c>
      <c r="C767" s="36" t="str">
        <f>UPPER(TEXT(Dados_Cursos[[#This Row],[Data]],"mmm"))</f>
        <v>JAN</v>
      </c>
      <c r="D767" s="52" t="s">
        <v>1931</v>
      </c>
      <c r="E767" s="49" t="str">
        <f>VLOOKUP(Dados_Cursos[[#This Row],[ID]],Apoio!A760:H1760,2,0)</f>
        <v>rosa.gomes760@gmail.com</v>
      </c>
      <c r="F767" s="36" t="s">
        <v>876</v>
      </c>
      <c r="G767" s="36" t="s">
        <v>2666</v>
      </c>
      <c r="H767" s="38">
        <v>1200</v>
      </c>
      <c r="I767" s="49">
        <v>15</v>
      </c>
      <c r="J767" s="49" t="str">
        <f>VLOOKUP(Dados_Cursos[[#This Row],[ID]],Apoio!A760:H1760,4,0)</f>
        <v>Luanda</v>
      </c>
      <c r="K767" s="37" t="s">
        <v>112</v>
      </c>
      <c r="L767" s="37" t="s">
        <v>109</v>
      </c>
      <c r="M767" s="53"/>
    </row>
    <row r="768" spans="1:13" ht="20.100000000000001" customHeight="1" x14ac:dyDescent="0.25">
      <c r="A768" s="49">
        <v>761</v>
      </c>
      <c r="B768" s="55">
        <v>45473</v>
      </c>
      <c r="C768" s="36" t="str">
        <f>UPPER(TEXT(Dados_Cursos[[#This Row],[Data]],"mmm"))</f>
        <v>JUN</v>
      </c>
      <c r="D768" s="52" t="s">
        <v>2355</v>
      </c>
      <c r="E768" s="49" t="str">
        <f>VLOOKUP(Dados_Cursos[[#This Row],[ID]],Apoio!A761:H1761,2,0)</f>
        <v>sofia.rodrigues761@gmail.com</v>
      </c>
      <c r="F768" s="36" t="s">
        <v>877</v>
      </c>
      <c r="G768" s="36" t="s">
        <v>2666</v>
      </c>
      <c r="H768" s="38">
        <v>800</v>
      </c>
      <c r="I768" s="49">
        <v>12</v>
      </c>
      <c r="J768" s="49" t="str">
        <f>VLOOKUP(Dados_Cursos[[#This Row],[ID]],Apoio!A761:H1761,4,0)</f>
        <v>Huíla</v>
      </c>
      <c r="K768" s="37" t="s">
        <v>113</v>
      </c>
      <c r="L768" s="37" t="s">
        <v>111</v>
      </c>
      <c r="M768" s="53"/>
    </row>
    <row r="769" spans="1:13" ht="20.100000000000001" customHeight="1" x14ac:dyDescent="0.25">
      <c r="A769" s="49">
        <v>762</v>
      </c>
      <c r="B769" s="55">
        <v>45604</v>
      </c>
      <c r="C769" s="36" t="str">
        <f>UPPER(TEXT(Dados_Cursos[[#This Row],[Data]],"mmm"))</f>
        <v>NOV</v>
      </c>
      <c r="D769" s="52" t="s">
        <v>1709</v>
      </c>
      <c r="E769" s="49" t="str">
        <f>VLOOKUP(Dados_Cursos[[#This Row],[ID]],Apoio!A762:H1762,2,0)</f>
        <v>isabel.fernandes762@gmail.com</v>
      </c>
      <c r="F769" s="36" t="s">
        <v>878</v>
      </c>
      <c r="G769" s="36" t="s">
        <v>2666</v>
      </c>
      <c r="H769" s="38">
        <v>800</v>
      </c>
      <c r="I769" s="49">
        <v>4</v>
      </c>
      <c r="J769" s="49" t="str">
        <f>VLOOKUP(Dados_Cursos[[#This Row],[ID]],Apoio!A762:H1762,4,0)</f>
        <v>Namibe</v>
      </c>
      <c r="K769" s="37" t="s">
        <v>113</v>
      </c>
      <c r="L769" s="37" t="s">
        <v>110</v>
      </c>
      <c r="M769" s="53"/>
    </row>
    <row r="770" spans="1:13" ht="20.100000000000001" customHeight="1" x14ac:dyDescent="0.25">
      <c r="A770" s="49">
        <v>763</v>
      </c>
      <c r="B770" s="55">
        <v>45499</v>
      </c>
      <c r="C770" s="36" t="str">
        <f>UPPER(TEXT(Dados_Cursos[[#This Row],[Data]],"mmm"))</f>
        <v>JUL</v>
      </c>
      <c r="D770" s="52" t="s">
        <v>1450</v>
      </c>
      <c r="E770" s="49" t="str">
        <f>VLOOKUP(Dados_Cursos[[#This Row],[ID]],Apoio!A763:H1763,2,0)</f>
        <v>luís.tavares763@gmail.com</v>
      </c>
      <c r="F770" s="36" t="s">
        <v>879</v>
      </c>
      <c r="G770" s="36" t="s">
        <v>2666</v>
      </c>
      <c r="H770" s="38">
        <v>800</v>
      </c>
      <c r="I770" s="49">
        <v>8</v>
      </c>
      <c r="J770" s="49" t="str">
        <f>VLOOKUP(Dados_Cursos[[#This Row],[ID]],Apoio!A763:H1763,4,0)</f>
        <v>Bengo</v>
      </c>
      <c r="K770" s="37" t="s">
        <v>113</v>
      </c>
      <c r="L770" s="37" t="s">
        <v>2649</v>
      </c>
      <c r="M770" s="53"/>
    </row>
    <row r="771" spans="1:13" ht="20.100000000000001" customHeight="1" x14ac:dyDescent="0.25">
      <c r="A771" s="49">
        <v>764</v>
      </c>
      <c r="B771" s="55">
        <v>45650</v>
      </c>
      <c r="C771" s="36" t="str">
        <f>UPPER(TEXT(Dados_Cursos[[#This Row],[Data]],"mmm"))</f>
        <v>DEZ</v>
      </c>
      <c r="D771" s="52" t="s">
        <v>1291</v>
      </c>
      <c r="E771" s="49" t="str">
        <f>VLOOKUP(Dados_Cursos[[#This Row],[ID]],Apoio!A764:H1764,2,0)</f>
        <v>adriano.soares764@gmail.com</v>
      </c>
      <c r="F771" s="36" t="s">
        <v>880</v>
      </c>
      <c r="G771" s="36" t="s">
        <v>2666</v>
      </c>
      <c r="H771" s="38">
        <v>1200</v>
      </c>
      <c r="I771" s="49">
        <v>14</v>
      </c>
      <c r="J771" s="49" t="str">
        <f>VLOOKUP(Dados_Cursos[[#This Row],[ID]],Apoio!A764:H1764,4,0)</f>
        <v>Moxico Leste</v>
      </c>
      <c r="K771" s="37" t="s">
        <v>112</v>
      </c>
      <c r="L771" s="37" t="s">
        <v>109</v>
      </c>
      <c r="M771" s="53"/>
    </row>
    <row r="772" spans="1:13" ht="20.100000000000001" customHeight="1" x14ac:dyDescent="0.25">
      <c r="A772" s="49">
        <v>765</v>
      </c>
      <c r="B772" s="55">
        <v>45485</v>
      </c>
      <c r="C772" s="36" t="str">
        <f>UPPER(TEXT(Dados_Cursos[[#This Row],[Data]],"mmm"))</f>
        <v>JUL</v>
      </c>
      <c r="D772" s="52" t="s">
        <v>1950</v>
      </c>
      <c r="E772" s="49" t="str">
        <f>VLOOKUP(Dados_Cursos[[#This Row],[ID]],Apoio!A765:H1765,2,0)</f>
        <v>francisco.lukeba765@gmail.com</v>
      </c>
      <c r="F772" s="36" t="s">
        <v>881</v>
      </c>
      <c r="G772" s="36" t="s">
        <v>2666</v>
      </c>
      <c r="H772" s="38">
        <v>1200</v>
      </c>
      <c r="I772" s="49">
        <v>9</v>
      </c>
      <c r="J772" s="49" t="str">
        <f>VLOOKUP(Dados_Cursos[[#This Row],[ID]],Apoio!A765:H1765,4,0)</f>
        <v>Uíge</v>
      </c>
      <c r="K772" s="37" t="s">
        <v>113</v>
      </c>
      <c r="L772" s="37" t="s">
        <v>2649</v>
      </c>
      <c r="M772" s="53"/>
    </row>
    <row r="773" spans="1:13" ht="20.100000000000001" customHeight="1" x14ac:dyDescent="0.25">
      <c r="A773" s="49">
        <v>766</v>
      </c>
      <c r="B773" s="55">
        <v>45536</v>
      </c>
      <c r="C773" s="36" t="str">
        <f>UPPER(TEXT(Dados_Cursos[[#This Row],[Data]],"mmm"))</f>
        <v>SET</v>
      </c>
      <c r="D773" s="52" t="s">
        <v>1169</v>
      </c>
      <c r="E773" s="49" t="str">
        <f>VLOOKUP(Dados_Cursos[[#This Row],[ID]],Apoio!A766:H1766,2,0)</f>
        <v>pedro.lopes766@gmail.com</v>
      </c>
      <c r="F773" s="36" t="s">
        <v>882</v>
      </c>
      <c r="G773" s="36" t="s">
        <v>2665</v>
      </c>
      <c r="H773" s="38">
        <v>1500</v>
      </c>
      <c r="I773" s="49">
        <v>18</v>
      </c>
      <c r="J773" s="49" t="str">
        <f>VLOOKUP(Dados_Cursos[[#This Row],[ID]],Apoio!A766:H1766,4,0)</f>
        <v>Bié</v>
      </c>
      <c r="K773" s="37" t="s">
        <v>113</v>
      </c>
      <c r="L773" s="37" t="s">
        <v>2649</v>
      </c>
      <c r="M773" s="53"/>
    </row>
    <row r="774" spans="1:13" ht="20.100000000000001" customHeight="1" x14ac:dyDescent="0.25">
      <c r="A774" s="49">
        <v>767</v>
      </c>
      <c r="B774" s="55">
        <v>45543</v>
      </c>
      <c r="C774" s="36" t="str">
        <f>UPPER(TEXT(Dados_Cursos[[#This Row],[Data]],"mmm"))</f>
        <v>SET</v>
      </c>
      <c r="D774" s="52" t="s">
        <v>1159</v>
      </c>
      <c r="E774" s="49" t="str">
        <f>VLOOKUP(Dados_Cursos[[#This Row],[ID]],Apoio!A767:H1767,2,0)</f>
        <v>antónio.fernandes767@gmail.com</v>
      </c>
      <c r="F774" s="36" t="s">
        <v>883</v>
      </c>
      <c r="G774" s="36" t="s">
        <v>2666</v>
      </c>
      <c r="H774" s="38">
        <v>800</v>
      </c>
      <c r="I774" s="49">
        <v>8</v>
      </c>
      <c r="J774" s="49" t="str">
        <f>VLOOKUP(Dados_Cursos[[#This Row],[ID]],Apoio!A767:H1767,4,0)</f>
        <v>Moxico</v>
      </c>
      <c r="K774" s="37" t="s">
        <v>112</v>
      </c>
      <c r="L774" s="37" t="s">
        <v>109</v>
      </c>
      <c r="M774" s="53"/>
    </row>
    <row r="775" spans="1:13" ht="20.100000000000001" customHeight="1" x14ac:dyDescent="0.25">
      <c r="A775" s="49">
        <v>768</v>
      </c>
      <c r="B775" s="55">
        <v>45621</v>
      </c>
      <c r="C775" s="36" t="str">
        <f>UPPER(TEXT(Dados_Cursos[[#This Row],[Data]],"mmm"))</f>
        <v>NOV</v>
      </c>
      <c r="D775" s="52" t="s">
        <v>1792</v>
      </c>
      <c r="E775" s="49" t="str">
        <f>VLOOKUP(Dados_Cursos[[#This Row],[ID]],Apoio!A768:H1768,2,0)</f>
        <v>antónio.monteiro768@gmail.com</v>
      </c>
      <c r="F775" s="36" t="s">
        <v>884</v>
      </c>
      <c r="G775" s="36" t="s">
        <v>2666</v>
      </c>
      <c r="H775" s="38">
        <v>800</v>
      </c>
      <c r="I775" s="49">
        <v>12</v>
      </c>
      <c r="J775" s="49" t="str">
        <f>VLOOKUP(Dados_Cursos[[#This Row],[ID]],Apoio!A768:H1768,4,0)</f>
        <v>Cunene</v>
      </c>
      <c r="K775" s="37" t="s">
        <v>113</v>
      </c>
      <c r="L775" s="37" t="s">
        <v>2649</v>
      </c>
      <c r="M775" s="53"/>
    </row>
    <row r="776" spans="1:13" ht="20.100000000000001" customHeight="1" x14ac:dyDescent="0.25">
      <c r="A776" s="49">
        <v>769</v>
      </c>
      <c r="B776" s="55">
        <v>45355</v>
      </c>
      <c r="C776" s="36" t="str">
        <f>UPPER(TEXT(Dados_Cursos[[#This Row],[Data]],"mmm"))</f>
        <v>MAR</v>
      </c>
      <c r="D776" s="52" t="s">
        <v>1580</v>
      </c>
      <c r="E776" s="49" t="str">
        <f>VLOOKUP(Dados_Cursos[[#This Row],[ID]],Apoio!A769:H1769,2,0)</f>
        <v>mateus.silva769@gmail.com</v>
      </c>
      <c r="F776" s="36" t="s">
        <v>885</v>
      </c>
      <c r="G776" s="36" t="s">
        <v>2665</v>
      </c>
      <c r="H776" s="38">
        <v>1500</v>
      </c>
      <c r="I776" s="49">
        <v>1</v>
      </c>
      <c r="J776" s="49" t="str">
        <f>VLOOKUP(Dados_Cursos[[#This Row],[ID]],Apoio!A769:H1769,4,0)</f>
        <v>Luanda</v>
      </c>
      <c r="K776" s="37" t="s">
        <v>113</v>
      </c>
      <c r="L776" s="37" t="s">
        <v>2649</v>
      </c>
      <c r="M776" s="53"/>
    </row>
    <row r="777" spans="1:13" ht="20.100000000000001" customHeight="1" x14ac:dyDescent="0.25">
      <c r="A777" s="49">
        <v>770</v>
      </c>
      <c r="B777" s="55">
        <v>45335</v>
      </c>
      <c r="C777" s="36" t="str">
        <f>UPPER(TEXT(Dados_Cursos[[#This Row],[Data]],"mmm"))</f>
        <v>FEV</v>
      </c>
      <c r="D777" s="52" t="s">
        <v>1719</v>
      </c>
      <c r="E777" s="49" t="str">
        <f>VLOOKUP(Dados_Cursos[[#This Row],[ID]],Apoio!A770:H1770,2,0)</f>
        <v>samuel.santos770@gmail.com</v>
      </c>
      <c r="F777" s="36" t="s">
        <v>886</v>
      </c>
      <c r="G777" s="36" t="s">
        <v>2666</v>
      </c>
      <c r="H777" s="38">
        <v>1200</v>
      </c>
      <c r="I777" s="49">
        <v>8</v>
      </c>
      <c r="J777" s="49" t="str">
        <f>VLOOKUP(Dados_Cursos[[#This Row],[ID]],Apoio!A770:H1770,4,0)</f>
        <v>Namibe</v>
      </c>
      <c r="K777" s="37" t="s">
        <v>113</v>
      </c>
      <c r="L777" s="37" t="s">
        <v>111</v>
      </c>
      <c r="M777" s="53"/>
    </row>
    <row r="778" spans="1:13" ht="20.100000000000001" customHeight="1" x14ac:dyDescent="0.25">
      <c r="A778" s="49">
        <v>771</v>
      </c>
      <c r="B778" s="55">
        <v>45540</v>
      </c>
      <c r="C778" s="36" t="str">
        <f>UPPER(TEXT(Dados_Cursos[[#This Row],[Data]],"mmm"))</f>
        <v>SET</v>
      </c>
      <c r="D778" s="52" t="s">
        <v>1692</v>
      </c>
      <c r="E778" s="49" t="str">
        <f>VLOOKUP(Dados_Cursos[[#This Row],[ID]],Apoio!A771:H1771,2,0)</f>
        <v>joão.fernandes771@gmail.com</v>
      </c>
      <c r="F778" s="36" t="s">
        <v>887</v>
      </c>
      <c r="G778" s="36" t="s">
        <v>2665</v>
      </c>
      <c r="H778" s="38">
        <v>1500</v>
      </c>
      <c r="I778" s="49">
        <v>20</v>
      </c>
      <c r="J778" s="49" t="str">
        <f>VLOOKUP(Dados_Cursos[[#This Row],[ID]],Apoio!A771:H1771,4,0)</f>
        <v>Cuanza Sul</v>
      </c>
      <c r="K778" s="37" t="s">
        <v>113</v>
      </c>
      <c r="L778" s="37" t="s">
        <v>2649</v>
      </c>
      <c r="M778" s="53"/>
    </row>
    <row r="779" spans="1:13" ht="20.100000000000001" customHeight="1" x14ac:dyDescent="0.25">
      <c r="A779" s="49">
        <v>772</v>
      </c>
      <c r="B779" s="55">
        <v>45397</v>
      </c>
      <c r="C779" s="36" t="str">
        <f>UPPER(TEXT(Dados_Cursos[[#This Row],[Data]],"mmm"))</f>
        <v>ABR</v>
      </c>
      <c r="D779" s="52" t="s">
        <v>2367</v>
      </c>
      <c r="E779" s="49" t="str">
        <f>VLOOKUP(Dados_Cursos[[#This Row],[ID]],Apoio!A772:H1772,2,0)</f>
        <v>bruno.tavares772@gmail.com</v>
      </c>
      <c r="F779" s="36" t="s">
        <v>888</v>
      </c>
      <c r="G779" s="36" t="s">
        <v>2666</v>
      </c>
      <c r="H779" s="38">
        <v>1200</v>
      </c>
      <c r="I779" s="49">
        <v>20</v>
      </c>
      <c r="J779" s="49" t="str">
        <f>VLOOKUP(Dados_Cursos[[#This Row],[ID]],Apoio!A772:H1772,4,0)</f>
        <v>Benguela</v>
      </c>
      <c r="K779" s="37" t="s">
        <v>113</v>
      </c>
      <c r="L779" s="37" t="s">
        <v>110</v>
      </c>
      <c r="M779" s="53"/>
    </row>
    <row r="780" spans="1:13" ht="20.100000000000001" customHeight="1" x14ac:dyDescent="0.25">
      <c r="A780" s="49">
        <v>773</v>
      </c>
      <c r="B780" s="55">
        <v>45424</v>
      </c>
      <c r="C780" s="36" t="str">
        <f>UPPER(TEXT(Dados_Cursos[[#This Row],[Data]],"mmm"))</f>
        <v>MAI</v>
      </c>
      <c r="D780" s="52" t="s">
        <v>2369</v>
      </c>
      <c r="E780" s="49" t="str">
        <f>VLOOKUP(Dados_Cursos[[#This Row],[ID]],Apoio!A773:H1773,2,0)</f>
        <v>teresa.pinto773@gmail.com</v>
      </c>
      <c r="F780" s="36" t="s">
        <v>889</v>
      </c>
      <c r="G780" s="36" t="s">
        <v>2666</v>
      </c>
      <c r="H780" s="38">
        <v>1200</v>
      </c>
      <c r="I780" s="49">
        <v>12</v>
      </c>
      <c r="J780" s="49" t="str">
        <f>VLOOKUP(Dados_Cursos[[#This Row],[ID]],Apoio!A773:H1773,4,0)</f>
        <v>Cuanza Sul</v>
      </c>
      <c r="K780" s="37" t="s">
        <v>113</v>
      </c>
      <c r="L780" s="37" t="s">
        <v>110</v>
      </c>
      <c r="M780" s="53"/>
    </row>
    <row r="781" spans="1:13" ht="20.100000000000001" customHeight="1" x14ac:dyDescent="0.25">
      <c r="A781" s="49">
        <v>774</v>
      </c>
      <c r="B781" s="55">
        <v>45505</v>
      </c>
      <c r="C781" s="36" t="str">
        <f>UPPER(TEXT(Dados_Cursos[[#This Row],[Data]],"mmm"))</f>
        <v>AGO</v>
      </c>
      <c r="D781" s="52" t="s">
        <v>2318</v>
      </c>
      <c r="E781" s="49" t="str">
        <f>VLOOKUP(Dados_Cursos[[#This Row],[ID]],Apoio!A774:H1774,2,0)</f>
        <v>marta.barbosa774@gmail.com</v>
      </c>
      <c r="F781" s="36" t="s">
        <v>890</v>
      </c>
      <c r="G781" s="36" t="s">
        <v>2666</v>
      </c>
      <c r="H781" s="38">
        <v>800</v>
      </c>
      <c r="I781" s="49">
        <v>10</v>
      </c>
      <c r="J781" s="49" t="str">
        <f>VLOOKUP(Dados_Cursos[[#This Row],[ID]],Apoio!A774:H1774,4,0)</f>
        <v>Luanda</v>
      </c>
      <c r="K781" s="37" t="s">
        <v>113</v>
      </c>
      <c r="L781" s="37" t="s">
        <v>110</v>
      </c>
      <c r="M781" s="53"/>
    </row>
    <row r="782" spans="1:13" ht="20.100000000000001" customHeight="1" x14ac:dyDescent="0.25">
      <c r="A782" s="49">
        <v>775</v>
      </c>
      <c r="B782" s="55">
        <v>45640</v>
      </c>
      <c r="C782" s="36" t="str">
        <f>UPPER(TEXT(Dados_Cursos[[#This Row],[Data]],"mmm"))</f>
        <v>DEZ</v>
      </c>
      <c r="D782" s="52" t="s">
        <v>1293</v>
      </c>
      <c r="E782" s="49" t="str">
        <f>VLOOKUP(Dados_Cursos[[#This Row],[ID]],Apoio!A775:H1775,2,0)</f>
        <v>cláudia.costa775@gmail.com</v>
      </c>
      <c r="F782" s="36" t="s">
        <v>891</v>
      </c>
      <c r="G782" s="36" t="s">
        <v>2666</v>
      </c>
      <c r="H782" s="38">
        <v>800</v>
      </c>
      <c r="I782" s="49">
        <v>15</v>
      </c>
      <c r="J782" s="49" t="str">
        <f>VLOOKUP(Dados_Cursos[[#This Row],[ID]],Apoio!A775:H1775,4,0)</f>
        <v>Lunda Sul</v>
      </c>
      <c r="K782" s="37" t="s">
        <v>113</v>
      </c>
      <c r="L782" s="37" t="s">
        <v>2649</v>
      </c>
      <c r="M782" s="53"/>
    </row>
    <row r="783" spans="1:13" ht="20.100000000000001" customHeight="1" x14ac:dyDescent="0.25">
      <c r="A783" s="49">
        <v>776</v>
      </c>
      <c r="B783" s="55">
        <v>45345</v>
      </c>
      <c r="C783" s="36" t="str">
        <f>UPPER(TEXT(Dados_Cursos[[#This Row],[Data]],"mmm"))</f>
        <v>FEV</v>
      </c>
      <c r="D783" s="52" t="s">
        <v>2053</v>
      </c>
      <c r="E783" s="49" t="str">
        <f>VLOOKUP(Dados_Cursos[[#This Row],[ID]],Apoio!A776:H1776,2,0)</f>
        <v>pedro.santos776@gmail.com</v>
      </c>
      <c r="F783" s="36" t="s">
        <v>892</v>
      </c>
      <c r="G783" s="36" t="s">
        <v>2666</v>
      </c>
      <c r="H783" s="38">
        <v>800</v>
      </c>
      <c r="I783" s="49">
        <v>20</v>
      </c>
      <c r="J783" s="49" t="str">
        <f>VLOOKUP(Dados_Cursos[[#This Row],[ID]],Apoio!A776:H1776,4,0)</f>
        <v>Huambo</v>
      </c>
      <c r="K783" s="37" t="s">
        <v>113</v>
      </c>
      <c r="L783" s="37" t="s">
        <v>110</v>
      </c>
      <c r="M783" s="53"/>
    </row>
    <row r="784" spans="1:13" ht="20.100000000000001" customHeight="1" x14ac:dyDescent="0.25">
      <c r="A784" s="49">
        <v>777</v>
      </c>
      <c r="B784" s="55">
        <v>45393</v>
      </c>
      <c r="C784" s="36" t="str">
        <f>UPPER(TEXT(Dados_Cursos[[#This Row],[Data]],"mmm"))</f>
        <v>ABR</v>
      </c>
      <c r="D784" s="52" t="s">
        <v>1399</v>
      </c>
      <c r="E784" s="49" t="str">
        <f>VLOOKUP(Dados_Cursos[[#This Row],[ID]],Apoio!A777:H1777,2,0)</f>
        <v>luís.andrade777@gmail.com</v>
      </c>
      <c r="F784" s="36" t="s">
        <v>893</v>
      </c>
      <c r="G784" s="36" t="s">
        <v>2665</v>
      </c>
      <c r="H784" s="38">
        <v>1500</v>
      </c>
      <c r="I784" s="49">
        <v>10</v>
      </c>
      <c r="J784" s="49" t="str">
        <f>VLOOKUP(Dados_Cursos[[#This Row],[ID]],Apoio!A777:H1777,4,0)</f>
        <v>Cuanza Norte</v>
      </c>
      <c r="K784" s="37" t="s">
        <v>113</v>
      </c>
      <c r="L784" s="37" t="s">
        <v>111</v>
      </c>
      <c r="M784" s="53"/>
    </row>
    <row r="785" spans="1:13" ht="20.100000000000001" customHeight="1" x14ac:dyDescent="0.25">
      <c r="A785" s="49">
        <v>778</v>
      </c>
      <c r="B785" s="55">
        <v>45574</v>
      </c>
      <c r="C785" s="36" t="str">
        <f>UPPER(TEXT(Dados_Cursos[[#This Row],[Data]],"mmm"))</f>
        <v>OUT</v>
      </c>
      <c r="D785" s="52" t="s">
        <v>2083</v>
      </c>
      <c r="E785" s="49" t="str">
        <f>VLOOKUP(Dados_Cursos[[#This Row],[ID]],Apoio!A778:H1778,2,0)</f>
        <v>joão.andrade778@gmail.com</v>
      </c>
      <c r="F785" s="36" t="s">
        <v>894</v>
      </c>
      <c r="G785" s="36" t="s">
        <v>2666</v>
      </c>
      <c r="H785" s="38">
        <v>1200</v>
      </c>
      <c r="I785" s="49">
        <v>12</v>
      </c>
      <c r="J785" s="49" t="str">
        <f>VLOOKUP(Dados_Cursos[[#This Row],[ID]],Apoio!A778:H1778,4,0)</f>
        <v>Benguela</v>
      </c>
      <c r="K785" s="37" t="s">
        <v>113</v>
      </c>
      <c r="L785" s="37" t="s">
        <v>2649</v>
      </c>
      <c r="M785" s="53"/>
    </row>
    <row r="786" spans="1:13" ht="20.100000000000001" customHeight="1" x14ac:dyDescent="0.25">
      <c r="A786" s="49">
        <v>779</v>
      </c>
      <c r="B786" s="55">
        <v>45617</v>
      </c>
      <c r="C786" s="36" t="str">
        <f>UPPER(TEXT(Dados_Cursos[[#This Row],[Data]],"mmm"))</f>
        <v>NOV</v>
      </c>
      <c r="D786" s="52" t="s">
        <v>1608</v>
      </c>
      <c r="E786" s="49" t="str">
        <f>VLOOKUP(Dados_Cursos[[#This Row],[ID]],Apoio!A779:H1779,2,0)</f>
        <v>ana.domingues779@gmail.com</v>
      </c>
      <c r="F786" s="36" t="s">
        <v>895</v>
      </c>
      <c r="G786" s="36" t="s">
        <v>2666</v>
      </c>
      <c r="H786" s="38">
        <v>800</v>
      </c>
      <c r="I786" s="49">
        <v>1</v>
      </c>
      <c r="J786" s="49" t="str">
        <f>VLOOKUP(Dados_Cursos[[#This Row],[ID]],Apoio!A779:H1779,4,0)</f>
        <v>Uíge</v>
      </c>
      <c r="K786" s="37" t="s">
        <v>113</v>
      </c>
      <c r="L786" s="37" t="s">
        <v>110</v>
      </c>
      <c r="M786" s="53"/>
    </row>
    <row r="787" spans="1:13" ht="20.100000000000001" customHeight="1" x14ac:dyDescent="0.25">
      <c r="A787" s="49">
        <v>780</v>
      </c>
      <c r="B787" s="55">
        <v>45357</v>
      </c>
      <c r="C787" s="36" t="str">
        <f>UPPER(TEXT(Dados_Cursos[[#This Row],[Data]],"mmm"))</f>
        <v>MAR</v>
      </c>
      <c r="D787" s="52" t="s">
        <v>1960</v>
      </c>
      <c r="E787" s="49" t="str">
        <f>VLOOKUP(Dados_Cursos[[#This Row],[ID]],Apoio!A780:H1780,2,0)</f>
        <v>adriano.david780@gmail.com</v>
      </c>
      <c r="F787" s="36" t="s">
        <v>896</v>
      </c>
      <c r="G787" s="36" t="s">
        <v>2666</v>
      </c>
      <c r="H787" s="38">
        <v>800</v>
      </c>
      <c r="I787" s="49">
        <v>17</v>
      </c>
      <c r="J787" s="49" t="str">
        <f>VLOOKUP(Dados_Cursos[[#This Row],[ID]],Apoio!A780:H1780,4,0)</f>
        <v>Moxico</v>
      </c>
      <c r="K787" s="37" t="s">
        <v>113</v>
      </c>
      <c r="L787" s="37" t="s">
        <v>111</v>
      </c>
      <c r="M787" s="53"/>
    </row>
    <row r="788" spans="1:13" ht="20.100000000000001" customHeight="1" x14ac:dyDescent="0.25">
      <c r="A788" s="49">
        <v>781</v>
      </c>
      <c r="B788" s="55">
        <v>45517</v>
      </c>
      <c r="C788" s="36" t="str">
        <f>UPPER(TEXT(Dados_Cursos[[#This Row],[Data]],"mmm"))</f>
        <v>AGO</v>
      </c>
      <c r="D788" s="52" t="s">
        <v>2378</v>
      </c>
      <c r="E788" s="49" t="str">
        <f>VLOOKUP(Dados_Cursos[[#This Row],[ID]],Apoio!A781:H1781,2,0)</f>
        <v>fátima.miguel781@gmail.com</v>
      </c>
      <c r="F788" s="36" t="s">
        <v>897</v>
      </c>
      <c r="G788" s="36" t="s">
        <v>2666</v>
      </c>
      <c r="H788" s="38">
        <v>800</v>
      </c>
      <c r="I788" s="49">
        <v>18</v>
      </c>
      <c r="J788" s="49" t="str">
        <f>VLOOKUP(Dados_Cursos[[#This Row],[ID]],Apoio!A781:H1781,4,0)</f>
        <v>Cuando</v>
      </c>
      <c r="K788" s="37" t="s">
        <v>113</v>
      </c>
      <c r="L788" s="37" t="s">
        <v>110</v>
      </c>
      <c r="M788" s="53"/>
    </row>
    <row r="789" spans="1:13" ht="20.100000000000001" customHeight="1" x14ac:dyDescent="0.25">
      <c r="A789" s="49">
        <v>782</v>
      </c>
      <c r="B789" s="55">
        <v>45432</v>
      </c>
      <c r="C789" s="36" t="str">
        <f>UPPER(TEXT(Dados_Cursos[[#This Row],[Data]],"mmm"))</f>
        <v>MAI</v>
      </c>
      <c r="D789" s="52" t="s">
        <v>2179</v>
      </c>
      <c r="E789" s="49" t="str">
        <f>VLOOKUP(Dados_Cursos[[#This Row],[ID]],Apoio!A782:H1782,2,0)</f>
        <v>maria.rodrigues782@gmail.com</v>
      </c>
      <c r="F789" s="36" t="s">
        <v>898</v>
      </c>
      <c r="G789" s="36" t="s">
        <v>2665</v>
      </c>
      <c r="H789" s="38">
        <v>1500</v>
      </c>
      <c r="I789" s="49">
        <v>2</v>
      </c>
      <c r="J789" s="49" t="str">
        <f>VLOOKUP(Dados_Cursos[[#This Row],[ID]],Apoio!A782:H1782,4,0)</f>
        <v>Icolo e Bengo</v>
      </c>
      <c r="K789" s="37" t="s">
        <v>112</v>
      </c>
      <c r="L789" s="37" t="s">
        <v>109</v>
      </c>
      <c r="M789" s="53"/>
    </row>
    <row r="790" spans="1:13" ht="20.100000000000001" customHeight="1" x14ac:dyDescent="0.25">
      <c r="A790" s="49">
        <v>783</v>
      </c>
      <c r="B790" s="55">
        <v>45411</v>
      </c>
      <c r="C790" s="36" t="str">
        <f>UPPER(TEXT(Dados_Cursos[[#This Row],[Data]],"mmm"))</f>
        <v>ABR</v>
      </c>
      <c r="D790" s="52" t="s">
        <v>1172</v>
      </c>
      <c r="E790" s="49" t="str">
        <f>VLOOKUP(Dados_Cursos[[#This Row],[ID]],Apoio!A783:H1783,2,0)</f>
        <v>marta.miguel783@gmail.com</v>
      </c>
      <c r="F790" s="36" t="s">
        <v>899</v>
      </c>
      <c r="G790" s="36" t="s">
        <v>2666</v>
      </c>
      <c r="H790" s="38">
        <v>800</v>
      </c>
      <c r="I790" s="49">
        <v>2</v>
      </c>
      <c r="J790" s="49" t="str">
        <f>VLOOKUP(Dados_Cursos[[#This Row],[ID]],Apoio!A783:H1783,4,0)</f>
        <v>Moxico</v>
      </c>
      <c r="K790" s="37" t="s">
        <v>113</v>
      </c>
      <c r="L790" s="37" t="s">
        <v>110</v>
      </c>
      <c r="M790" s="53"/>
    </row>
    <row r="791" spans="1:13" ht="20.100000000000001" customHeight="1" x14ac:dyDescent="0.25">
      <c r="A791" s="49">
        <v>784</v>
      </c>
      <c r="B791" s="55">
        <v>45518</v>
      </c>
      <c r="C791" s="36" t="str">
        <f>UPPER(TEXT(Dados_Cursos[[#This Row],[Data]],"mmm"))</f>
        <v>AGO</v>
      </c>
      <c r="D791" s="52" t="s">
        <v>1960</v>
      </c>
      <c r="E791" s="49" t="str">
        <f>VLOOKUP(Dados_Cursos[[#This Row],[ID]],Apoio!A784:H1784,2,0)</f>
        <v>adriano.david784@gmail.com</v>
      </c>
      <c r="F791" s="36" t="s">
        <v>900</v>
      </c>
      <c r="G791" s="36" t="s">
        <v>2665</v>
      </c>
      <c r="H791" s="38">
        <v>1500</v>
      </c>
      <c r="I791" s="49">
        <v>5</v>
      </c>
      <c r="J791" s="49" t="str">
        <f>VLOOKUP(Dados_Cursos[[#This Row],[ID]],Apoio!A784:H1784,4,0)</f>
        <v>Zaire</v>
      </c>
      <c r="K791" s="37" t="s">
        <v>113</v>
      </c>
      <c r="L791" s="37" t="s">
        <v>110</v>
      </c>
      <c r="M791" s="53"/>
    </row>
    <row r="792" spans="1:13" ht="20.100000000000001" customHeight="1" x14ac:dyDescent="0.25">
      <c r="A792" s="49">
        <v>785</v>
      </c>
      <c r="B792" s="55">
        <v>45465</v>
      </c>
      <c r="C792" s="36" t="str">
        <f>UPPER(TEXT(Dados_Cursos[[#This Row],[Data]],"mmm"))</f>
        <v>JUN</v>
      </c>
      <c r="D792" s="52" t="s">
        <v>1725</v>
      </c>
      <c r="E792" s="49" t="str">
        <f>VLOOKUP(Dados_Cursos[[#This Row],[ID]],Apoio!A785:H1785,2,0)</f>
        <v>fátima.andrade785@gmail.com</v>
      </c>
      <c r="F792" s="36" t="s">
        <v>901</v>
      </c>
      <c r="G792" s="36" t="s">
        <v>2665</v>
      </c>
      <c r="H792" s="38">
        <v>1500</v>
      </c>
      <c r="I792" s="49">
        <v>10</v>
      </c>
      <c r="J792" s="49" t="str">
        <f>VLOOKUP(Dados_Cursos[[#This Row],[ID]],Apoio!A785:H1785,4,0)</f>
        <v>Namibe</v>
      </c>
      <c r="K792" s="37" t="s">
        <v>113</v>
      </c>
      <c r="L792" s="37" t="s">
        <v>110</v>
      </c>
      <c r="M792" s="53"/>
    </row>
    <row r="793" spans="1:13" ht="20.100000000000001" customHeight="1" x14ac:dyDescent="0.25">
      <c r="A793" s="49">
        <v>786</v>
      </c>
      <c r="B793" s="55">
        <v>45504</v>
      </c>
      <c r="C793" s="36" t="str">
        <f>UPPER(TEXT(Dados_Cursos[[#This Row],[Data]],"mmm"))</f>
        <v>JUL</v>
      </c>
      <c r="D793" s="52" t="s">
        <v>2384</v>
      </c>
      <c r="E793" s="49" t="str">
        <f>VLOOKUP(Dados_Cursos[[#This Row],[ID]],Apoio!A786:H1786,2,0)</f>
        <v>nelson.pereira786@gmail.com</v>
      </c>
      <c r="F793" s="36" t="s">
        <v>902</v>
      </c>
      <c r="G793" s="36" t="s">
        <v>2665</v>
      </c>
      <c r="H793" s="38">
        <v>1500</v>
      </c>
      <c r="I793" s="49">
        <v>11</v>
      </c>
      <c r="J793" s="49" t="str">
        <f>VLOOKUP(Dados_Cursos[[#This Row],[ID]],Apoio!A786:H1786,4,0)</f>
        <v>Uíge</v>
      </c>
      <c r="K793" s="37" t="s">
        <v>112</v>
      </c>
      <c r="L793" s="37" t="s">
        <v>109</v>
      </c>
      <c r="M793" s="53"/>
    </row>
    <row r="794" spans="1:13" ht="20.100000000000001" customHeight="1" x14ac:dyDescent="0.25">
      <c r="A794" s="49">
        <v>787</v>
      </c>
      <c r="B794" s="55">
        <v>45608</v>
      </c>
      <c r="C794" s="36" t="str">
        <f>UPPER(TEXT(Dados_Cursos[[#This Row],[Data]],"mmm"))</f>
        <v>NOV</v>
      </c>
      <c r="D794" s="52" t="s">
        <v>1408</v>
      </c>
      <c r="E794" s="49" t="str">
        <f>VLOOKUP(Dados_Cursos[[#This Row],[ID]],Apoio!A787:H1787,2,0)</f>
        <v>david.martins787@gmail.com</v>
      </c>
      <c r="F794" s="36" t="s">
        <v>903</v>
      </c>
      <c r="G794" s="36" t="s">
        <v>2666</v>
      </c>
      <c r="H794" s="38">
        <v>1200</v>
      </c>
      <c r="I794" s="49">
        <v>15</v>
      </c>
      <c r="J794" s="49" t="str">
        <f>VLOOKUP(Dados_Cursos[[#This Row],[ID]],Apoio!A787:H1787,4,0)</f>
        <v>Moxico</v>
      </c>
      <c r="K794" s="37" t="s">
        <v>113</v>
      </c>
      <c r="L794" s="37" t="s">
        <v>2649</v>
      </c>
      <c r="M794" s="53"/>
    </row>
    <row r="795" spans="1:13" ht="20.100000000000001" customHeight="1" x14ac:dyDescent="0.25">
      <c r="A795" s="49">
        <v>788</v>
      </c>
      <c r="B795" s="55">
        <v>45558</v>
      </c>
      <c r="C795" s="36" t="str">
        <f>UPPER(TEXT(Dados_Cursos[[#This Row],[Data]],"mmm"))</f>
        <v>SET</v>
      </c>
      <c r="D795" s="52" t="s">
        <v>2057</v>
      </c>
      <c r="E795" s="49" t="str">
        <f>VLOOKUP(Dados_Cursos[[#This Row],[ID]],Apoio!A788:H1788,2,0)</f>
        <v>josé.pereira788@gmail.com</v>
      </c>
      <c r="F795" s="36" t="s">
        <v>904</v>
      </c>
      <c r="G795" s="36" t="s">
        <v>2666</v>
      </c>
      <c r="H795" s="38">
        <v>1200</v>
      </c>
      <c r="I795" s="49">
        <v>17</v>
      </c>
      <c r="J795" s="49" t="str">
        <f>VLOOKUP(Dados_Cursos[[#This Row],[ID]],Apoio!A788:H1788,4,0)</f>
        <v>Cuanza Norte</v>
      </c>
      <c r="K795" s="37" t="s">
        <v>113</v>
      </c>
      <c r="L795" s="37" t="s">
        <v>111</v>
      </c>
      <c r="M795" s="53"/>
    </row>
    <row r="796" spans="1:13" ht="20.100000000000001" customHeight="1" x14ac:dyDescent="0.25">
      <c r="A796" s="49">
        <v>789</v>
      </c>
      <c r="B796" s="55">
        <v>45432</v>
      </c>
      <c r="C796" s="36" t="str">
        <f>UPPER(TEXT(Dados_Cursos[[#This Row],[Data]],"mmm"))</f>
        <v>MAI</v>
      </c>
      <c r="D796" s="52" t="s">
        <v>2046</v>
      </c>
      <c r="E796" s="49" t="str">
        <f>VLOOKUP(Dados_Cursos[[#This Row],[ID]],Apoio!A789:H1789,2,0)</f>
        <v>luís.lukeba789@gmail.com</v>
      </c>
      <c r="F796" s="36" t="s">
        <v>905</v>
      </c>
      <c r="G796" s="36" t="s">
        <v>2666</v>
      </c>
      <c r="H796" s="38">
        <v>800</v>
      </c>
      <c r="I796" s="49">
        <v>7</v>
      </c>
      <c r="J796" s="49" t="str">
        <f>VLOOKUP(Dados_Cursos[[#This Row],[ID]],Apoio!A789:H1789,4,0)</f>
        <v>Cuando</v>
      </c>
      <c r="K796" s="37" t="s">
        <v>113</v>
      </c>
      <c r="L796" s="37" t="s">
        <v>2649</v>
      </c>
      <c r="M796" s="53"/>
    </row>
    <row r="797" spans="1:13" ht="20.100000000000001" customHeight="1" x14ac:dyDescent="0.25">
      <c r="A797" s="49">
        <v>790</v>
      </c>
      <c r="B797" s="55">
        <v>45343</v>
      </c>
      <c r="C797" s="36" t="str">
        <f>UPPER(TEXT(Dados_Cursos[[#This Row],[Data]],"mmm"))</f>
        <v>FEV</v>
      </c>
      <c r="D797" s="52" t="s">
        <v>1289</v>
      </c>
      <c r="E797" s="49" t="str">
        <f>VLOOKUP(Dados_Cursos[[#This Row],[ID]],Apoio!A790:H1790,2,0)</f>
        <v>isabel.david790@gmail.com</v>
      </c>
      <c r="F797" s="36" t="s">
        <v>906</v>
      </c>
      <c r="G797" s="36" t="s">
        <v>2666</v>
      </c>
      <c r="H797" s="38">
        <v>1200</v>
      </c>
      <c r="I797" s="49">
        <v>19</v>
      </c>
      <c r="J797" s="49" t="str">
        <f>VLOOKUP(Dados_Cursos[[#This Row],[ID]],Apoio!A790:H1790,4,0)</f>
        <v>Lunda Sul</v>
      </c>
      <c r="K797" s="37" t="s">
        <v>113</v>
      </c>
      <c r="L797" s="37" t="s">
        <v>111</v>
      </c>
      <c r="M797" s="53"/>
    </row>
    <row r="798" spans="1:13" ht="20.100000000000001" customHeight="1" x14ac:dyDescent="0.25">
      <c r="A798" s="49">
        <v>791</v>
      </c>
      <c r="B798" s="55">
        <v>45636</v>
      </c>
      <c r="C798" s="36" t="str">
        <f>UPPER(TEXT(Dados_Cursos[[#This Row],[Data]],"mmm"))</f>
        <v>DEZ</v>
      </c>
      <c r="D798" s="52" t="s">
        <v>2390</v>
      </c>
      <c r="E798" s="49" t="str">
        <f>VLOOKUP(Dados_Cursos[[#This Row],[ID]],Apoio!A791:H1791,2,0)</f>
        <v>manuel.tavares791@gmail.com</v>
      </c>
      <c r="F798" s="36" t="s">
        <v>907</v>
      </c>
      <c r="G798" s="36" t="s">
        <v>2666</v>
      </c>
      <c r="H798" s="38">
        <v>800</v>
      </c>
      <c r="I798" s="49">
        <v>20</v>
      </c>
      <c r="J798" s="49" t="str">
        <f>VLOOKUP(Dados_Cursos[[#This Row],[ID]],Apoio!A791:H1791,4,0)</f>
        <v>Cuando</v>
      </c>
      <c r="K798" s="37" t="s">
        <v>113</v>
      </c>
      <c r="L798" s="37" t="s">
        <v>110</v>
      </c>
      <c r="M798" s="53"/>
    </row>
    <row r="799" spans="1:13" ht="20.100000000000001" customHeight="1" x14ac:dyDescent="0.25">
      <c r="A799" s="49">
        <v>792</v>
      </c>
      <c r="B799" s="55">
        <v>45650</v>
      </c>
      <c r="C799" s="36" t="str">
        <f>UPPER(TEXT(Dados_Cursos[[#This Row],[Data]],"mmm"))</f>
        <v>DEZ</v>
      </c>
      <c r="D799" s="52" t="s">
        <v>2392</v>
      </c>
      <c r="E799" s="49" t="str">
        <f>VLOOKUP(Dados_Cursos[[#This Row],[ID]],Apoio!A792:H1792,2,0)</f>
        <v>nelson.costa792@gmail.com</v>
      </c>
      <c r="F799" s="36" t="s">
        <v>908</v>
      </c>
      <c r="G799" s="36" t="s">
        <v>2666</v>
      </c>
      <c r="H799" s="38">
        <v>1200</v>
      </c>
      <c r="I799" s="49">
        <v>13</v>
      </c>
      <c r="J799" s="49" t="str">
        <f>VLOOKUP(Dados_Cursos[[#This Row],[ID]],Apoio!A792:H1792,4,0)</f>
        <v>Namibe</v>
      </c>
      <c r="K799" s="37" t="s">
        <v>113</v>
      </c>
      <c r="L799" s="37" t="s">
        <v>2649</v>
      </c>
      <c r="M799" s="53"/>
    </row>
    <row r="800" spans="1:13" ht="20.100000000000001" customHeight="1" x14ac:dyDescent="0.25">
      <c r="A800" s="49">
        <v>793</v>
      </c>
      <c r="B800" s="55">
        <v>45385</v>
      </c>
      <c r="C800" s="36" t="str">
        <f>UPPER(TEXT(Dados_Cursos[[#This Row],[Data]],"mmm"))</f>
        <v>ABR</v>
      </c>
      <c r="D800" s="52" t="s">
        <v>2394</v>
      </c>
      <c r="E800" s="49" t="str">
        <f>VLOOKUP(Dados_Cursos[[#This Row],[ID]],Apoio!A793:H1793,2,0)</f>
        <v>bruno.domingues793@gmail.com</v>
      </c>
      <c r="F800" s="36" t="s">
        <v>909</v>
      </c>
      <c r="G800" s="36" t="s">
        <v>2666</v>
      </c>
      <c r="H800" s="38">
        <v>800</v>
      </c>
      <c r="I800" s="49">
        <v>14</v>
      </c>
      <c r="J800" s="49" t="str">
        <f>VLOOKUP(Dados_Cursos[[#This Row],[ID]],Apoio!A793:H1793,4,0)</f>
        <v>Moxico Leste</v>
      </c>
      <c r="K800" s="37" t="s">
        <v>112</v>
      </c>
      <c r="L800" s="37" t="s">
        <v>109</v>
      </c>
      <c r="M800" s="53"/>
    </row>
    <row r="801" spans="1:13" ht="20.100000000000001" customHeight="1" x14ac:dyDescent="0.25">
      <c r="A801" s="49">
        <v>794</v>
      </c>
      <c r="B801" s="55">
        <v>45400</v>
      </c>
      <c r="C801" s="36" t="str">
        <f>UPPER(TEXT(Dados_Cursos[[#This Row],[Data]],"mmm"))</f>
        <v>ABR</v>
      </c>
      <c r="D801" s="52" t="s">
        <v>1399</v>
      </c>
      <c r="E801" s="49" t="str">
        <f>VLOOKUP(Dados_Cursos[[#This Row],[ID]],Apoio!A794:H1794,2,0)</f>
        <v>luís.andrade794@gmail.com</v>
      </c>
      <c r="F801" s="36" t="s">
        <v>910</v>
      </c>
      <c r="G801" s="36" t="s">
        <v>2666</v>
      </c>
      <c r="H801" s="38">
        <v>800</v>
      </c>
      <c r="I801" s="49">
        <v>10</v>
      </c>
      <c r="J801" s="49" t="str">
        <f>VLOOKUP(Dados_Cursos[[#This Row],[ID]],Apoio!A794:H1794,4,0)</f>
        <v>Cabinda</v>
      </c>
      <c r="K801" s="37" t="s">
        <v>113</v>
      </c>
      <c r="L801" s="37" t="s">
        <v>2649</v>
      </c>
      <c r="M801" s="53"/>
    </row>
    <row r="802" spans="1:13" ht="20.100000000000001" customHeight="1" x14ac:dyDescent="0.25">
      <c r="A802" s="49">
        <v>795</v>
      </c>
      <c r="B802" s="55">
        <v>45310</v>
      </c>
      <c r="C802" s="36" t="str">
        <f>UPPER(TEXT(Dados_Cursos[[#This Row],[Data]],"mmm"))</f>
        <v>JAN</v>
      </c>
      <c r="D802" s="52" t="s">
        <v>1837</v>
      </c>
      <c r="E802" s="49" t="str">
        <f>VLOOKUP(Dados_Cursos[[#This Row],[ID]],Apoio!A795:H1795,2,0)</f>
        <v>domingos.rodrigues795@gmail.com</v>
      </c>
      <c r="F802" s="36" t="s">
        <v>911</v>
      </c>
      <c r="G802" s="36" t="s">
        <v>2665</v>
      </c>
      <c r="H802" s="38">
        <v>1500</v>
      </c>
      <c r="I802" s="49">
        <v>11</v>
      </c>
      <c r="J802" s="49" t="str">
        <f>VLOOKUP(Dados_Cursos[[#This Row],[ID]],Apoio!A795:H1795,4,0)</f>
        <v>Moxico</v>
      </c>
      <c r="K802" s="37" t="s">
        <v>112</v>
      </c>
      <c r="L802" s="37" t="s">
        <v>109</v>
      </c>
      <c r="M802" s="53"/>
    </row>
    <row r="803" spans="1:13" ht="20.100000000000001" customHeight="1" x14ac:dyDescent="0.25">
      <c r="A803" s="49">
        <v>796</v>
      </c>
      <c r="B803" s="55">
        <v>45447</v>
      </c>
      <c r="C803" s="36" t="str">
        <f>UPPER(TEXT(Dados_Cursos[[#This Row],[Data]],"mmm"))</f>
        <v>JUN</v>
      </c>
      <c r="D803" s="52" t="s">
        <v>2053</v>
      </c>
      <c r="E803" s="49" t="str">
        <f>VLOOKUP(Dados_Cursos[[#This Row],[ID]],Apoio!A796:H1796,2,0)</f>
        <v>pedro.santos796@gmail.com</v>
      </c>
      <c r="F803" s="36" t="s">
        <v>912</v>
      </c>
      <c r="G803" s="36" t="s">
        <v>2666</v>
      </c>
      <c r="H803" s="38">
        <v>800</v>
      </c>
      <c r="I803" s="49">
        <v>7</v>
      </c>
      <c r="J803" s="49" t="str">
        <f>VLOOKUP(Dados_Cursos[[#This Row],[ID]],Apoio!A796:H1796,4,0)</f>
        <v>Icolo e Bengo</v>
      </c>
      <c r="K803" s="37" t="s">
        <v>113</v>
      </c>
      <c r="L803" s="37" t="s">
        <v>111</v>
      </c>
      <c r="M803" s="53"/>
    </row>
    <row r="804" spans="1:13" ht="20.100000000000001" customHeight="1" x14ac:dyDescent="0.25">
      <c r="A804" s="49">
        <v>797</v>
      </c>
      <c r="B804" s="55">
        <v>45475</v>
      </c>
      <c r="C804" s="36" t="str">
        <f>UPPER(TEXT(Dados_Cursos[[#This Row],[Data]],"mmm"))</f>
        <v>JUL</v>
      </c>
      <c r="D804" s="52" t="s">
        <v>2399</v>
      </c>
      <c r="E804" s="49" t="str">
        <f>VLOOKUP(Dados_Cursos[[#This Row],[ID]],Apoio!A797:H1797,2,0)</f>
        <v>helena.santos797@gmail.com</v>
      </c>
      <c r="F804" s="36" t="s">
        <v>913</v>
      </c>
      <c r="G804" s="36" t="s">
        <v>2666</v>
      </c>
      <c r="H804" s="38">
        <v>1200</v>
      </c>
      <c r="I804" s="49">
        <v>10</v>
      </c>
      <c r="J804" s="49" t="str">
        <f>VLOOKUP(Dados_Cursos[[#This Row],[ID]],Apoio!A797:H1797,4,0)</f>
        <v>Bengo</v>
      </c>
      <c r="K804" s="37" t="s">
        <v>113</v>
      </c>
      <c r="L804" s="37" t="s">
        <v>2649</v>
      </c>
      <c r="M804" s="53"/>
    </row>
    <row r="805" spans="1:13" ht="20.100000000000001" customHeight="1" x14ac:dyDescent="0.25">
      <c r="A805" s="49">
        <v>798</v>
      </c>
      <c r="B805" s="55">
        <v>45426</v>
      </c>
      <c r="C805" s="36" t="str">
        <f>UPPER(TEXT(Dados_Cursos[[#This Row],[Data]],"mmm"))</f>
        <v>MAI</v>
      </c>
      <c r="D805" s="52" t="s">
        <v>1759</v>
      </c>
      <c r="E805" s="49" t="str">
        <f>VLOOKUP(Dados_Cursos[[#This Row],[ID]],Apoio!A798:H1798,2,0)</f>
        <v>cláudia.rodrigues798@gmail.com</v>
      </c>
      <c r="F805" s="36" t="s">
        <v>914</v>
      </c>
      <c r="G805" s="36" t="s">
        <v>2665</v>
      </c>
      <c r="H805" s="38">
        <v>1500</v>
      </c>
      <c r="I805" s="49">
        <v>15</v>
      </c>
      <c r="J805" s="49" t="str">
        <f>VLOOKUP(Dados_Cursos[[#This Row],[ID]],Apoio!A798:H1798,4,0)</f>
        <v>Bié</v>
      </c>
      <c r="K805" s="37" t="s">
        <v>113</v>
      </c>
      <c r="L805" s="37" t="s">
        <v>111</v>
      </c>
      <c r="M805" s="53"/>
    </row>
    <row r="806" spans="1:13" ht="20.100000000000001" customHeight="1" x14ac:dyDescent="0.25">
      <c r="A806" s="49">
        <v>799</v>
      </c>
      <c r="B806" s="55">
        <v>45433</v>
      </c>
      <c r="C806" s="36" t="str">
        <f>UPPER(TEXT(Dados_Cursos[[#This Row],[Data]],"mmm"))</f>
        <v>MAI</v>
      </c>
      <c r="D806" s="52" t="s">
        <v>2402</v>
      </c>
      <c r="E806" s="49" t="str">
        <f>VLOOKUP(Dados_Cursos[[#This Row],[ID]],Apoio!A799:H1799,2,0)</f>
        <v>helena.costa799@gmail.com</v>
      </c>
      <c r="F806" s="36" t="s">
        <v>915</v>
      </c>
      <c r="G806" s="36" t="s">
        <v>2666</v>
      </c>
      <c r="H806" s="38">
        <v>1200</v>
      </c>
      <c r="I806" s="49">
        <v>13</v>
      </c>
      <c r="J806" s="49" t="str">
        <f>VLOOKUP(Dados_Cursos[[#This Row],[ID]],Apoio!A799:H1799,4,0)</f>
        <v>Moxico Leste</v>
      </c>
      <c r="K806" s="37" t="s">
        <v>113</v>
      </c>
      <c r="L806" s="37" t="s">
        <v>111</v>
      </c>
      <c r="M806" s="53"/>
    </row>
    <row r="807" spans="1:13" ht="20.100000000000001" customHeight="1" x14ac:dyDescent="0.25">
      <c r="A807" s="49">
        <v>800</v>
      </c>
      <c r="B807" s="55">
        <v>45471</v>
      </c>
      <c r="C807" s="36" t="str">
        <f>UPPER(TEXT(Dados_Cursos[[#This Row],[Data]],"mmm"))</f>
        <v>JUN</v>
      </c>
      <c r="D807" s="52" t="s">
        <v>1196</v>
      </c>
      <c r="E807" s="49" t="str">
        <f>VLOOKUP(Dados_Cursos[[#This Row],[ID]],Apoio!A800:H1800,2,0)</f>
        <v>rui.tavares800@gmail.com</v>
      </c>
      <c r="F807" s="36" t="s">
        <v>916</v>
      </c>
      <c r="G807" s="36" t="s">
        <v>2665</v>
      </c>
      <c r="H807" s="38">
        <v>1500</v>
      </c>
      <c r="I807" s="49">
        <v>15</v>
      </c>
      <c r="J807" s="49" t="str">
        <f>VLOOKUP(Dados_Cursos[[#This Row],[ID]],Apoio!A800:H1800,4,0)</f>
        <v>Zaire</v>
      </c>
      <c r="K807" s="37" t="s">
        <v>113</v>
      </c>
      <c r="L807" s="37" t="s">
        <v>111</v>
      </c>
      <c r="M807" s="53"/>
    </row>
    <row r="808" spans="1:13" ht="20.100000000000001" customHeight="1" x14ac:dyDescent="0.25">
      <c r="A808" s="49">
        <v>801</v>
      </c>
      <c r="B808" s="55">
        <v>45383</v>
      </c>
      <c r="C808" s="36" t="str">
        <f>UPPER(TEXT(Dados_Cursos[[#This Row],[Data]],"mmm"))</f>
        <v>ABR</v>
      </c>
      <c r="D808" s="52" t="s">
        <v>1872</v>
      </c>
      <c r="E808" s="49" t="str">
        <f>VLOOKUP(Dados_Cursos[[#This Row],[ID]],Apoio!A801:H1801,2,0)</f>
        <v>antónio.lukeba801@gmail.com</v>
      </c>
      <c r="F808" s="36" t="s">
        <v>917</v>
      </c>
      <c r="G808" s="36" t="s">
        <v>2665</v>
      </c>
      <c r="H808" s="38">
        <v>1500</v>
      </c>
      <c r="I808" s="49">
        <v>19</v>
      </c>
      <c r="J808" s="49" t="str">
        <f>VLOOKUP(Dados_Cursos[[#This Row],[ID]],Apoio!A801:H1801,4,0)</f>
        <v>Cabinda</v>
      </c>
      <c r="K808" s="37" t="s">
        <v>113</v>
      </c>
      <c r="L808" s="37" t="s">
        <v>2649</v>
      </c>
      <c r="M808" s="53"/>
    </row>
    <row r="809" spans="1:13" ht="20.100000000000001" customHeight="1" x14ac:dyDescent="0.25">
      <c r="A809" s="49">
        <v>802</v>
      </c>
      <c r="B809" s="55">
        <v>45476</v>
      </c>
      <c r="C809" s="36" t="str">
        <f>UPPER(TEXT(Dados_Cursos[[#This Row],[Data]],"mmm"))</f>
        <v>JUL</v>
      </c>
      <c r="D809" s="52" t="s">
        <v>1388</v>
      </c>
      <c r="E809" s="49" t="str">
        <f>VLOOKUP(Dados_Cursos[[#This Row],[ID]],Apoio!A802:H1802,2,0)</f>
        <v>teresa.monteiro802@gmail.com</v>
      </c>
      <c r="F809" s="36" t="s">
        <v>918</v>
      </c>
      <c r="G809" s="36" t="s">
        <v>2666</v>
      </c>
      <c r="H809" s="38">
        <v>800</v>
      </c>
      <c r="I809" s="49">
        <v>1</v>
      </c>
      <c r="J809" s="49" t="str">
        <f>VLOOKUP(Dados_Cursos[[#This Row],[ID]],Apoio!A802:H1802,4,0)</f>
        <v>Huíla</v>
      </c>
      <c r="K809" s="37" t="s">
        <v>112</v>
      </c>
      <c r="L809" s="37" t="s">
        <v>109</v>
      </c>
      <c r="M809" s="53"/>
    </row>
    <row r="810" spans="1:13" ht="20.100000000000001" customHeight="1" x14ac:dyDescent="0.25">
      <c r="A810" s="49">
        <v>803</v>
      </c>
      <c r="B810" s="55">
        <v>45330</v>
      </c>
      <c r="C810" s="36" t="str">
        <f>UPPER(TEXT(Dados_Cursos[[#This Row],[Data]],"mmm"))</f>
        <v>FEV</v>
      </c>
      <c r="D810" s="52" t="s">
        <v>2407</v>
      </c>
      <c r="E810" s="49" t="str">
        <f>VLOOKUP(Dados_Cursos[[#This Row],[ID]],Apoio!A803:H1803,2,0)</f>
        <v>bruno.rodrigues803@gmail.com</v>
      </c>
      <c r="F810" s="36" t="s">
        <v>919</v>
      </c>
      <c r="G810" s="36" t="s">
        <v>2666</v>
      </c>
      <c r="H810" s="38">
        <v>1200</v>
      </c>
      <c r="I810" s="49">
        <v>17</v>
      </c>
      <c r="J810" s="49" t="str">
        <f>VLOOKUP(Dados_Cursos[[#This Row],[ID]],Apoio!A803:H1803,4,0)</f>
        <v>Zaire</v>
      </c>
      <c r="K810" s="37" t="s">
        <v>113</v>
      </c>
      <c r="L810" s="37" t="s">
        <v>111</v>
      </c>
      <c r="M810" s="53"/>
    </row>
    <row r="811" spans="1:13" ht="20.100000000000001" customHeight="1" x14ac:dyDescent="0.25">
      <c r="A811" s="49">
        <v>804</v>
      </c>
      <c r="B811" s="55">
        <v>45465</v>
      </c>
      <c r="C811" s="36" t="str">
        <f>UPPER(TEXT(Dados_Cursos[[#This Row],[Data]],"mmm"))</f>
        <v>JUN</v>
      </c>
      <c r="D811" s="52" t="s">
        <v>1638</v>
      </c>
      <c r="E811" s="49" t="str">
        <f>VLOOKUP(Dados_Cursos[[#This Row],[ID]],Apoio!A804:H1804,2,0)</f>
        <v>marta.soares804@gmail.com</v>
      </c>
      <c r="F811" s="36" t="s">
        <v>920</v>
      </c>
      <c r="G811" s="36" t="s">
        <v>2666</v>
      </c>
      <c r="H811" s="38">
        <v>1200</v>
      </c>
      <c r="I811" s="49">
        <v>16</v>
      </c>
      <c r="J811" s="49" t="str">
        <f>VLOOKUP(Dados_Cursos[[#This Row],[ID]],Apoio!A804:H1804,4,0)</f>
        <v>Cabinda</v>
      </c>
      <c r="K811" s="37" t="s">
        <v>112</v>
      </c>
      <c r="L811" s="37" t="s">
        <v>109</v>
      </c>
      <c r="M811" s="53"/>
    </row>
    <row r="812" spans="1:13" ht="20.100000000000001" customHeight="1" x14ac:dyDescent="0.25">
      <c r="A812" s="49">
        <v>805</v>
      </c>
      <c r="B812" s="55">
        <v>45326</v>
      </c>
      <c r="C812" s="36" t="str">
        <f>UPPER(TEXT(Dados_Cursos[[#This Row],[Data]],"mmm"))</f>
        <v>FEV</v>
      </c>
      <c r="D812" s="52" t="s">
        <v>1582</v>
      </c>
      <c r="E812" s="49" t="str">
        <f>VLOOKUP(Dados_Cursos[[#This Row],[ID]],Apoio!A805:H1805,2,0)</f>
        <v>david.pinto805@gmail.com</v>
      </c>
      <c r="F812" s="36" t="s">
        <v>921</v>
      </c>
      <c r="G812" s="36" t="s">
        <v>2666</v>
      </c>
      <c r="H812" s="38">
        <v>1200</v>
      </c>
      <c r="I812" s="49">
        <v>1</v>
      </c>
      <c r="J812" s="49" t="str">
        <f>VLOOKUP(Dados_Cursos[[#This Row],[ID]],Apoio!A805:H1805,4,0)</f>
        <v>Lunda Norte</v>
      </c>
      <c r="K812" s="37" t="s">
        <v>113</v>
      </c>
      <c r="L812" s="37" t="s">
        <v>2649</v>
      </c>
      <c r="M812" s="53"/>
    </row>
    <row r="813" spans="1:13" ht="20.100000000000001" customHeight="1" x14ac:dyDescent="0.25">
      <c r="A813" s="49">
        <v>806</v>
      </c>
      <c r="B813" s="55">
        <v>45647</v>
      </c>
      <c r="C813" s="36" t="str">
        <f>UPPER(TEXT(Dados_Cursos[[#This Row],[Data]],"mmm"))</f>
        <v>DEZ</v>
      </c>
      <c r="D813" s="52" t="s">
        <v>2075</v>
      </c>
      <c r="E813" s="49" t="str">
        <f>VLOOKUP(Dados_Cursos[[#This Row],[ID]],Apoio!A806:H1806,2,0)</f>
        <v>bruno.soares806@gmail.com</v>
      </c>
      <c r="F813" s="36" t="s">
        <v>922</v>
      </c>
      <c r="G813" s="36" t="s">
        <v>2666</v>
      </c>
      <c r="H813" s="38">
        <v>1200</v>
      </c>
      <c r="I813" s="49">
        <v>3</v>
      </c>
      <c r="J813" s="49" t="str">
        <f>VLOOKUP(Dados_Cursos[[#This Row],[ID]],Apoio!A806:H1806,4,0)</f>
        <v>Cuando</v>
      </c>
      <c r="K813" s="37" t="s">
        <v>113</v>
      </c>
      <c r="L813" s="37" t="s">
        <v>111</v>
      </c>
      <c r="M813" s="53"/>
    </row>
    <row r="814" spans="1:13" ht="20.100000000000001" customHeight="1" x14ac:dyDescent="0.25">
      <c r="A814" s="49">
        <v>807</v>
      </c>
      <c r="B814" s="55">
        <v>45528</v>
      </c>
      <c r="C814" s="36" t="str">
        <f>UPPER(TEXT(Dados_Cursos[[#This Row],[Data]],"mmm"))</f>
        <v>AGO</v>
      </c>
      <c r="D814" s="52" t="s">
        <v>2412</v>
      </c>
      <c r="E814" s="49" t="str">
        <f>VLOOKUP(Dados_Cursos[[#This Row],[ID]],Apoio!A807:H1807,2,0)</f>
        <v>josé.domingues807@gmail.com</v>
      </c>
      <c r="F814" s="36" t="s">
        <v>923</v>
      </c>
      <c r="G814" s="36" t="s">
        <v>2665</v>
      </c>
      <c r="H814" s="38">
        <v>1500</v>
      </c>
      <c r="I814" s="49">
        <v>7</v>
      </c>
      <c r="J814" s="49" t="str">
        <f>VLOOKUP(Dados_Cursos[[#This Row],[ID]],Apoio!A807:H1807,4,0)</f>
        <v>Cunene</v>
      </c>
      <c r="K814" s="37" t="s">
        <v>113</v>
      </c>
      <c r="L814" s="37" t="s">
        <v>110</v>
      </c>
      <c r="M814" s="53"/>
    </row>
    <row r="815" spans="1:13" ht="20.100000000000001" customHeight="1" x14ac:dyDescent="0.25">
      <c r="A815" s="49">
        <v>808</v>
      </c>
      <c r="B815" s="55">
        <v>45322</v>
      </c>
      <c r="C815" s="36" t="str">
        <f>UPPER(TEXT(Dados_Cursos[[#This Row],[Data]],"mmm"))</f>
        <v>JAN</v>
      </c>
      <c r="D815" s="52" t="s">
        <v>1369</v>
      </c>
      <c r="E815" s="49" t="str">
        <f>VLOOKUP(Dados_Cursos[[#This Row],[ID]],Apoio!A808:H1808,2,0)</f>
        <v>joaquim.andrade808@gmail.com</v>
      </c>
      <c r="F815" s="36" t="s">
        <v>924</v>
      </c>
      <c r="G815" s="36" t="s">
        <v>2666</v>
      </c>
      <c r="H815" s="38">
        <v>1200</v>
      </c>
      <c r="I815" s="49">
        <v>1</v>
      </c>
      <c r="J815" s="49" t="str">
        <f>VLOOKUP(Dados_Cursos[[#This Row],[ID]],Apoio!A808:H1808,4,0)</f>
        <v>Benguela</v>
      </c>
      <c r="K815" s="37" t="s">
        <v>113</v>
      </c>
      <c r="L815" s="37" t="s">
        <v>2649</v>
      </c>
      <c r="M815" s="53"/>
    </row>
    <row r="816" spans="1:13" ht="20.100000000000001" customHeight="1" x14ac:dyDescent="0.25">
      <c r="A816" s="49">
        <v>809</v>
      </c>
      <c r="B816" s="55">
        <v>45492</v>
      </c>
      <c r="C816" s="36" t="str">
        <f>UPPER(TEXT(Dados_Cursos[[#This Row],[Data]],"mmm"))</f>
        <v>JUL</v>
      </c>
      <c r="D816" s="52" t="s">
        <v>2216</v>
      </c>
      <c r="E816" s="49" t="str">
        <f>VLOOKUP(Dados_Cursos[[#This Row],[ID]],Apoio!A809:H1809,2,0)</f>
        <v>marta.costa809@gmail.com</v>
      </c>
      <c r="F816" s="36" t="s">
        <v>925</v>
      </c>
      <c r="G816" s="36" t="s">
        <v>2665</v>
      </c>
      <c r="H816" s="38">
        <v>1500</v>
      </c>
      <c r="I816" s="49">
        <v>20</v>
      </c>
      <c r="J816" s="49" t="str">
        <f>VLOOKUP(Dados_Cursos[[#This Row],[ID]],Apoio!A809:H1809,4,0)</f>
        <v>Cabinda</v>
      </c>
      <c r="K816" s="37" t="s">
        <v>113</v>
      </c>
      <c r="L816" s="37" t="s">
        <v>111</v>
      </c>
      <c r="M816" s="53"/>
    </row>
    <row r="817" spans="1:13" ht="20.100000000000001" customHeight="1" x14ac:dyDescent="0.25">
      <c r="A817" s="49">
        <v>810</v>
      </c>
      <c r="B817" s="55">
        <v>45500</v>
      </c>
      <c r="C817" s="36" t="str">
        <f>UPPER(TEXT(Dados_Cursos[[#This Row],[Data]],"mmm"))</f>
        <v>JUL</v>
      </c>
      <c r="D817" s="52" t="s">
        <v>2416</v>
      </c>
      <c r="E817" s="49" t="str">
        <f>VLOOKUP(Dados_Cursos[[#This Row],[ID]],Apoio!A810:H1810,2,0)</f>
        <v>joão.martins810@gmail.com</v>
      </c>
      <c r="F817" s="36" t="s">
        <v>926</v>
      </c>
      <c r="G817" s="36" t="s">
        <v>2665</v>
      </c>
      <c r="H817" s="38">
        <v>1500</v>
      </c>
      <c r="I817" s="49">
        <v>10</v>
      </c>
      <c r="J817" s="49" t="str">
        <f>VLOOKUP(Dados_Cursos[[#This Row],[ID]],Apoio!A810:H1810,4,0)</f>
        <v>Moxico</v>
      </c>
      <c r="K817" s="37" t="s">
        <v>112</v>
      </c>
      <c r="L817" s="37" t="s">
        <v>109</v>
      </c>
      <c r="M817" s="53"/>
    </row>
    <row r="818" spans="1:13" ht="20.100000000000001" customHeight="1" x14ac:dyDescent="0.25">
      <c r="A818" s="49">
        <v>811</v>
      </c>
      <c r="B818" s="55">
        <v>45485</v>
      </c>
      <c r="C818" s="36" t="str">
        <f>UPPER(TEXT(Dados_Cursos[[#This Row],[Data]],"mmm"))</f>
        <v>JUL</v>
      </c>
      <c r="D818" s="52" t="s">
        <v>1632</v>
      </c>
      <c r="E818" s="49" t="str">
        <f>VLOOKUP(Dados_Cursos[[#This Row],[ID]],Apoio!A811:H1811,2,0)</f>
        <v>samuel.almeida811@gmail.com</v>
      </c>
      <c r="F818" s="36" t="s">
        <v>927</v>
      </c>
      <c r="G818" s="36" t="s">
        <v>2665</v>
      </c>
      <c r="H818" s="38">
        <v>1500</v>
      </c>
      <c r="I818" s="49">
        <v>11</v>
      </c>
      <c r="J818" s="49" t="str">
        <f>VLOOKUP(Dados_Cursos[[#This Row],[ID]],Apoio!A811:H1811,4,0)</f>
        <v>Icolo e Bengo</v>
      </c>
      <c r="K818" s="37" t="s">
        <v>113</v>
      </c>
      <c r="L818" s="37" t="s">
        <v>2649</v>
      </c>
      <c r="M818" s="53"/>
    </row>
    <row r="819" spans="1:13" ht="20.100000000000001" customHeight="1" x14ac:dyDescent="0.25">
      <c r="A819" s="49">
        <v>812</v>
      </c>
      <c r="B819" s="55">
        <v>45536</v>
      </c>
      <c r="C819" s="36" t="str">
        <f>UPPER(TEXT(Dados_Cursos[[#This Row],[Data]],"mmm"))</f>
        <v>SET</v>
      </c>
      <c r="D819" s="52" t="s">
        <v>2073</v>
      </c>
      <c r="E819" s="49" t="str">
        <f>VLOOKUP(Dados_Cursos[[#This Row],[ID]],Apoio!A812:H1812,2,0)</f>
        <v>mateus.fernandes812@gmail.com</v>
      </c>
      <c r="F819" s="36" t="s">
        <v>928</v>
      </c>
      <c r="G819" s="36" t="s">
        <v>2666</v>
      </c>
      <c r="H819" s="38">
        <v>1200</v>
      </c>
      <c r="I819" s="49">
        <v>18</v>
      </c>
      <c r="J819" s="49" t="str">
        <f>VLOOKUP(Dados_Cursos[[#This Row],[ID]],Apoio!A812:H1812,4,0)</f>
        <v>Lunda Sul</v>
      </c>
      <c r="K819" s="37" t="s">
        <v>113</v>
      </c>
      <c r="L819" s="37" t="s">
        <v>110</v>
      </c>
      <c r="M819" s="53"/>
    </row>
    <row r="820" spans="1:13" ht="20.100000000000001" customHeight="1" x14ac:dyDescent="0.25">
      <c r="A820" s="49">
        <v>813</v>
      </c>
      <c r="B820" s="55">
        <v>45434</v>
      </c>
      <c r="C820" s="36" t="str">
        <f>UPPER(TEXT(Dados_Cursos[[#This Row],[Data]],"mmm"))</f>
        <v>MAI</v>
      </c>
      <c r="D820" s="52" t="s">
        <v>1672</v>
      </c>
      <c r="E820" s="49" t="str">
        <f>VLOOKUP(Dados_Cursos[[#This Row],[ID]],Apoio!A813:H1813,2,0)</f>
        <v>rui.monteiro813@gmail.com</v>
      </c>
      <c r="F820" s="36" t="s">
        <v>929</v>
      </c>
      <c r="G820" s="36" t="s">
        <v>2665</v>
      </c>
      <c r="H820" s="38">
        <v>1500</v>
      </c>
      <c r="I820" s="49">
        <v>7</v>
      </c>
      <c r="J820" s="49" t="str">
        <f>VLOOKUP(Dados_Cursos[[#This Row],[ID]],Apoio!A813:H1813,4,0)</f>
        <v>Icolo e Bengo</v>
      </c>
      <c r="K820" s="37" t="s">
        <v>113</v>
      </c>
      <c r="L820" s="37" t="s">
        <v>111</v>
      </c>
      <c r="M820" s="53"/>
    </row>
    <row r="821" spans="1:13" ht="20.100000000000001" customHeight="1" x14ac:dyDescent="0.25">
      <c r="A821" s="49">
        <v>814</v>
      </c>
      <c r="B821" s="55">
        <v>45538</v>
      </c>
      <c r="C821" s="36" t="str">
        <f>UPPER(TEXT(Dados_Cursos[[#This Row],[Data]],"mmm"))</f>
        <v>SET</v>
      </c>
      <c r="D821" s="52" t="s">
        <v>2339</v>
      </c>
      <c r="E821" s="49" t="str">
        <f>VLOOKUP(Dados_Cursos[[#This Row],[ID]],Apoio!A814:H1814,2,0)</f>
        <v>ana.costa814@gmail.com</v>
      </c>
      <c r="F821" s="36" t="s">
        <v>930</v>
      </c>
      <c r="G821" s="36" t="s">
        <v>2666</v>
      </c>
      <c r="H821" s="38">
        <v>1200</v>
      </c>
      <c r="I821" s="49">
        <v>11</v>
      </c>
      <c r="J821" s="49" t="str">
        <f>VLOOKUP(Dados_Cursos[[#This Row],[ID]],Apoio!A814:H1814,4,0)</f>
        <v>Bengo</v>
      </c>
      <c r="K821" s="37" t="s">
        <v>113</v>
      </c>
      <c r="L821" s="37" t="s">
        <v>2649</v>
      </c>
      <c r="M821" s="53"/>
    </row>
    <row r="822" spans="1:13" ht="20.100000000000001" customHeight="1" x14ac:dyDescent="0.25">
      <c r="A822" s="49">
        <v>815</v>
      </c>
      <c r="B822" s="55">
        <v>45438</v>
      </c>
      <c r="C822" s="36" t="str">
        <f>UPPER(TEXT(Dados_Cursos[[#This Row],[Data]],"mmm"))</f>
        <v>MAI</v>
      </c>
      <c r="D822" s="52" t="s">
        <v>2186</v>
      </c>
      <c r="E822" s="49" t="str">
        <f>VLOOKUP(Dados_Cursos[[#This Row],[ID]],Apoio!A815:H1815,2,0)</f>
        <v>david.domingues815@gmail.com</v>
      </c>
      <c r="F822" s="36" t="s">
        <v>931</v>
      </c>
      <c r="G822" s="36" t="s">
        <v>2665</v>
      </c>
      <c r="H822" s="38">
        <v>1500</v>
      </c>
      <c r="I822" s="49">
        <v>1</v>
      </c>
      <c r="J822" s="49" t="str">
        <f>VLOOKUP(Dados_Cursos[[#This Row],[ID]],Apoio!A815:H1815,4,0)</f>
        <v>Luanda</v>
      </c>
      <c r="K822" s="37" t="s">
        <v>113</v>
      </c>
      <c r="L822" s="37" t="s">
        <v>110</v>
      </c>
      <c r="M822" s="53"/>
    </row>
    <row r="823" spans="1:13" ht="20.100000000000001" customHeight="1" x14ac:dyDescent="0.25">
      <c r="A823" s="49">
        <v>816</v>
      </c>
      <c r="B823" s="55">
        <v>45310</v>
      </c>
      <c r="C823" s="36" t="str">
        <f>UPPER(TEXT(Dados_Cursos[[#This Row],[Data]],"mmm"))</f>
        <v>JAN</v>
      </c>
      <c r="D823" s="52" t="s">
        <v>2348</v>
      </c>
      <c r="E823" s="49" t="str">
        <f>VLOOKUP(Dados_Cursos[[#This Row],[ID]],Apoio!A816:H1816,2,0)</f>
        <v>marta.martins816@gmail.com</v>
      </c>
      <c r="F823" s="36" t="s">
        <v>932</v>
      </c>
      <c r="G823" s="36" t="s">
        <v>2665</v>
      </c>
      <c r="H823" s="38">
        <v>1500</v>
      </c>
      <c r="I823" s="49">
        <v>15</v>
      </c>
      <c r="J823" s="49" t="str">
        <f>VLOOKUP(Dados_Cursos[[#This Row],[ID]],Apoio!A816:H1816,4,0)</f>
        <v>Cuando</v>
      </c>
      <c r="K823" s="37" t="s">
        <v>113</v>
      </c>
      <c r="L823" s="37" t="s">
        <v>110</v>
      </c>
      <c r="M823" s="53"/>
    </row>
    <row r="824" spans="1:13" ht="20.100000000000001" customHeight="1" x14ac:dyDescent="0.25">
      <c r="A824" s="49">
        <v>817</v>
      </c>
      <c r="B824" s="55">
        <v>45414</v>
      </c>
      <c r="C824" s="36" t="str">
        <f>UPPER(TEXT(Dados_Cursos[[#This Row],[Data]],"mmm"))</f>
        <v>MAI</v>
      </c>
      <c r="D824" s="52" t="s">
        <v>1208</v>
      </c>
      <c r="E824" s="49" t="str">
        <f>VLOOKUP(Dados_Cursos[[#This Row],[ID]],Apoio!A817:H1817,2,0)</f>
        <v>pedro.lukeba817@gmail.com</v>
      </c>
      <c r="F824" s="36" t="s">
        <v>933</v>
      </c>
      <c r="G824" s="36" t="s">
        <v>2666</v>
      </c>
      <c r="H824" s="38">
        <v>800</v>
      </c>
      <c r="I824" s="49">
        <v>20</v>
      </c>
      <c r="J824" s="49" t="str">
        <f>VLOOKUP(Dados_Cursos[[#This Row],[ID]],Apoio!A817:H1817,4,0)</f>
        <v>Uíge</v>
      </c>
      <c r="K824" s="37" t="s">
        <v>112</v>
      </c>
      <c r="L824" s="37" t="s">
        <v>109</v>
      </c>
      <c r="M824" s="53"/>
    </row>
    <row r="825" spans="1:13" ht="20.100000000000001" customHeight="1" x14ac:dyDescent="0.25">
      <c r="A825" s="49">
        <v>818</v>
      </c>
      <c r="B825" s="55">
        <v>45486</v>
      </c>
      <c r="C825" s="36" t="str">
        <f>UPPER(TEXT(Dados_Cursos[[#This Row],[Data]],"mmm"))</f>
        <v>JUL</v>
      </c>
      <c r="D825" s="52" t="s">
        <v>1616</v>
      </c>
      <c r="E825" s="49" t="str">
        <f>VLOOKUP(Dados_Cursos[[#This Row],[ID]],Apoio!A818:H1818,2,0)</f>
        <v>bruno.silva818@gmail.com</v>
      </c>
      <c r="F825" s="36" t="s">
        <v>934</v>
      </c>
      <c r="G825" s="36" t="s">
        <v>2666</v>
      </c>
      <c r="H825" s="38">
        <v>1200</v>
      </c>
      <c r="I825" s="49">
        <v>12</v>
      </c>
      <c r="J825" s="49" t="str">
        <f>VLOOKUP(Dados_Cursos[[#This Row],[ID]],Apoio!A818:H1818,4,0)</f>
        <v>Malanje</v>
      </c>
      <c r="K825" s="37" t="s">
        <v>113</v>
      </c>
      <c r="L825" s="37" t="s">
        <v>110</v>
      </c>
      <c r="M825" s="53"/>
    </row>
    <row r="826" spans="1:13" ht="20.100000000000001" customHeight="1" x14ac:dyDescent="0.25">
      <c r="A826" s="49">
        <v>819</v>
      </c>
      <c r="B826" s="55">
        <v>45509</v>
      </c>
      <c r="C826" s="36" t="str">
        <f>UPPER(TEXT(Dados_Cursos[[#This Row],[Data]],"mmm"))</f>
        <v>AGO</v>
      </c>
      <c r="D826" s="52" t="s">
        <v>1210</v>
      </c>
      <c r="E826" s="49" t="str">
        <f>VLOOKUP(Dados_Cursos[[#This Row],[ID]],Apoio!A819:H1819,2,0)</f>
        <v>maria.monteiro819@gmail.com</v>
      </c>
      <c r="F826" s="36" t="s">
        <v>935</v>
      </c>
      <c r="G826" s="36" t="s">
        <v>2666</v>
      </c>
      <c r="H826" s="38">
        <v>1200</v>
      </c>
      <c r="I826" s="49">
        <v>7</v>
      </c>
      <c r="J826" s="49" t="str">
        <f>VLOOKUP(Dados_Cursos[[#This Row],[ID]],Apoio!A819:H1819,4,0)</f>
        <v>Namibe</v>
      </c>
      <c r="K826" s="37" t="s">
        <v>113</v>
      </c>
      <c r="L826" s="37" t="s">
        <v>110</v>
      </c>
      <c r="M826" s="53"/>
    </row>
    <row r="827" spans="1:13" ht="20.100000000000001" customHeight="1" x14ac:dyDescent="0.25">
      <c r="A827" s="49">
        <v>820</v>
      </c>
      <c r="B827" s="55">
        <v>45475</v>
      </c>
      <c r="C827" s="36" t="str">
        <f>UPPER(TEXT(Dados_Cursos[[#This Row],[Data]],"mmm"))</f>
        <v>JUL</v>
      </c>
      <c r="D827" s="52" t="s">
        <v>1931</v>
      </c>
      <c r="E827" s="49" t="str">
        <f>VLOOKUP(Dados_Cursos[[#This Row],[ID]],Apoio!A820:H1820,2,0)</f>
        <v>rosa.gomes820@gmail.com</v>
      </c>
      <c r="F827" s="36" t="s">
        <v>936</v>
      </c>
      <c r="G827" s="36" t="s">
        <v>2666</v>
      </c>
      <c r="H827" s="38">
        <v>1200</v>
      </c>
      <c r="I827" s="49">
        <v>9</v>
      </c>
      <c r="J827" s="49" t="str">
        <f>VLOOKUP(Dados_Cursos[[#This Row],[ID]],Apoio!A820:H1820,4,0)</f>
        <v>Lunda Sul</v>
      </c>
      <c r="K827" s="37" t="s">
        <v>113</v>
      </c>
      <c r="L827" s="37" t="s">
        <v>2649</v>
      </c>
      <c r="M827" s="53"/>
    </row>
    <row r="828" spans="1:13" ht="20.100000000000001" customHeight="1" x14ac:dyDescent="0.25">
      <c r="A828" s="49">
        <v>821</v>
      </c>
      <c r="B828" s="55">
        <v>45580</v>
      </c>
      <c r="C828" s="36" t="str">
        <f>UPPER(TEXT(Dados_Cursos[[#This Row],[Data]],"mmm"))</f>
        <v>OUT</v>
      </c>
      <c r="D828" s="52" t="s">
        <v>2304</v>
      </c>
      <c r="E828" s="49" t="str">
        <f>VLOOKUP(Dados_Cursos[[#This Row],[ID]],Apoio!A821:H1821,2,0)</f>
        <v>luís.costa821@gmail.com</v>
      </c>
      <c r="F828" s="36" t="s">
        <v>937</v>
      </c>
      <c r="G828" s="36" t="s">
        <v>2665</v>
      </c>
      <c r="H828" s="38">
        <v>1500</v>
      </c>
      <c r="I828" s="49">
        <v>10</v>
      </c>
      <c r="J828" s="49" t="str">
        <f>VLOOKUP(Dados_Cursos[[#This Row],[ID]],Apoio!A821:H1821,4,0)</f>
        <v>Huambo</v>
      </c>
      <c r="K828" s="37" t="s">
        <v>113</v>
      </c>
      <c r="L828" s="37" t="s">
        <v>2649</v>
      </c>
      <c r="M828" s="53"/>
    </row>
    <row r="829" spans="1:13" ht="20.100000000000001" customHeight="1" x14ac:dyDescent="0.25">
      <c r="A829" s="49">
        <v>822</v>
      </c>
      <c r="B829" s="55">
        <v>45400</v>
      </c>
      <c r="C829" s="36" t="str">
        <f>UPPER(TEXT(Dados_Cursos[[#This Row],[Data]],"mmm"))</f>
        <v>ABR</v>
      </c>
      <c r="D829" s="52" t="s">
        <v>2429</v>
      </c>
      <c r="E829" s="49" t="str">
        <f>VLOOKUP(Dados_Cursos[[#This Row],[ID]],Apoio!A822:H1822,2,0)</f>
        <v>cláudia.lopes822@gmail.com</v>
      </c>
      <c r="F829" s="36" t="s">
        <v>938</v>
      </c>
      <c r="G829" s="36" t="s">
        <v>2666</v>
      </c>
      <c r="H829" s="38">
        <v>800</v>
      </c>
      <c r="I829" s="49">
        <v>14</v>
      </c>
      <c r="J829" s="49" t="str">
        <f>VLOOKUP(Dados_Cursos[[#This Row],[ID]],Apoio!A822:H1822,4,0)</f>
        <v>Moxico Leste</v>
      </c>
      <c r="K829" s="37" t="s">
        <v>113</v>
      </c>
      <c r="L829" s="37" t="s">
        <v>110</v>
      </c>
      <c r="M829" s="53"/>
    </row>
    <row r="830" spans="1:13" ht="20.100000000000001" customHeight="1" x14ac:dyDescent="0.25">
      <c r="A830" s="49">
        <v>823</v>
      </c>
      <c r="B830" s="55">
        <v>45505</v>
      </c>
      <c r="C830" s="36" t="str">
        <f>UPPER(TEXT(Dados_Cursos[[#This Row],[Data]],"mmm"))</f>
        <v>AGO</v>
      </c>
      <c r="D830" s="52" t="s">
        <v>2144</v>
      </c>
      <c r="E830" s="49" t="str">
        <f>VLOOKUP(Dados_Cursos[[#This Row],[ID]],Apoio!A823:H1823,2,0)</f>
        <v>domingos.costa823@gmail.com</v>
      </c>
      <c r="F830" s="36" t="s">
        <v>939</v>
      </c>
      <c r="G830" s="36" t="s">
        <v>2665</v>
      </c>
      <c r="H830" s="38">
        <v>1500</v>
      </c>
      <c r="I830" s="49">
        <v>14</v>
      </c>
      <c r="J830" s="49" t="str">
        <f>VLOOKUP(Dados_Cursos[[#This Row],[ID]],Apoio!A823:H1823,4,0)</f>
        <v>Cuando</v>
      </c>
      <c r="K830" s="37" t="s">
        <v>113</v>
      </c>
      <c r="L830" s="37" t="s">
        <v>111</v>
      </c>
      <c r="M830" s="53"/>
    </row>
    <row r="831" spans="1:13" ht="20.100000000000001" customHeight="1" x14ac:dyDescent="0.25">
      <c r="A831" s="49">
        <v>824</v>
      </c>
      <c r="B831" s="55">
        <v>45585</v>
      </c>
      <c r="C831" s="36" t="str">
        <f>UPPER(TEXT(Dados_Cursos[[#This Row],[Data]],"mmm"))</f>
        <v>OUT</v>
      </c>
      <c r="D831" s="52" t="s">
        <v>1249</v>
      </c>
      <c r="E831" s="49" t="str">
        <f>VLOOKUP(Dados_Cursos[[#This Row],[ID]],Apoio!A824:H1824,2,0)</f>
        <v>benedito.lukeba824@gmail.com</v>
      </c>
      <c r="F831" s="36" t="s">
        <v>940</v>
      </c>
      <c r="G831" s="36" t="s">
        <v>2665</v>
      </c>
      <c r="H831" s="38">
        <v>1500</v>
      </c>
      <c r="I831" s="49">
        <v>9</v>
      </c>
      <c r="J831" s="49" t="str">
        <f>VLOOKUP(Dados_Cursos[[#This Row],[ID]],Apoio!A824:H1824,4,0)</f>
        <v>Cuando</v>
      </c>
      <c r="K831" s="37" t="s">
        <v>113</v>
      </c>
      <c r="L831" s="37" t="s">
        <v>2649</v>
      </c>
      <c r="M831" s="53"/>
    </row>
    <row r="832" spans="1:13" ht="20.100000000000001" customHeight="1" x14ac:dyDescent="0.25">
      <c r="A832" s="49">
        <v>825</v>
      </c>
      <c r="B832" s="55">
        <v>45460</v>
      </c>
      <c r="C832" s="36" t="str">
        <f>UPPER(TEXT(Dados_Cursos[[#This Row],[Data]],"mmm"))</f>
        <v>JUN</v>
      </c>
      <c r="D832" s="52" t="s">
        <v>2332</v>
      </c>
      <c r="E832" s="49" t="str">
        <f>VLOOKUP(Dados_Cursos[[#This Row],[ID]],Apoio!A825:H1825,2,0)</f>
        <v>maria.soares825@gmail.com</v>
      </c>
      <c r="F832" s="36" t="s">
        <v>941</v>
      </c>
      <c r="G832" s="36" t="s">
        <v>2665</v>
      </c>
      <c r="H832" s="38">
        <v>1500</v>
      </c>
      <c r="I832" s="49">
        <v>10</v>
      </c>
      <c r="J832" s="49" t="str">
        <f>VLOOKUP(Dados_Cursos[[#This Row],[ID]],Apoio!A825:H1825,4,0)</f>
        <v>Huambo</v>
      </c>
      <c r="K832" s="37" t="s">
        <v>113</v>
      </c>
      <c r="L832" s="37" t="s">
        <v>111</v>
      </c>
      <c r="M832" s="53"/>
    </row>
    <row r="833" spans="1:13" ht="20.100000000000001" customHeight="1" x14ac:dyDescent="0.25">
      <c r="A833" s="49">
        <v>826</v>
      </c>
      <c r="B833" s="55">
        <v>45511</v>
      </c>
      <c r="C833" s="36" t="str">
        <f>UPPER(TEXT(Dados_Cursos[[#This Row],[Data]],"mmm"))</f>
        <v>AGO</v>
      </c>
      <c r="D833" s="52" t="s">
        <v>1193</v>
      </c>
      <c r="E833" s="49" t="str">
        <f>VLOOKUP(Dados_Cursos[[#This Row],[ID]],Apoio!A826:H1826,2,0)</f>
        <v>maria.fernandes826@gmail.com</v>
      </c>
      <c r="F833" s="36" t="s">
        <v>942</v>
      </c>
      <c r="G833" s="36" t="s">
        <v>2666</v>
      </c>
      <c r="H833" s="38">
        <v>800</v>
      </c>
      <c r="I833" s="49">
        <v>2</v>
      </c>
      <c r="J833" s="49" t="str">
        <f>VLOOKUP(Dados_Cursos[[#This Row],[ID]],Apoio!A826:H1826,4,0)</f>
        <v>Cuanza Norte</v>
      </c>
      <c r="K833" s="37" t="s">
        <v>113</v>
      </c>
      <c r="L833" s="37" t="s">
        <v>2649</v>
      </c>
      <c r="M833" s="53"/>
    </row>
    <row r="834" spans="1:13" ht="20.100000000000001" customHeight="1" x14ac:dyDescent="0.25">
      <c r="A834" s="49">
        <v>827</v>
      </c>
      <c r="B834" s="55">
        <v>45619</v>
      </c>
      <c r="C834" s="36" t="str">
        <f>UPPER(TEXT(Dados_Cursos[[#This Row],[Data]],"mmm"))</f>
        <v>NOV</v>
      </c>
      <c r="D834" s="52" t="s">
        <v>1253</v>
      </c>
      <c r="E834" s="49" t="str">
        <f>VLOOKUP(Dados_Cursos[[#This Row],[ID]],Apoio!A827:H1827,2,0)</f>
        <v>carlos.martins827@gmail.com</v>
      </c>
      <c r="F834" s="36" t="s">
        <v>943</v>
      </c>
      <c r="G834" s="36" t="s">
        <v>2665</v>
      </c>
      <c r="H834" s="38">
        <v>1500</v>
      </c>
      <c r="I834" s="49">
        <v>5</v>
      </c>
      <c r="J834" s="49" t="str">
        <f>VLOOKUP(Dados_Cursos[[#This Row],[ID]],Apoio!A827:H1827,4,0)</f>
        <v>Cabinda</v>
      </c>
      <c r="K834" s="37" t="s">
        <v>113</v>
      </c>
      <c r="L834" s="37" t="s">
        <v>2649</v>
      </c>
      <c r="M834" s="53"/>
    </row>
    <row r="835" spans="1:13" ht="20.100000000000001" customHeight="1" x14ac:dyDescent="0.25">
      <c r="A835" s="49">
        <v>828</v>
      </c>
      <c r="B835" s="55">
        <v>45312</v>
      </c>
      <c r="C835" s="36" t="str">
        <f>UPPER(TEXT(Dados_Cursos[[#This Row],[Data]],"mmm"))</f>
        <v>JAN</v>
      </c>
      <c r="D835" s="52" t="s">
        <v>1864</v>
      </c>
      <c r="E835" s="49" t="str">
        <f>VLOOKUP(Dados_Cursos[[#This Row],[ID]],Apoio!A828:H1828,2,0)</f>
        <v>bruno.santos828@gmail.com</v>
      </c>
      <c r="F835" s="36" t="s">
        <v>944</v>
      </c>
      <c r="G835" s="36" t="s">
        <v>2665</v>
      </c>
      <c r="H835" s="38">
        <v>1500</v>
      </c>
      <c r="I835" s="49">
        <v>3</v>
      </c>
      <c r="J835" s="49" t="str">
        <f>VLOOKUP(Dados_Cursos[[#This Row],[ID]],Apoio!A828:H1828,4,0)</f>
        <v>Lunda Sul</v>
      </c>
      <c r="K835" s="37" t="s">
        <v>112</v>
      </c>
      <c r="L835" s="37" t="s">
        <v>109</v>
      </c>
      <c r="M835" s="53"/>
    </row>
    <row r="836" spans="1:13" ht="20.100000000000001" customHeight="1" x14ac:dyDescent="0.25">
      <c r="A836" s="49">
        <v>829</v>
      </c>
      <c r="B836" s="55">
        <v>45429</v>
      </c>
      <c r="C836" s="36" t="str">
        <f>UPPER(TEXT(Dados_Cursos[[#This Row],[Data]],"mmm"))</f>
        <v>MAI</v>
      </c>
      <c r="D836" s="52" t="s">
        <v>1956</v>
      </c>
      <c r="E836" s="49" t="str">
        <f>VLOOKUP(Dados_Cursos[[#This Row],[ID]],Apoio!A829:H1829,2,0)</f>
        <v>sofia.martins829@gmail.com</v>
      </c>
      <c r="F836" s="36" t="s">
        <v>945</v>
      </c>
      <c r="G836" s="36" t="s">
        <v>2666</v>
      </c>
      <c r="H836" s="38">
        <v>800</v>
      </c>
      <c r="I836" s="49">
        <v>10</v>
      </c>
      <c r="J836" s="49" t="str">
        <f>VLOOKUP(Dados_Cursos[[#This Row],[ID]],Apoio!A829:H1829,4,0)</f>
        <v>Huambo</v>
      </c>
      <c r="K836" s="37" t="s">
        <v>113</v>
      </c>
      <c r="L836" s="37" t="s">
        <v>110</v>
      </c>
      <c r="M836" s="53"/>
    </row>
    <row r="837" spans="1:13" ht="20.100000000000001" customHeight="1" x14ac:dyDescent="0.25">
      <c r="A837" s="49">
        <v>830</v>
      </c>
      <c r="B837" s="55">
        <v>45549</v>
      </c>
      <c r="C837" s="36" t="str">
        <f>UPPER(TEXT(Dados_Cursos[[#This Row],[Data]],"mmm"))</f>
        <v>SET</v>
      </c>
      <c r="D837" s="52" t="s">
        <v>2438</v>
      </c>
      <c r="E837" s="49" t="str">
        <f>VLOOKUP(Dados_Cursos[[#This Row],[ID]],Apoio!A830:H1830,2,0)</f>
        <v>luís.david830@gmail.com</v>
      </c>
      <c r="F837" s="36" t="s">
        <v>946</v>
      </c>
      <c r="G837" s="36" t="s">
        <v>2666</v>
      </c>
      <c r="H837" s="38">
        <v>800</v>
      </c>
      <c r="I837" s="49">
        <v>6</v>
      </c>
      <c r="J837" s="49" t="str">
        <f>VLOOKUP(Dados_Cursos[[#This Row],[ID]],Apoio!A830:H1830,4,0)</f>
        <v>Huíla</v>
      </c>
      <c r="K837" s="37" t="s">
        <v>112</v>
      </c>
      <c r="L837" s="37" t="s">
        <v>109</v>
      </c>
      <c r="M837" s="53"/>
    </row>
    <row r="838" spans="1:13" ht="20.100000000000001" customHeight="1" x14ac:dyDescent="0.25">
      <c r="A838" s="49">
        <v>831</v>
      </c>
      <c r="B838" s="55">
        <v>45545</v>
      </c>
      <c r="C838" s="36" t="str">
        <f>UPPER(TEXT(Dados_Cursos[[#This Row],[Data]],"mmm"))</f>
        <v>SET</v>
      </c>
      <c r="D838" s="52" t="s">
        <v>2440</v>
      </c>
      <c r="E838" s="49" t="str">
        <f>VLOOKUP(Dados_Cursos[[#This Row],[ID]],Apoio!A831:H1831,2,0)</f>
        <v>teresa.santos831@gmail.com</v>
      </c>
      <c r="F838" s="36" t="s">
        <v>947</v>
      </c>
      <c r="G838" s="36" t="s">
        <v>2665</v>
      </c>
      <c r="H838" s="38">
        <v>1500</v>
      </c>
      <c r="I838" s="49">
        <v>11</v>
      </c>
      <c r="J838" s="49" t="str">
        <f>VLOOKUP(Dados_Cursos[[#This Row],[ID]],Apoio!A831:H1831,4,0)</f>
        <v>Luanda</v>
      </c>
      <c r="K838" s="37" t="s">
        <v>113</v>
      </c>
      <c r="L838" s="37" t="s">
        <v>110</v>
      </c>
      <c r="M838" s="53"/>
    </row>
    <row r="839" spans="1:13" ht="20.100000000000001" customHeight="1" x14ac:dyDescent="0.25">
      <c r="A839" s="49">
        <v>832</v>
      </c>
      <c r="B839" s="55">
        <v>45478</v>
      </c>
      <c r="C839" s="36" t="str">
        <f>UPPER(TEXT(Dados_Cursos[[#This Row],[Data]],"mmm"))</f>
        <v>JUL</v>
      </c>
      <c r="D839" s="52" t="s">
        <v>1986</v>
      </c>
      <c r="E839" s="49" t="str">
        <f>VLOOKUP(Dados_Cursos[[#This Row],[ID]],Apoio!A832:H1832,2,0)</f>
        <v>paulo.silva832@gmail.com</v>
      </c>
      <c r="F839" s="36" t="s">
        <v>948</v>
      </c>
      <c r="G839" s="36" t="s">
        <v>2665</v>
      </c>
      <c r="H839" s="38">
        <v>1500</v>
      </c>
      <c r="I839" s="49">
        <v>18</v>
      </c>
      <c r="J839" s="49" t="str">
        <f>VLOOKUP(Dados_Cursos[[#This Row],[ID]],Apoio!A832:H1832,4,0)</f>
        <v>Lunda Sul</v>
      </c>
      <c r="K839" s="37" t="s">
        <v>113</v>
      </c>
      <c r="L839" s="37" t="s">
        <v>111</v>
      </c>
      <c r="M839" s="53"/>
    </row>
    <row r="840" spans="1:13" ht="20.100000000000001" customHeight="1" x14ac:dyDescent="0.25">
      <c r="A840" s="49">
        <v>833</v>
      </c>
      <c r="B840" s="55">
        <v>45448</v>
      </c>
      <c r="C840" s="36" t="str">
        <f>UPPER(TEXT(Dados_Cursos[[#This Row],[Data]],"mmm"))</f>
        <v>JUN</v>
      </c>
      <c r="D840" s="52" t="s">
        <v>1386</v>
      </c>
      <c r="E840" s="49" t="str">
        <f>VLOOKUP(Dados_Cursos[[#This Row],[ID]],Apoio!A833:H1833,2,0)</f>
        <v>joão.monteiro833@gmail.com</v>
      </c>
      <c r="F840" s="36" t="s">
        <v>949</v>
      </c>
      <c r="G840" s="36" t="s">
        <v>2666</v>
      </c>
      <c r="H840" s="38">
        <v>1200</v>
      </c>
      <c r="I840" s="49">
        <v>8</v>
      </c>
      <c r="J840" s="49" t="str">
        <f>VLOOKUP(Dados_Cursos[[#This Row],[ID]],Apoio!A833:H1833,4,0)</f>
        <v>Uíge</v>
      </c>
      <c r="K840" s="37" t="s">
        <v>113</v>
      </c>
      <c r="L840" s="37" t="s">
        <v>2649</v>
      </c>
      <c r="M840" s="53"/>
    </row>
    <row r="841" spans="1:13" ht="20.100000000000001" customHeight="1" x14ac:dyDescent="0.25">
      <c r="A841" s="49">
        <v>834</v>
      </c>
      <c r="B841" s="55">
        <v>45625</v>
      </c>
      <c r="C841" s="36" t="str">
        <f>UPPER(TEXT(Dados_Cursos[[#This Row],[Data]],"mmm"))</f>
        <v>NOV</v>
      </c>
      <c r="D841" s="52" t="s">
        <v>2334</v>
      </c>
      <c r="E841" s="49" t="str">
        <f>VLOOKUP(Dados_Cursos[[#This Row],[ID]],Apoio!A834:H1834,2,0)</f>
        <v>ana.barbosa834@gmail.com</v>
      </c>
      <c r="F841" s="36" t="s">
        <v>950</v>
      </c>
      <c r="G841" s="36" t="s">
        <v>2666</v>
      </c>
      <c r="H841" s="38">
        <v>1200</v>
      </c>
      <c r="I841" s="49">
        <v>5</v>
      </c>
      <c r="J841" s="49" t="str">
        <f>VLOOKUP(Dados_Cursos[[#This Row],[ID]],Apoio!A834:H1834,4,0)</f>
        <v>Moxico Leste</v>
      </c>
      <c r="K841" s="37" t="s">
        <v>113</v>
      </c>
      <c r="L841" s="37" t="s">
        <v>2649</v>
      </c>
      <c r="M841" s="53"/>
    </row>
    <row r="842" spans="1:13" ht="20.100000000000001" customHeight="1" x14ac:dyDescent="0.25">
      <c r="A842" s="49">
        <v>835</v>
      </c>
      <c r="B842" s="55">
        <v>45524</v>
      </c>
      <c r="C842" s="36" t="str">
        <f>UPPER(TEXT(Dados_Cursos[[#This Row],[Data]],"mmm"))</f>
        <v>AGO</v>
      </c>
      <c r="D842" s="52" t="s">
        <v>2287</v>
      </c>
      <c r="E842" s="49" t="str">
        <f>VLOOKUP(Dados_Cursos[[#This Row],[ID]],Apoio!A835:H1835,2,0)</f>
        <v>sofia.tavares835@gmail.com</v>
      </c>
      <c r="F842" s="36" t="s">
        <v>951</v>
      </c>
      <c r="G842" s="36" t="s">
        <v>2665</v>
      </c>
      <c r="H842" s="38">
        <v>1500</v>
      </c>
      <c r="I842" s="49">
        <v>5</v>
      </c>
      <c r="J842" s="49" t="str">
        <f>VLOOKUP(Dados_Cursos[[#This Row],[ID]],Apoio!A835:H1835,4,0)</f>
        <v>Moxico</v>
      </c>
      <c r="K842" s="37" t="s">
        <v>112</v>
      </c>
      <c r="L842" s="37" t="s">
        <v>109</v>
      </c>
      <c r="M842" s="53"/>
    </row>
    <row r="843" spans="1:13" ht="20.100000000000001" customHeight="1" x14ac:dyDescent="0.25">
      <c r="A843" s="49">
        <v>836</v>
      </c>
      <c r="B843" s="55">
        <v>45449</v>
      </c>
      <c r="C843" s="36" t="str">
        <f>UPPER(TEXT(Dados_Cursos[[#This Row],[Data]],"mmm"))</f>
        <v>JUN</v>
      </c>
      <c r="D843" s="52" t="s">
        <v>2446</v>
      </c>
      <c r="E843" s="49" t="str">
        <f>VLOOKUP(Dados_Cursos[[#This Row],[ID]],Apoio!A836:H1836,2,0)</f>
        <v>pedro.costa836@gmail.com</v>
      </c>
      <c r="F843" s="36" t="s">
        <v>952</v>
      </c>
      <c r="G843" s="36" t="s">
        <v>2666</v>
      </c>
      <c r="H843" s="38">
        <v>800</v>
      </c>
      <c r="I843" s="49">
        <v>6</v>
      </c>
      <c r="J843" s="49" t="str">
        <f>VLOOKUP(Dados_Cursos[[#This Row],[ID]],Apoio!A836:H1836,4,0)</f>
        <v>Zaire</v>
      </c>
      <c r="K843" s="37" t="s">
        <v>113</v>
      </c>
      <c r="L843" s="37" t="s">
        <v>2649</v>
      </c>
      <c r="M843" s="53"/>
    </row>
    <row r="844" spans="1:13" ht="20.100000000000001" customHeight="1" x14ac:dyDescent="0.25">
      <c r="A844" s="49">
        <v>837</v>
      </c>
      <c r="B844" s="55">
        <v>45503</v>
      </c>
      <c r="C844" s="36" t="str">
        <f>UPPER(TEXT(Dados_Cursos[[#This Row],[Data]],"mmm"))</f>
        <v>JUL</v>
      </c>
      <c r="D844" s="52" t="s">
        <v>1980</v>
      </c>
      <c r="E844" s="49" t="str">
        <f>VLOOKUP(Dados_Cursos[[#This Row],[ID]],Apoio!A837:H1837,2,0)</f>
        <v>rosa.rodrigues837@gmail.com</v>
      </c>
      <c r="F844" s="36" t="s">
        <v>953</v>
      </c>
      <c r="G844" s="36" t="s">
        <v>2665</v>
      </c>
      <c r="H844" s="38">
        <v>1500</v>
      </c>
      <c r="I844" s="49">
        <v>19</v>
      </c>
      <c r="J844" s="49" t="str">
        <f>VLOOKUP(Dados_Cursos[[#This Row],[ID]],Apoio!A837:H1837,4,0)</f>
        <v>Cunene</v>
      </c>
      <c r="K844" s="37" t="s">
        <v>113</v>
      </c>
      <c r="L844" s="37" t="s">
        <v>111</v>
      </c>
      <c r="M844" s="53"/>
    </row>
    <row r="845" spans="1:13" ht="20.100000000000001" customHeight="1" x14ac:dyDescent="0.25">
      <c r="A845" s="49">
        <v>838</v>
      </c>
      <c r="B845" s="55">
        <v>45320</v>
      </c>
      <c r="C845" s="36" t="str">
        <f>UPPER(TEXT(Dados_Cursos[[#This Row],[Data]],"mmm"))</f>
        <v>JAN</v>
      </c>
      <c r="D845" s="52" t="s">
        <v>1321</v>
      </c>
      <c r="E845" s="49" t="str">
        <f>VLOOKUP(Dados_Cursos[[#This Row],[ID]],Apoio!A838:H1838,2,0)</f>
        <v>bruno.pinto838@gmail.com</v>
      </c>
      <c r="F845" s="36" t="s">
        <v>954</v>
      </c>
      <c r="G845" s="36" t="s">
        <v>2665</v>
      </c>
      <c r="H845" s="38">
        <v>1500</v>
      </c>
      <c r="I845" s="49">
        <v>9</v>
      </c>
      <c r="J845" s="49" t="str">
        <f>VLOOKUP(Dados_Cursos[[#This Row],[ID]],Apoio!A838:H1838,4,0)</f>
        <v>Namibe</v>
      </c>
      <c r="K845" s="37" t="s">
        <v>112</v>
      </c>
      <c r="L845" s="37" t="s">
        <v>109</v>
      </c>
      <c r="M845" s="53"/>
    </row>
    <row r="846" spans="1:13" ht="20.100000000000001" customHeight="1" x14ac:dyDescent="0.25">
      <c r="A846" s="49">
        <v>839</v>
      </c>
      <c r="B846" s="55">
        <v>45650</v>
      </c>
      <c r="C846" s="36" t="str">
        <f>UPPER(TEXT(Dados_Cursos[[#This Row],[Data]],"mmm"))</f>
        <v>DEZ</v>
      </c>
      <c r="D846" s="52" t="s">
        <v>1440</v>
      </c>
      <c r="E846" s="49" t="str">
        <f>VLOOKUP(Dados_Cursos[[#This Row],[ID]],Apoio!A839:H1839,2,0)</f>
        <v>joaquim.pereira839@gmail.com</v>
      </c>
      <c r="F846" s="36" t="s">
        <v>955</v>
      </c>
      <c r="G846" s="36" t="s">
        <v>2665</v>
      </c>
      <c r="H846" s="38">
        <v>1500</v>
      </c>
      <c r="I846" s="49">
        <v>1</v>
      </c>
      <c r="J846" s="49" t="str">
        <f>VLOOKUP(Dados_Cursos[[#This Row],[ID]],Apoio!A839:H1839,4,0)</f>
        <v>Malanje</v>
      </c>
      <c r="K846" s="37" t="s">
        <v>112</v>
      </c>
      <c r="L846" s="37" t="s">
        <v>109</v>
      </c>
      <c r="M846" s="53"/>
    </row>
    <row r="847" spans="1:13" ht="20.100000000000001" customHeight="1" x14ac:dyDescent="0.25">
      <c r="A847" s="49">
        <v>840</v>
      </c>
      <c r="B847" s="55">
        <v>45585</v>
      </c>
      <c r="C847" s="36" t="str">
        <f>UPPER(TEXT(Dados_Cursos[[#This Row],[Data]],"mmm"))</f>
        <v>OUT</v>
      </c>
      <c r="D847" s="52" t="s">
        <v>1665</v>
      </c>
      <c r="E847" s="49" t="str">
        <f>VLOOKUP(Dados_Cursos[[#This Row],[ID]],Apoio!A840:H1840,2,0)</f>
        <v>luís.martins840@gmail.com</v>
      </c>
      <c r="F847" s="36" t="s">
        <v>956</v>
      </c>
      <c r="G847" s="36" t="s">
        <v>2666</v>
      </c>
      <c r="H847" s="38">
        <v>1200</v>
      </c>
      <c r="I847" s="49">
        <v>3</v>
      </c>
      <c r="J847" s="49" t="str">
        <f>VLOOKUP(Dados_Cursos[[#This Row],[ID]],Apoio!A840:H1840,4,0)</f>
        <v>Lunda Norte</v>
      </c>
      <c r="K847" s="37" t="s">
        <v>113</v>
      </c>
      <c r="L847" s="37" t="s">
        <v>110</v>
      </c>
      <c r="M847" s="53"/>
    </row>
    <row r="848" spans="1:13" ht="20.100000000000001" customHeight="1" x14ac:dyDescent="0.25">
      <c r="A848" s="49">
        <v>841</v>
      </c>
      <c r="B848" s="55">
        <v>45322</v>
      </c>
      <c r="C848" s="36" t="str">
        <f>UPPER(TEXT(Dados_Cursos[[#This Row],[Data]],"mmm"))</f>
        <v>JAN</v>
      </c>
      <c r="D848" s="52" t="s">
        <v>2116</v>
      </c>
      <c r="E848" s="49" t="str">
        <f>VLOOKUP(Dados_Cursos[[#This Row],[ID]],Apoio!A841:H1841,2,0)</f>
        <v>mateus.barbosa841@gmail.com</v>
      </c>
      <c r="F848" s="36" t="s">
        <v>957</v>
      </c>
      <c r="G848" s="36" t="s">
        <v>2666</v>
      </c>
      <c r="H848" s="38">
        <v>1200</v>
      </c>
      <c r="I848" s="49">
        <v>6</v>
      </c>
      <c r="J848" s="49" t="str">
        <f>VLOOKUP(Dados_Cursos[[#This Row],[ID]],Apoio!A841:H1841,4,0)</f>
        <v>Cabinda</v>
      </c>
      <c r="K848" s="37" t="s">
        <v>113</v>
      </c>
      <c r="L848" s="37" t="s">
        <v>110</v>
      </c>
      <c r="M848" s="53"/>
    </row>
    <row r="849" spans="1:13" ht="20.100000000000001" customHeight="1" x14ac:dyDescent="0.25">
      <c r="A849" s="49">
        <v>842</v>
      </c>
      <c r="B849" s="55">
        <v>45450</v>
      </c>
      <c r="C849" s="36" t="str">
        <f>UPPER(TEXT(Dados_Cursos[[#This Row],[Data]],"mmm"))</f>
        <v>JUN</v>
      </c>
      <c r="D849" s="52" t="s">
        <v>2027</v>
      </c>
      <c r="E849" s="49" t="str">
        <f>VLOOKUP(Dados_Cursos[[#This Row],[ID]],Apoio!A842:H1842,2,0)</f>
        <v>teresa.david842@gmail.com</v>
      </c>
      <c r="F849" s="36" t="s">
        <v>958</v>
      </c>
      <c r="G849" s="36" t="s">
        <v>2666</v>
      </c>
      <c r="H849" s="38">
        <v>800</v>
      </c>
      <c r="I849" s="49">
        <v>17</v>
      </c>
      <c r="J849" s="49" t="str">
        <f>VLOOKUP(Dados_Cursos[[#This Row],[ID]],Apoio!A842:H1842,4,0)</f>
        <v>Malanje</v>
      </c>
      <c r="K849" s="37" t="s">
        <v>112</v>
      </c>
      <c r="L849" s="37" t="s">
        <v>109</v>
      </c>
      <c r="M849" s="53"/>
    </row>
    <row r="850" spans="1:13" ht="20.100000000000001" customHeight="1" x14ac:dyDescent="0.25">
      <c r="A850" s="49">
        <v>843</v>
      </c>
      <c r="B850" s="55">
        <v>45603</v>
      </c>
      <c r="C850" s="36" t="str">
        <f>UPPER(TEXT(Dados_Cursos[[#This Row],[Data]],"mmm"))</f>
        <v>NOV</v>
      </c>
      <c r="D850" s="52" t="s">
        <v>1850</v>
      </c>
      <c r="E850" s="49" t="str">
        <f>VLOOKUP(Dados_Cursos[[#This Row],[ID]],Apoio!A843:H1843,2,0)</f>
        <v>marta.tavares843@gmail.com</v>
      </c>
      <c r="F850" s="36" t="s">
        <v>959</v>
      </c>
      <c r="G850" s="36" t="s">
        <v>2666</v>
      </c>
      <c r="H850" s="38">
        <v>800</v>
      </c>
      <c r="I850" s="49">
        <v>15</v>
      </c>
      <c r="J850" s="49" t="str">
        <f>VLOOKUP(Dados_Cursos[[#This Row],[ID]],Apoio!A843:H1843,4,0)</f>
        <v>Cubango</v>
      </c>
      <c r="K850" s="37" t="s">
        <v>113</v>
      </c>
      <c r="L850" s="37" t="s">
        <v>111</v>
      </c>
      <c r="M850" s="53"/>
    </row>
    <row r="851" spans="1:13" ht="20.100000000000001" customHeight="1" x14ac:dyDescent="0.25">
      <c r="A851" s="49">
        <v>844</v>
      </c>
      <c r="B851" s="55">
        <v>45462</v>
      </c>
      <c r="C851" s="36" t="str">
        <f>UPPER(TEXT(Dados_Cursos[[#This Row],[Data]],"mmm"))</f>
        <v>JUN</v>
      </c>
      <c r="D851" s="52" t="s">
        <v>1488</v>
      </c>
      <c r="E851" s="49" t="str">
        <f>VLOOKUP(Dados_Cursos[[#This Row],[ID]],Apoio!A844:H1844,2,0)</f>
        <v>teresa.lopes844@gmail.com</v>
      </c>
      <c r="F851" s="36" t="s">
        <v>960</v>
      </c>
      <c r="G851" s="36" t="s">
        <v>2665</v>
      </c>
      <c r="H851" s="38">
        <v>1500</v>
      </c>
      <c r="I851" s="49">
        <v>5</v>
      </c>
      <c r="J851" s="49" t="str">
        <f>VLOOKUP(Dados_Cursos[[#This Row],[ID]],Apoio!A844:H1844,4,0)</f>
        <v>Benguela</v>
      </c>
      <c r="K851" s="37" t="s">
        <v>113</v>
      </c>
      <c r="L851" s="37" t="s">
        <v>111</v>
      </c>
      <c r="M851" s="53"/>
    </row>
    <row r="852" spans="1:13" ht="20.100000000000001" customHeight="1" x14ac:dyDescent="0.25">
      <c r="A852" s="49">
        <v>845</v>
      </c>
      <c r="B852" s="55">
        <v>45621</v>
      </c>
      <c r="C852" s="36" t="str">
        <f>UPPER(TEXT(Dados_Cursos[[#This Row],[Data]],"mmm"))</f>
        <v>NOV</v>
      </c>
      <c r="D852" s="52" t="s">
        <v>1202</v>
      </c>
      <c r="E852" s="49" t="str">
        <f>VLOOKUP(Dados_Cursos[[#This Row],[ID]],Apoio!A845:H1845,2,0)</f>
        <v>isabel.pinto845@gmail.com</v>
      </c>
      <c r="F852" s="36" t="s">
        <v>961</v>
      </c>
      <c r="G852" s="36" t="s">
        <v>2666</v>
      </c>
      <c r="H852" s="38">
        <v>800</v>
      </c>
      <c r="I852" s="49">
        <v>16</v>
      </c>
      <c r="J852" s="49" t="str">
        <f>VLOOKUP(Dados_Cursos[[#This Row],[ID]],Apoio!A845:H1845,4,0)</f>
        <v>Cuando</v>
      </c>
      <c r="K852" s="37" t="s">
        <v>113</v>
      </c>
      <c r="L852" s="37" t="s">
        <v>2649</v>
      </c>
      <c r="M852" s="53"/>
    </row>
    <row r="853" spans="1:13" ht="20.100000000000001" customHeight="1" x14ac:dyDescent="0.25">
      <c r="A853" s="49">
        <v>846</v>
      </c>
      <c r="B853" s="55">
        <v>45445</v>
      </c>
      <c r="C853" s="36" t="str">
        <f>UPPER(TEXT(Dados_Cursos[[#This Row],[Data]],"mmm"))</f>
        <v>JUN</v>
      </c>
      <c r="D853" s="52" t="s">
        <v>1586</v>
      </c>
      <c r="E853" s="49" t="str">
        <f>VLOOKUP(Dados_Cursos[[#This Row],[ID]],Apoio!A846:H1846,2,0)</f>
        <v>ana.silva846@gmail.com</v>
      </c>
      <c r="F853" s="36" t="s">
        <v>962</v>
      </c>
      <c r="G853" s="36" t="s">
        <v>2666</v>
      </c>
      <c r="H853" s="38">
        <v>800</v>
      </c>
      <c r="I853" s="49">
        <v>7</v>
      </c>
      <c r="J853" s="49" t="str">
        <f>VLOOKUP(Dados_Cursos[[#This Row],[ID]],Apoio!A846:H1846,4,0)</f>
        <v>Luanda</v>
      </c>
      <c r="K853" s="37" t="s">
        <v>113</v>
      </c>
      <c r="L853" s="37" t="s">
        <v>110</v>
      </c>
      <c r="M853" s="53"/>
    </row>
    <row r="854" spans="1:13" ht="20.100000000000001" customHeight="1" x14ac:dyDescent="0.25">
      <c r="A854" s="49">
        <v>847</v>
      </c>
      <c r="B854" s="55">
        <v>45628</v>
      </c>
      <c r="C854" s="36" t="str">
        <f>UPPER(TEXT(Dados_Cursos[[#This Row],[Data]],"mmm"))</f>
        <v>DEZ</v>
      </c>
      <c r="D854" s="52" t="s">
        <v>2193</v>
      </c>
      <c r="E854" s="49" t="str">
        <f>VLOOKUP(Dados_Cursos[[#This Row],[ID]],Apoio!A847:H1847,2,0)</f>
        <v>pedro.miguel847@gmail.com</v>
      </c>
      <c r="F854" s="36" t="s">
        <v>963</v>
      </c>
      <c r="G854" s="36" t="s">
        <v>2666</v>
      </c>
      <c r="H854" s="38">
        <v>1200</v>
      </c>
      <c r="I854" s="49">
        <v>19</v>
      </c>
      <c r="J854" s="49" t="str">
        <f>VLOOKUP(Dados_Cursos[[#This Row],[ID]],Apoio!A847:H1847,4,0)</f>
        <v>Bié</v>
      </c>
      <c r="K854" s="37" t="s">
        <v>113</v>
      </c>
      <c r="L854" s="37" t="s">
        <v>110</v>
      </c>
      <c r="M854" s="53"/>
    </row>
    <row r="855" spans="1:13" ht="20.100000000000001" customHeight="1" x14ac:dyDescent="0.25">
      <c r="A855" s="49">
        <v>848</v>
      </c>
      <c r="B855" s="55">
        <v>45617</v>
      </c>
      <c r="C855" s="36" t="str">
        <f>UPPER(TEXT(Dados_Cursos[[#This Row],[Data]],"mmm"))</f>
        <v>NOV</v>
      </c>
      <c r="D855" s="52" t="s">
        <v>1255</v>
      </c>
      <c r="E855" s="49" t="str">
        <f>VLOOKUP(Dados_Cursos[[#This Row],[ID]],Apoio!A848:H1848,2,0)</f>
        <v>maria.martins848@gmail.com</v>
      </c>
      <c r="F855" s="36" t="s">
        <v>964</v>
      </c>
      <c r="G855" s="36" t="s">
        <v>2666</v>
      </c>
      <c r="H855" s="38">
        <v>800</v>
      </c>
      <c r="I855" s="49">
        <v>4</v>
      </c>
      <c r="J855" s="49" t="str">
        <f>VLOOKUP(Dados_Cursos[[#This Row],[ID]],Apoio!A848:H1848,4,0)</f>
        <v>Luanda</v>
      </c>
      <c r="K855" s="37" t="s">
        <v>113</v>
      </c>
      <c r="L855" s="37" t="s">
        <v>110</v>
      </c>
      <c r="M855" s="53"/>
    </row>
    <row r="856" spans="1:13" ht="20.100000000000001" customHeight="1" x14ac:dyDescent="0.25">
      <c r="A856" s="49">
        <v>849</v>
      </c>
      <c r="B856" s="55">
        <v>45321</v>
      </c>
      <c r="C856" s="36" t="str">
        <f>UPPER(TEXT(Dados_Cursos[[#This Row],[Data]],"mmm"))</f>
        <v>JAN</v>
      </c>
      <c r="D856" s="52" t="s">
        <v>2332</v>
      </c>
      <c r="E856" s="49" t="str">
        <f>VLOOKUP(Dados_Cursos[[#This Row],[ID]],Apoio!A849:H1849,2,0)</f>
        <v>maria.soares849@gmail.com</v>
      </c>
      <c r="F856" s="36" t="s">
        <v>965</v>
      </c>
      <c r="G856" s="36" t="s">
        <v>2665</v>
      </c>
      <c r="H856" s="38">
        <v>1500</v>
      </c>
      <c r="I856" s="49">
        <v>3</v>
      </c>
      <c r="J856" s="49" t="str">
        <f>VLOOKUP(Dados_Cursos[[#This Row],[ID]],Apoio!A849:H1849,4,0)</f>
        <v>Cabinda</v>
      </c>
      <c r="K856" s="37" t="s">
        <v>113</v>
      </c>
      <c r="L856" s="37" t="s">
        <v>2649</v>
      </c>
      <c r="M856" s="53"/>
    </row>
    <row r="857" spans="1:13" ht="20.100000000000001" customHeight="1" x14ac:dyDescent="0.25">
      <c r="A857" s="49">
        <v>850</v>
      </c>
      <c r="B857" s="55">
        <v>45585</v>
      </c>
      <c r="C857" s="36" t="str">
        <f>UPPER(TEXT(Dados_Cursos[[#This Row],[Data]],"mmm"))</f>
        <v>OUT</v>
      </c>
      <c r="D857" s="52" t="s">
        <v>2461</v>
      </c>
      <c r="E857" s="49" t="str">
        <f>VLOOKUP(Dados_Cursos[[#This Row],[ID]],Apoio!A850:H1850,2,0)</f>
        <v>adriano.monteiro850@gmail.com</v>
      </c>
      <c r="F857" s="36" t="s">
        <v>966</v>
      </c>
      <c r="G857" s="36" t="s">
        <v>2666</v>
      </c>
      <c r="H857" s="38">
        <v>1200</v>
      </c>
      <c r="I857" s="49">
        <v>6</v>
      </c>
      <c r="J857" s="49" t="str">
        <f>VLOOKUP(Dados_Cursos[[#This Row],[ID]],Apoio!A850:H1850,4,0)</f>
        <v>Icolo e Bengo</v>
      </c>
      <c r="K857" s="37" t="s">
        <v>112</v>
      </c>
      <c r="L857" s="37" t="s">
        <v>109</v>
      </c>
      <c r="M857" s="53"/>
    </row>
    <row r="858" spans="1:13" ht="20.100000000000001" customHeight="1" x14ac:dyDescent="0.25">
      <c r="A858" s="49">
        <v>851</v>
      </c>
      <c r="B858" s="55">
        <v>45510</v>
      </c>
      <c r="C858" s="36" t="str">
        <f>UPPER(TEXT(Dados_Cursos[[#This Row],[Data]],"mmm"))</f>
        <v>AGO</v>
      </c>
      <c r="D858" s="52" t="s">
        <v>1577</v>
      </c>
      <c r="E858" s="49" t="str">
        <f>VLOOKUP(Dados_Cursos[[#This Row],[ID]],Apoio!A851:H1851,2,0)</f>
        <v>marta.fernandes851@gmail.com</v>
      </c>
      <c r="F858" s="36" t="s">
        <v>967</v>
      </c>
      <c r="G858" s="36" t="s">
        <v>2665</v>
      </c>
      <c r="H858" s="38">
        <v>1500</v>
      </c>
      <c r="I858" s="49">
        <v>9</v>
      </c>
      <c r="J858" s="49" t="str">
        <f>VLOOKUP(Dados_Cursos[[#This Row],[ID]],Apoio!A851:H1851,4,0)</f>
        <v>Lunda Sul</v>
      </c>
      <c r="K858" s="37" t="s">
        <v>113</v>
      </c>
      <c r="L858" s="37" t="s">
        <v>2649</v>
      </c>
      <c r="M858" s="53"/>
    </row>
    <row r="859" spans="1:13" ht="20.100000000000001" customHeight="1" x14ac:dyDescent="0.25">
      <c r="A859" s="49">
        <v>852</v>
      </c>
      <c r="B859" s="55">
        <v>45323</v>
      </c>
      <c r="C859" s="36" t="str">
        <f>UPPER(TEXT(Dados_Cursos[[#This Row],[Data]],"mmm"))</f>
        <v>FEV</v>
      </c>
      <c r="D859" s="52" t="s">
        <v>2464</v>
      </c>
      <c r="E859" s="49" t="str">
        <f>VLOOKUP(Dados_Cursos[[#This Row],[ID]],Apoio!A852:H1852,2,0)</f>
        <v>josé.miguel852@gmail.com</v>
      </c>
      <c r="F859" s="36" t="s">
        <v>968</v>
      </c>
      <c r="G859" s="36" t="s">
        <v>2666</v>
      </c>
      <c r="H859" s="38">
        <v>1200</v>
      </c>
      <c r="I859" s="49">
        <v>10</v>
      </c>
      <c r="J859" s="49" t="str">
        <f>VLOOKUP(Dados_Cursos[[#This Row],[ID]],Apoio!A852:H1852,4,0)</f>
        <v>Moxico Leste</v>
      </c>
      <c r="K859" s="37" t="s">
        <v>113</v>
      </c>
      <c r="L859" s="37" t="s">
        <v>111</v>
      </c>
      <c r="M859" s="53"/>
    </row>
    <row r="860" spans="1:13" ht="20.100000000000001" customHeight="1" x14ac:dyDescent="0.25">
      <c r="A860" s="49">
        <v>853</v>
      </c>
      <c r="B860" s="55">
        <v>45500</v>
      </c>
      <c r="C860" s="36" t="str">
        <f>UPPER(TEXT(Dados_Cursos[[#This Row],[Data]],"mmm"))</f>
        <v>JUL</v>
      </c>
      <c r="D860" s="52" t="s">
        <v>2466</v>
      </c>
      <c r="E860" s="49" t="str">
        <f>VLOOKUP(Dados_Cursos[[#This Row],[ID]],Apoio!A853:H1853,2,0)</f>
        <v>cláudia.miguel853@gmail.com</v>
      </c>
      <c r="F860" s="36" t="s">
        <v>969</v>
      </c>
      <c r="G860" s="36" t="s">
        <v>2665</v>
      </c>
      <c r="H860" s="38">
        <v>1500</v>
      </c>
      <c r="I860" s="49">
        <v>10</v>
      </c>
      <c r="J860" s="49" t="str">
        <f>VLOOKUP(Dados_Cursos[[#This Row],[ID]],Apoio!A853:H1853,4,0)</f>
        <v>Moxico</v>
      </c>
      <c r="K860" s="37" t="s">
        <v>113</v>
      </c>
      <c r="L860" s="37" t="s">
        <v>110</v>
      </c>
      <c r="M860" s="53"/>
    </row>
    <row r="861" spans="1:13" ht="20.100000000000001" customHeight="1" x14ac:dyDescent="0.25">
      <c r="A861" s="49">
        <v>854</v>
      </c>
      <c r="B861" s="55">
        <v>45414</v>
      </c>
      <c r="C861" s="36" t="str">
        <f>UPPER(TEXT(Dados_Cursos[[#This Row],[Data]],"mmm"))</f>
        <v>MAI</v>
      </c>
      <c r="D861" s="52" t="s">
        <v>1274</v>
      </c>
      <c r="E861" s="49" t="str">
        <f>VLOOKUP(Dados_Cursos[[#This Row],[ID]],Apoio!A854:H1854,2,0)</f>
        <v>mateus.lopes854@gmail.com</v>
      </c>
      <c r="F861" s="36" t="s">
        <v>970</v>
      </c>
      <c r="G861" s="36" t="s">
        <v>2665</v>
      </c>
      <c r="H861" s="38">
        <v>1500</v>
      </c>
      <c r="I861" s="49">
        <v>1</v>
      </c>
      <c r="J861" s="49" t="str">
        <f>VLOOKUP(Dados_Cursos[[#This Row],[ID]],Apoio!A854:H1854,4,0)</f>
        <v>Cuando</v>
      </c>
      <c r="K861" s="37" t="s">
        <v>113</v>
      </c>
      <c r="L861" s="37" t="s">
        <v>111</v>
      </c>
      <c r="M861" s="53"/>
    </row>
    <row r="862" spans="1:13" ht="20.100000000000001" customHeight="1" x14ac:dyDescent="0.25">
      <c r="A862" s="49">
        <v>855</v>
      </c>
      <c r="B862" s="55">
        <v>45623</v>
      </c>
      <c r="C862" s="36" t="str">
        <f>UPPER(TEXT(Dados_Cursos[[#This Row],[Data]],"mmm"))</f>
        <v>NOV</v>
      </c>
      <c r="D862" s="52" t="s">
        <v>1484</v>
      </c>
      <c r="E862" s="49" t="str">
        <f>VLOOKUP(Dados_Cursos[[#This Row],[ID]],Apoio!A855:H1855,2,0)</f>
        <v>isabel.costa855@gmail.com</v>
      </c>
      <c r="F862" s="36" t="s">
        <v>971</v>
      </c>
      <c r="G862" s="36" t="s">
        <v>2666</v>
      </c>
      <c r="H862" s="38">
        <v>1200</v>
      </c>
      <c r="I862" s="49">
        <v>20</v>
      </c>
      <c r="J862" s="49" t="str">
        <f>VLOOKUP(Dados_Cursos[[#This Row],[ID]],Apoio!A855:H1855,4,0)</f>
        <v>Icolo e Bengo</v>
      </c>
      <c r="K862" s="37" t="s">
        <v>112</v>
      </c>
      <c r="L862" s="37" t="s">
        <v>109</v>
      </c>
      <c r="M862" s="53"/>
    </row>
    <row r="863" spans="1:13" ht="20.100000000000001" customHeight="1" x14ac:dyDescent="0.25">
      <c r="A863" s="49">
        <v>856</v>
      </c>
      <c r="B863" s="55">
        <v>45340</v>
      </c>
      <c r="C863" s="36" t="str">
        <f>UPPER(TEXT(Dados_Cursos[[#This Row],[Data]],"mmm"))</f>
        <v>FEV</v>
      </c>
      <c r="D863" s="52" t="s">
        <v>1265</v>
      </c>
      <c r="E863" s="49" t="str">
        <f>VLOOKUP(Dados_Cursos[[#This Row],[ID]],Apoio!A856:H1856,2,0)</f>
        <v>manuel.costa856@gmail.com</v>
      </c>
      <c r="F863" s="36" t="s">
        <v>972</v>
      </c>
      <c r="G863" s="36" t="s">
        <v>2666</v>
      </c>
      <c r="H863" s="38">
        <v>1200</v>
      </c>
      <c r="I863" s="49">
        <v>12</v>
      </c>
      <c r="J863" s="49" t="str">
        <f>VLOOKUP(Dados_Cursos[[#This Row],[ID]],Apoio!A856:H1856,4,0)</f>
        <v>Malanje</v>
      </c>
      <c r="K863" s="37" t="s">
        <v>113</v>
      </c>
      <c r="L863" s="37" t="s">
        <v>2649</v>
      </c>
      <c r="M863" s="53"/>
    </row>
    <row r="864" spans="1:13" ht="20.100000000000001" customHeight="1" x14ac:dyDescent="0.25">
      <c r="A864" s="49">
        <v>857</v>
      </c>
      <c r="B864" s="55">
        <v>45415</v>
      </c>
      <c r="C864" s="36" t="str">
        <f>UPPER(TEXT(Dados_Cursos[[#This Row],[Data]],"mmm"))</f>
        <v>MAI</v>
      </c>
      <c r="D864" s="52" t="s">
        <v>2399</v>
      </c>
      <c r="E864" s="49" t="str">
        <f>VLOOKUP(Dados_Cursos[[#This Row],[ID]],Apoio!A857:H1857,2,0)</f>
        <v>helena.santos857@gmail.com</v>
      </c>
      <c r="F864" s="36" t="s">
        <v>973</v>
      </c>
      <c r="G864" s="36" t="s">
        <v>2666</v>
      </c>
      <c r="H864" s="38">
        <v>1200</v>
      </c>
      <c r="I864" s="49">
        <v>19</v>
      </c>
      <c r="J864" s="49" t="str">
        <f>VLOOKUP(Dados_Cursos[[#This Row],[ID]],Apoio!A857:H1857,4,0)</f>
        <v>Luanda</v>
      </c>
      <c r="K864" s="37" t="s">
        <v>113</v>
      </c>
      <c r="L864" s="37" t="s">
        <v>2649</v>
      </c>
      <c r="M864" s="53"/>
    </row>
    <row r="865" spans="1:13" ht="20.100000000000001" customHeight="1" x14ac:dyDescent="0.25">
      <c r="A865" s="49">
        <v>858</v>
      </c>
      <c r="B865" s="55">
        <v>45640</v>
      </c>
      <c r="C865" s="36" t="str">
        <f>UPPER(TEXT(Dados_Cursos[[#This Row],[Data]],"mmm"))</f>
        <v>DEZ</v>
      </c>
      <c r="D865" s="52" t="s">
        <v>2472</v>
      </c>
      <c r="E865" s="49" t="str">
        <f>VLOOKUP(Dados_Cursos[[#This Row],[ID]],Apoio!A858:H1858,2,0)</f>
        <v>benedito.soares858@gmail.com</v>
      </c>
      <c r="F865" s="36" t="s">
        <v>974</v>
      </c>
      <c r="G865" s="36" t="s">
        <v>2666</v>
      </c>
      <c r="H865" s="38">
        <v>800</v>
      </c>
      <c r="I865" s="49">
        <v>11</v>
      </c>
      <c r="J865" s="49" t="str">
        <f>VLOOKUP(Dados_Cursos[[#This Row],[ID]],Apoio!A858:H1858,4,0)</f>
        <v>Moxico Leste</v>
      </c>
      <c r="K865" s="37" t="s">
        <v>112</v>
      </c>
      <c r="L865" s="37" t="s">
        <v>109</v>
      </c>
      <c r="M865" s="53"/>
    </row>
    <row r="866" spans="1:13" ht="20.100000000000001" customHeight="1" x14ac:dyDescent="0.25">
      <c r="A866" s="49">
        <v>859</v>
      </c>
      <c r="B866" s="55">
        <v>45441</v>
      </c>
      <c r="C866" s="36" t="str">
        <f>UPPER(TEXT(Dados_Cursos[[#This Row],[Data]],"mmm"))</f>
        <v>MAI</v>
      </c>
      <c r="D866" s="52" t="s">
        <v>2125</v>
      </c>
      <c r="E866" s="49" t="str">
        <f>VLOOKUP(Dados_Cursos[[#This Row],[ID]],Apoio!A859:H1859,2,0)</f>
        <v>carlos.almeida859@gmail.com</v>
      </c>
      <c r="F866" s="36" t="s">
        <v>975</v>
      </c>
      <c r="G866" s="36" t="s">
        <v>2665</v>
      </c>
      <c r="H866" s="38">
        <v>1500</v>
      </c>
      <c r="I866" s="49">
        <v>7</v>
      </c>
      <c r="J866" s="49" t="str">
        <f>VLOOKUP(Dados_Cursos[[#This Row],[ID]],Apoio!A859:H1859,4,0)</f>
        <v>Moxico</v>
      </c>
      <c r="K866" s="37" t="s">
        <v>113</v>
      </c>
      <c r="L866" s="37" t="s">
        <v>2649</v>
      </c>
      <c r="M866" s="53"/>
    </row>
    <row r="867" spans="1:13" ht="20.100000000000001" customHeight="1" x14ac:dyDescent="0.25">
      <c r="A867" s="49">
        <v>860</v>
      </c>
      <c r="B867" s="55">
        <v>45616</v>
      </c>
      <c r="C867" s="36" t="str">
        <f>UPPER(TEXT(Dados_Cursos[[#This Row],[Data]],"mmm"))</f>
        <v>NOV</v>
      </c>
      <c r="D867" s="52" t="s">
        <v>1144</v>
      </c>
      <c r="E867" s="49" t="str">
        <f>VLOOKUP(Dados_Cursos[[#This Row],[ID]],Apoio!A860:H1860,2,0)</f>
        <v>samuel.monteiro860@gmail.com</v>
      </c>
      <c r="F867" s="36" t="s">
        <v>976</v>
      </c>
      <c r="G867" s="36" t="s">
        <v>2666</v>
      </c>
      <c r="H867" s="38">
        <v>1200</v>
      </c>
      <c r="I867" s="49">
        <v>18</v>
      </c>
      <c r="J867" s="49" t="str">
        <f>VLOOKUP(Dados_Cursos[[#This Row],[ID]],Apoio!A860:H1860,4,0)</f>
        <v>Luanda</v>
      </c>
      <c r="K867" s="37" t="s">
        <v>113</v>
      </c>
      <c r="L867" s="37" t="s">
        <v>111</v>
      </c>
      <c r="M867" s="53"/>
    </row>
    <row r="868" spans="1:13" ht="20.100000000000001" customHeight="1" x14ac:dyDescent="0.25">
      <c r="A868" s="49">
        <v>861</v>
      </c>
      <c r="B868" s="55">
        <v>45554</v>
      </c>
      <c r="C868" s="36" t="str">
        <f>UPPER(TEXT(Dados_Cursos[[#This Row],[Data]],"mmm"))</f>
        <v>SET</v>
      </c>
      <c r="D868" s="52" t="s">
        <v>1601</v>
      </c>
      <c r="E868" s="49" t="str">
        <f>VLOOKUP(Dados_Cursos[[#This Row],[ID]],Apoio!A861:H1861,2,0)</f>
        <v>maria.domingues861@gmail.com</v>
      </c>
      <c r="F868" s="36" t="s">
        <v>977</v>
      </c>
      <c r="G868" s="36" t="s">
        <v>2665</v>
      </c>
      <c r="H868" s="38">
        <v>1500</v>
      </c>
      <c r="I868" s="49">
        <v>19</v>
      </c>
      <c r="J868" s="49" t="str">
        <f>VLOOKUP(Dados_Cursos[[#This Row],[ID]],Apoio!A861:H1861,4,0)</f>
        <v>Icolo e Bengo</v>
      </c>
      <c r="K868" s="37" t="s">
        <v>113</v>
      </c>
      <c r="L868" s="37" t="s">
        <v>111</v>
      </c>
      <c r="M868" s="53"/>
    </row>
    <row r="869" spans="1:13" ht="20.100000000000001" customHeight="1" x14ac:dyDescent="0.25">
      <c r="A869" s="49">
        <v>862</v>
      </c>
      <c r="B869" s="55">
        <v>45402</v>
      </c>
      <c r="C869" s="36" t="str">
        <f>UPPER(TEXT(Dados_Cursos[[#This Row],[Data]],"mmm"))</f>
        <v>ABR</v>
      </c>
      <c r="D869" s="52" t="s">
        <v>2477</v>
      </c>
      <c r="E869" s="49" t="str">
        <f>VLOOKUP(Dados_Cursos[[#This Row],[ID]],Apoio!A862:H1862,2,0)</f>
        <v>ana.fernandes862@gmail.com</v>
      </c>
      <c r="F869" s="36" t="s">
        <v>978</v>
      </c>
      <c r="G869" s="36" t="s">
        <v>2665</v>
      </c>
      <c r="H869" s="38">
        <v>1500</v>
      </c>
      <c r="I869" s="49">
        <v>7</v>
      </c>
      <c r="J869" s="49" t="str">
        <f>VLOOKUP(Dados_Cursos[[#This Row],[ID]],Apoio!A862:H1862,4,0)</f>
        <v>Moxico</v>
      </c>
      <c r="K869" s="37" t="s">
        <v>113</v>
      </c>
      <c r="L869" s="37" t="s">
        <v>2649</v>
      </c>
      <c r="M869" s="53"/>
    </row>
    <row r="870" spans="1:13" ht="20.100000000000001" customHeight="1" x14ac:dyDescent="0.25">
      <c r="A870" s="49">
        <v>863</v>
      </c>
      <c r="B870" s="55">
        <v>45555</v>
      </c>
      <c r="C870" s="36" t="str">
        <f>UPPER(TEXT(Dados_Cursos[[#This Row],[Data]],"mmm"))</f>
        <v>SET</v>
      </c>
      <c r="D870" s="52" t="s">
        <v>1893</v>
      </c>
      <c r="E870" s="49" t="str">
        <f>VLOOKUP(Dados_Cursos[[#This Row],[ID]],Apoio!A863:H1863,2,0)</f>
        <v>paulo.gomes863@gmail.com</v>
      </c>
      <c r="F870" s="36" t="s">
        <v>979</v>
      </c>
      <c r="G870" s="36" t="s">
        <v>2666</v>
      </c>
      <c r="H870" s="38">
        <v>800</v>
      </c>
      <c r="I870" s="49">
        <v>7</v>
      </c>
      <c r="J870" s="49" t="str">
        <f>VLOOKUP(Dados_Cursos[[#This Row],[ID]],Apoio!A863:H1863,4,0)</f>
        <v>Cuanza Norte</v>
      </c>
      <c r="K870" s="37" t="s">
        <v>112</v>
      </c>
      <c r="L870" s="37" t="s">
        <v>109</v>
      </c>
      <c r="M870" s="53"/>
    </row>
    <row r="871" spans="1:13" ht="20.100000000000001" customHeight="1" x14ac:dyDescent="0.25">
      <c r="A871" s="49">
        <v>864</v>
      </c>
      <c r="B871" s="55">
        <v>45467</v>
      </c>
      <c r="C871" s="36" t="str">
        <f>UPPER(TEXT(Dados_Cursos[[#This Row],[Data]],"mmm"))</f>
        <v>JUN</v>
      </c>
      <c r="D871" s="52" t="s">
        <v>2480</v>
      </c>
      <c r="E871" s="49" t="str">
        <f>VLOOKUP(Dados_Cursos[[#This Row],[ID]],Apoio!A864:H1864,2,0)</f>
        <v>david.fernandes864@gmail.com</v>
      </c>
      <c r="F871" s="36" t="s">
        <v>980</v>
      </c>
      <c r="G871" s="36" t="s">
        <v>2666</v>
      </c>
      <c r="H871" s="38">
        <v>1200</v>
      </c>
      <c r="I871" s="49">
        <v>16</v>
      </c>
      <c r="J871" s="49" t="str">
        <f>VLOOKUP(Dados_Cursos[[#This Row],[ID]],Apoio!A864:H1864,4,0)</f>
        <v>Huíla</v>
      </c>
      <c r="K871" s="37" t="s">
        <v>113</v>
      </c>
      <c r="L871" s="37" t="s">
        <v>111</v>
      </c>
      <c r="M871" s="53"/>
    </row>
    <row r="872" spans="1:13" ht="20.100000000000001" customHeight="1" x14ac:dyDescent="0.25">
      <c r="A872" s="49">
        <v>865</v>
      </c>
      <c r="B872" s="55">
        <v>45528</v>
      </c>
      <c r="C872" s="36" t="str">
        <f>UPPER(TEXT(Dados_Cursos[[#This Row],[Data]],"mmm"))</f>
        <v>AGO</v>
      </c>
      <c r="D872" s="52" t="s">
        <v>1162</v>
      </c>
      <c r="E872" s="49" t="str">
        <f>VLOOKUP(Dados_Cursos[[#This Row],[ID]],Apoio!A865:H1865,2,0)</f>
        <v>benedito.barbosa865@gmail.com</v>
      </c>
      <c r="F872" s="36" t="s">
        <v>981</v>
      </c>
      <c r="G872" s="36" t="s">
        <v>2666</v>
      </c>
      <c r="H872" s="38">
        <v>800</v>
      </c>
      <c r="I872" s="49">
        <v>5</v>
      </c>
      <c r="J872" s="49" t="str">
        <f>VLOOKUP(Dados_Cursos[[#This Row],[ID]],Apoio!A865:H1865,4,0)</f>
        <v>Bié</v>
      </c>
      <c r="K872" s="37" t="s">
        <v>113</v>
      </c>
      <c r="L872" s="37" t="s">
        <v>110</v>
      </c>
      <c r="M872" s="53"/>
    </row>
    <row r="873" spans="1:13" ht="20.100000000000001" customHeight="1" x14ac:dyDescent="0.25">
      <c r="A873" s="49">
        <v>866</v>
      </c>
      <c r="B873" s="55">
        <v>45315</v>
      </c>
      <c r="C873" s="36" t="str">
        <f>UPPER(TEXT(Dados_Cursos[[#This Row],[Data]],"mmm"))</f>
        <v>JAN</v>
      </c>
      <c r="D873" s="52" t="s">
        <v>2216</v>
      </c>
      <c r="E873" s="49" t="str">
        <f>VLOOKUP(Dados_Cursos[[#This Row],[ID]],Apoio!A866:H1866,2,0)</f>
        <v>marta.costa866@gmail.com</v>
      </c>
      <c r="F873" s="36" t="s">
        <v>982</v>
      </c>
      <c r="G873" s="36" t="s">
        <v>2666</v>
      </c>
      <c r="H873" s="38">
        <v>800</v>
      </c>
      <c r="I873" s="49">
        <v>12</v>
      </c>
      <c r="J873" s="49" t="str">
        <f>VLOOKUP(Dados_Cursos[[#This Row],[ID]],Apoio!A866:H1866,4,0)</f>
        <v>Cunene</v>
      </c>
      <c r="K873" s="37" t="s">
        <v>112</v>
      </c>
      <c r="L873" s="37" t="s">
        <v>109</v>
      </c>
      <c r="M873" s="53"/>
    </row>
    <row r="874" spans="1:13" ht="20.100000000000001" customHeight="1" x14ac:dyDescent="0.25">
      <c r="A874" s="49">
        <v>867</v>
      </c>
      <c r="B874" s="55">
        <v>45542</v>
      </c>
      <c r="C874" s="36" t="str">
        <f>UPPER(TEXT(Dados_Cursos[[#This Row],[Data]],"mmm"))</f>
        <v>SET</v>
      </c>
      <c r="D874" s="52" t="s">
        <v>2484</v>
      </c>
      <c r="E874" s="49" t="str">
        <f>VLOOKUP(Dados_Cursos[[#This Row],[ID]],Apoio!A867:H1867,2,0)</f>
        <v>isabel.barbosa867@gmail.com</v>
      </c>
      <c r="F874" s="36" t="s">
        <v>983</v>
      </c>
      <c r="G874" s="36" t="s">
        <v>2665</v>
      </c>
      <c r="H874" s="38">
        <v>1500</v>
      </c>
      <c r="I874" s="49">
        <v>15</v>
      </c>
      <c r="J874" s="49" t="str">
        <f>VLOOKUP(Dados_Cursos[[#This Row],[ID]],Apoio!A867:H1867,4,0)</f>
        <v>Cuanza Norte</v>
      </c>
      <c r="K874" s="37" t="s">
        <v>113</v>
      </c>
      <c r="L874" s="37" t="s">
        <v>110</v>
      </c>
      <c r="M874" s="53"/>
    </row>
    <row r="875" spans="1:13" ht="20.100000000000001" customHeight="1" x14ac:dyDescent="0.25">
      <c r="A875" s="49">
        <v>868</v>
      </c>
      <c r="B875" s="55">
        <v>45363</v>
      </c>
      <c r="C875" s="36" t="str">
        <f>UPPER(TEXT(Dados_Cursos[[#This Row],[Data]],"mmm"))</f>
        <v>MAR</v>
      </c>
      <c r="D875" s="52" t="s">
        <v>1410</v>
      </c>
      <c r="E875" s="49" t="str">
        <f>VLOOKUP(Dados_Cursos[[#This Row],[ID]],Apoio!A868:H1868,2,0)</f>
        <v>francisco.pereira868@gmail.com</v>
      </c>
      <c r="F875" s="36" t="s">
        <v>984</v>
      </c>
      <c r="G875" s="36" t="s">
        <v>2665</v>
      </c>
      <c r="H875" s="38">
        <v>1500</v>
      </c>
      <c r="I875" s="49">
        <v>7</v>
      </c>
      <c r="J875" s="49" t="str">
        <f>VLOOKUP(Dados_Cursos[[#This Row],[ID]],Apoio!A868:H1868,4,0)</f>
        <v>Moxico Leste</v>
      </c>
      <c r="K875" s="37" t="s">
        <v>112</v>
      </c>
      <c r="L875" s="37" t="s">
        <v>109</v>
      </c>
      <c r="M875" s="53"/>
    </row>
    <row r="876" spans="1:13" ht="20.100000000000001" customHeight="1" x14ac:dyDescent="0.25">
      <c r="A876" s="49">
        <v>869</v>
      </c>
      <c r="B876" s="55">
        <v>45311</v>
      </c>
      <c r="C876" s="36" t="str">
        <f>UPPER(TEXT(Dados_Cursos[[#This Row],[Data]],"mmm"))</f>
        <v>JAN</v>
      </c>
      <c r="D876" s="52" t="s">
        <v>2487</v>
      </c>
      <c r="E876" s="49" t="str">
        <f>VLOOKUP(Dados_Cursos[[#This Row],[ID]],Apoio!A869:H1869,2,0)</f>
        <v>francisco.rodrigues869@gmail.com</v>
      </c>
      <c r="F876" s="36" t="s">
        <v>985</v>
      </c>
      <c r="G876" s="36" t="s">
        <v>2666</v>
      </c>
      <c r="H876" s="38">
        <v>1200</v>
      </c>
      <c r="I876" s="49">
        <v>12</v>
      </c>
      <c r="J876" s="49" t="str">
        <f>VLOOKUP(Dados_Cursos[[#This Row],[ID]],Apoio!A869:H1869,4,0)</f>
        <v>Huambo</v>
      </c>
      <c r="K876" s="37" t="s">
        <v>113</v>
      </c>
      <c r="L876" s="37" t="s">
        <v>2649</v>
      </c>
      <c r="M876" s="53"/>
    </row>
    <row r="877" spans="1:13" ht="20.100000000000001" customHeight="1" x14ac:dyDescent="0.25">
      <c r="A877" s="49">
        <v>870</v>
      </c>
      <c r="B877" s="55">
        <v>45462</v>
      </c>
      <c r="C877" s="36" t="str">
        <f>UPPER(TEXT(Dados_Cursos[[#This Row],[Data]],"mmm"))</f>
        <v>JUN</v>
      </c>
      <c r="D877" s="52" t="s">
        <v>1680</v>
      </c>
      <c r="E877" s="49" t="str">
        <f>VLOOKUP(Dados_Cursos[[#This Row],[ID]],Apoio!A870:H1870,2,0)</f>
        <v>carlos.silva870@gmail.com</v>
      </c>
      <c r="F877" s="36" t="s">
        <v>986</v>
      </c>
      <c r="G877" s="36" t="s">
        <v>2666</v>
      </c>
      <c r="H877" s="38">
        <v>800</v>
      </c>
      <c r="I877" s="49">
        <v>5</v>
      </c>
      <c r="J877" s="49" t="str">
        <f>VLOOKUP(Dados_Cursos[[#This Row],[ID]],Apoio!A870:H1870,4,0)</f>
        <v>Cuanza Norte</v>
      </c>
      <c r="K877" s="37" t="s">
        <v>113</v>
      </c>
      <c r="L877" s="37" t="s">
        <v>110</v>
      </c>
      <c r="M877" s="53"/>
    </row>
    <row r="878" spans="1:13" ht="20.100000000000001" customHeight="1" x14ac:dyDescent="0.25">
      <c r="A878" s="49">
        <v>871</v>
      </c>
      <c r="B878" s="55">
        <v>45615</v>
      </c>
      <c r="C878" s="36" t="str">
        <f>UPPER(TEXT(Dados_Cursos[[#This Row],[Data]],"mmm"))</f>
        <v>NOV</v>
      </c>
      <c r="D878" s="52" t="s">
        <v>1855</v>
      </c>
      <c r="E878" s="49" t="str">
        <f>VLOOKUP(Dados_Cursos[[#This Row],[ID]],Apoio!A871:H1871,2,0)</f>
        <v>mateus.miguel871@gmail.com</v>
      </c>
      <c r="F878" s="36" t="s">
        <v>987</v>
      </c>
      <c r="G878" s="36" t="s">
        <v>2666</v>
      </c>
      <c r="H878" s="38">
        <v>800</v>
      </c>
      <c r="I878" s="49">
        <v>17</v>
      </c>
      <c r="J878" s="49" t="str">
        <f>VLOOKUP(Dados_Cursos[[#This Row],[ID]],Apoio!A871:H1871,4,0)</f>
        <v>Cuanza Norte</v>
      </c>
      <c r="K878" s="37" t="s">
        <v>113</v>
      </c>
      <c r="L878" s="37" t="s">
        <v>111</v>
      </c>
      <c r="M878" s="53"/>
    </row>
    <row r="879" spans="1:13" ht="20.100000000000001" customHeight="1" x14ac:dyDescent="0.25">
      <c r="A879" s="49">
        <v>872</v>
      </c>
      <c r="B879" s="55">
        <v>45606</v>
      </c>
      <c r="C879" s="36" t="str">
        <f>UPPER(TEXT(Dados_Cursos[[#This Row],[Data]],"mmm"))</f>
        <v>NOV</v>
      </c>
      <c r="D879" s="52" t="s">
        <v>1253</v>
      </c>
      <c r="E879" s="49" t="str">
        <f>VLOOKUP(Dados_Cursos[[#This Row],[ID]],Apoio!A872:H1872,2,0)</f>
        <v>carlos.martins872@gmail.com</v>
      </c>
      <c r="F879" s="36" t="s">
        <v>988</v>
      </c>
      <c r="G879" s="36" t="s">
        <v>2666</v>
      </c>
      <c r="H879" s="38">
        <v>1200</v>
      </c>
      <c r="I879" s="49">
        <v>3</v>
      </c>
      <c r="J879" s="49" t="str">
        <f>VLOOKUP(Dados_Cursos[[#This Row],[ID]],Apoio!A872:H1872,4,0)</f>
        <v>Zaire</v>
      </c>
      <c r="K879" s="37" t="s">
        <v>113</v>
      </c>
      <c r="L879" s="37" t="s">
        <v>2649</v>
      </c>
      <c r="M879" s="53"/>
    </row>
    <row r="880" spans="1:13" ht="20.100000000000001" customHeight="1" x14ac:dyDescent="0.25">
      <c r="A880" s="49">
        <v>873</v>
      </c>
      <c r="B880" s="55">
        <v>45333</v>
      </c>
      <c r="C880" s="36" t="str">
        <f>UPPER(TEXT(Dados_Cursos[[#This Row],[Data]],"mmm"))</f>
        <v>FEV</v>
      </c>
      <c r="D880" s="52" t="s">
        <v>2492</v>
      </c>
      <c r="E880" s="49" t="str">
        <f>VLOOKUP(Dados_Cursos[[#This Row],[ID]],Apoio!A873:H1873,2,0)</f>
        <v>francisco.gomes873@gmail.com</v>
      </c>
      <c r="F880" s="36" t="s">
        <v>989</v>
      </c>
      <c r="G880" s="36" t="s">
        <v>2666</v>
      </c>
      <c r="H880" s="38">
        <v>800</v>
      </c>
      <c r="I880" s="49">
        <v>11</v>
      </c>
      <c r="J880" s="49" t="str">
        <f>VLOOKUP(Dados_Cursos[[#This Row],[ID]],Apoio!A873:H1873,4,0)</f>
        <v>Cubango</v>
      </c>
      <c r="K880" s="37" t="s">
        <v>113</v>
      </c>
      <c r="L880" s="37" t="s">
        <v>2649</v>
      </c>
      <c r="M880" s="53"/>
    </row>
    <row r="881" spans="1:13" ht="20.100000000000001" customHeight="1" x14ac:dyDescent="0.25">
      <c r="A881" s="49">
        <v>874</v>
      </c>
      <c r="B881" s="55">
        <v>45578</v>
      </c>
      <c r="C881" s="36" t="str">
        <f>UPPER(TEXT(Dados_Cursos[[#This Row],[Data]],"mmm"))</f>
        <v>OUT</v>
      </c>
      <c r="D881" s="52" t="s">
        <v>1440</v>
      </c>
      <c r="E881" s="49" t="str">
        <f>VLOOKUP(Dados_Cursos[[#This Row],[ID]],Apoio!A874:H1874,2,0)</f>
        <v>joaquim.pereira874@gmail.com</v>
      </c>
      <c r="F881" s="36" t="s">
        <v>990</v>
      </c>
      <c r="G881" s="36" t="s">
        <v>2665</v>
      </c>
      <c r="H881" s="38">
        <v>1500</v>
      </c>
      <c r="I881" s="49">
        <v>17</v>
      </c>
      <c r="J881" s="49" t="str">
        <f>VLOOKUP(Dados_Cursos[[#This Row],[ID]],Apoio!A874:H1874,4,0)</f>
        <v>Bengo</v>
      </c>
      <c r="K881" s="37" t="s">
        <v>113</v>
      </c>
      <c r="L881" s="37" t="s">
        <v>111</v>
      </c>
      <c r="M881" s="53"/>
    </row>
    <row r="882" spans="1:13" ht="20.100000000000001" customHeight="1" x14ac:dyDescent="0.25">
      <c r="A882" s="49">
        <v>875</v>
      </c>
      <c r="B882" s="55">
        <v>45613</v>
      </c>
      <c r="C882" s="36" t="str">
        <f>UPPER(TEXT(Dados_Cursos[[#This Row],[Data]],"mmm"))</f>
        <v>NOV</v>
      </c>
      <c r="D882" s="52" t="s">
        <v>1230</v>
      </c>
      <c r="E882" s="49" t="str">
        <f>VLOOKUP(Dados_Cursos[[#This Row],[ID]],Apoio!A875:H1875,2,0)</f>
        <v>sofia.pereira875@gmail.com</v>
      </c>
      <c r="F882" s="36" t="s">
        <v>991</v>
      </c>
      <c r="G882" s="36" t="s">
        <v>2666</v>
      </c>
      <c r="H882" s="38">
        <v>1200</v>
      </c>
      <c r="I882" s="49">
        <v>10</v>
      </c>
      <c r="J882" s="49" t="str">
        <f>VLOOKUP(Dados_Cursos[[#This Row],[ID]],Apoio!A875:H1875,4,0)</f>
        <v>Uíge</v>
      </c>
      <c r="K882" s="37" t="s">
        <v>112</v>
      </c>
      <c r="L882" s="37" t="s">
        <v>109</v>
      </c>
      <c r="M882" s="53"/>
    </row>
    <row r="883" spans="1:13" ht="20.100000000000001" customHeight="1" x14ac:dyDescent="0.25">
      <c r="A883" s="49">
        <v>876</v>
      </c>
      <c r="B883" s="55">
        <v>45508</v>
      </c>
      <c r="C883" s="36" t="str">
        <f>UPPER(TEXT(Dados_Cursos[[#This Row],[Data]],"mmm"))</f>
        <v>AGO</v>
      </c>
      <c r="D883" s="52" t="s">
        <v>2073</v>
      </c>
      <c r="E883" s="49" t="str">
        <f>VLOOKUP(Dados_Cursos[[#This Row],[ID]],Apoio!A876:H1876,2,0)</f>
        <v>mateus.fernandes876@gmail.com</v>
      </c>
      <c r="F883" s="36" t="s">
        <v>992</v>
      </c>
      <c r="G883" s="36" t="s">
        <v>2666</v>
      </c>
      <c r="H883" s="38">
        <v>1200</v>
      </c>
      <c r="I883" s="49">
        <v>3</v>
      </c>
      <c r="J883" s="49" t="str">
        <f>VLOOKUP(Dados_Cursos[[#This Row],[ID]],Apoio!A876:H1876,4,0)</f>
        <v>Moxico Leste</v>
      </c>
      <c r="K883" s="37" t="s">
        <v>113</v>
      </c>
      <c r="L883" s="37" t="s">
        <v>110</v>
      </c>
      <c r="M883" s="53"/>
    </row>
    <row r="884" spans="1:13" ht="20.100000000000001" customHeight="1" x14ac:dyDescent="0.25">
      <c r="A884" s="49">
        <v>877</v>
      </c>
      <c r="B884" s="55">
        <v>45471</v>
      </c>
      <c r="C884" s="36" t="str">
        <f>UPPER(TEXT(Dados_Cursos[[#This Row],[Data]],"mmm"))</f>
        <v>JUN</v>
      </c>
      <c r="D884" s="52" t="s">
        <v>2497</v>
      </c>
      <c r="E884" s="49" t="str">
        <f>VLOOKUP(Dados_Cursos[[#This Row],[ID]],Apoio!A877:H1877,2,0)</f>
        <v>pedro.domingues877@gmail.com</v>
      </c>
      <c r="F884" s="36" t="s">
        <v>993</v>
      </c>
      <c r="G884" s="36" t="s">
        <v>2665</v>
      </c>
      <c r="H884" s="38">
        <v>1500</v>
      </c>
      <c r="I884" s="49">
        <v>2</v>
      </c>
      <c r="J884" s="49" t="str">
        <f>VLOOKUP(Dados_Cursos[[#This Row],[ID]],Apoio!A877:H1877,4,0)</f>
        <v>Bengo</v>
      </c>
      <c r="K884" s="37" t="s">
        <v>113</v>
      </c>
      <c r="L884" s="37" t="s">
        <v>2649</v>
      </c>
      <c r="M884" s="53"/>
    </row>
    <row r="885" spans="1:13" ht="20.100000000000001" customHeight="1" x14ac:dyDescent="0.25">
      <c r="A885" s="49">
        <v>878</v>
      </c>
      <c r="B885" s="55">
        <v>45421</v>
      </c>
      <c r="C885" s="36" t="str">
        <f>UPPER(TEXT(Dados_Cursos[[#This Row],[Data]],"mmm"))</f>
        <v>MAI</v>
      </c>
      <c r="D885" s="52" t="s">
        <v>1855</v>
      </c>
      <c r="E885" s="49" t="str">
        <f>VLOOKUP(Dados_Cursos[[#This Row],[ID]],Apoio!A878:H1878,2,0)</f>
        <v>mateus.miguel878@gmail.com</v>
      </c>
      <c r="F885" s="36" t="s">
        <v>994</v>
      </c>
      <c r="G885" s="36" t="s">
        <v>2665</v>
      </c>
      <c r="H885" s="38">
        <v>1500</v>
      </c>
      <c r="I885" s="49">
        <v>5</v>
      </c>
      <c r="J885" s="49" t="str">
        <f>VLOOKUP(Dados_Cursos[[#This Row],[ID]],Apoio!A878:H1878,4,0)</f>
        <v>Cuanza Norte</v>
      </c>
      <c r="K885" s="37" t="s">
        <v>113</v>
      </c>
      <c r="L885" s="37" t="s">
        <v>111</v>
      </c>
      <c r="M885" s="53"/>
    </row>
    <row r="886" spans="1:13" ht="20.100000000000001" customHeight="1" x14ac:dyDescent="0.25">
      <c r="A886" s="49">
        <v>879</v>
      </c>
      <c r="B886" s="55">
        <v>45422</v>
      </c>
      <c r="C886" s="36" t="str">
        <f>UPPER(TEXT(Dados_Cursos[[#This Row],[Data]],"mmm"))</f>
        <v>MAI</v>
      </c>
      <c r="D886" s="52" t="s">
        <v>1621</v>
      </c>
      <c r="E886" s="49" t="str">
        <f>VLOOKUP(Dados_Cursos[[#This Row],[ID]],Apoio!A879:H1879,2,0)</f>
        <v>samuel.gomes879@gmail.com</v>
      </c>
      <c r="F886" s="36" t="s">
        <v>995</v>
      </c>
      <c r="G886" s="36" t="s">
        <v>2666</v>
      </c>
      <c r="H886" s="38">
        <v>1200</v>
      </c>
      <c r="I886" s="49">
        <v>13</v>
      </c>
      <c r="J886" s="49" t="str">
        <f>VLOOKUP(Dados_Cursos[[#This Row],[ID]],Apoio!A879:H1879,4,0)</f>
        <v>Benguela</v>
      </c>
      <c r="K886" s="37" t="s">
        <v>113</v>
      </c>
      <c r="L886" s="37" t="s">
        <v>2649</v>
      </c>
      <c r="M886" s="53"/>
    </row>
    <row r="887" spans="1:13" ht="20.100000000000001" customHeight="1" x14ac:dyDescent="0.25">
      <c r="A887" s="49">
        <v>880</v>
      </c>
      <c r="B887" s="55">
        <v>45317</v>
      </c>
      <c r="C887" s="36" t="str">
        <f>UPPER(TEXT(Dados_Cursos[[#This Row],[Data]],"mmm"))</f>
        <v>JAN</v>
      </c>
      <c r="D887" s="52" t="s">
        <v>1632</v>
      </c>
      <c r="E887" s="49" t="str">
        <f>VLOOKUP(Dados_Cursos[[#This Row],[ID]],Apoio!A880:H1880,2,0)</f>
        <v>samuel.almeida880@gmail.com</v>
      </c>
      <c r="F887" s="36" t="s">
        <v>996</v>
      </c>
      <c r="G887" s="36" t="s">
        <v>2665</v>
      </c>
      <c r="H887" s="38">
        <v>1500</v>
      </c>
      <c r="I887" s="49">
        <v>20</v>
      </c>
      <c r="J887" s="49" t="str">
        <f>VLOOKUP(Dados_Cursos[[#This Row],[ID]],Apoio!A880:H1880,4,0)</f>
        <v>Cuando</v>
      </c>
      <c r="K887" s="37" t="s">
        <v>113</v>
      </c>
      <c r="L887" s="37" t="s">
        <v>111</v>
      </c>
      <c r="M887" s="53"/>
    </row>
    <row r="888" spans="1:13" ht="20.100000000000001" customHeight="1" x14ac:dyDescent="0.25">
      <c r="A888" s="49">
        <v>881</v>
      </c>
      <c r="B888" s="55">
        <v>45298</v>
      </c>
      <c r="C888" s="36" t="str">
        <f>UPPER(TEXT(Dados_Cursos[[#This Row],[Data]],"mmm"))</f>
        <v>JAN</v>
      </c>
      <c r="D888" s="52" t="s">
        <v>1779</v>
      </c>
      <c r="E888" s="49" t="str">
        <f>VLOOKUP(Dados_Cursos[[#This Row],[ID]],Apoio!A881:H1881,2,0)</f>
        <v>nelson.soares881@gmail.com</v>
      </c>
      <c r="F888" s="36" t="s">
        <v>997</v>
      </c>
      <c r="G888" s="36" t="s">
        <v>2666</v>
      </c>
      <c r="H888" s="38">
        <v>800</v>
      </c>
      <c r="I888" s="49">
        <v>4</v>
      </c>
      <c r="J888" s="49" t="str">
        <f>VLOOKUP(Dados_Cursos[[#This Row],[ID]],Apoio!A881:H1881,4,0)</f>
        <v>Namibe</v>
      </c>
      <c r="K888" s="37" t="s">
        <v>112</v>
      </c>
      <c r="L888" s="37" t="s">
        <v>109</v>
      </c>
      <c r="M888" s="53"/>
    </row>
    <row r="889" spans="1:13" ht="20.100000000000001" customHeight="1" x14ac:dyDescent="0.25">
      <c r="A889" s="49">
        <v>882</v>
      </c>
      <c r="B889" s="55">
        <v>45556</v>
      </c>
      <c r="C889" s="36" t="str">
        <f>UPPER(TEXT(Dados_Cursos[[#This Row],[Data]],"mmm"))</f>
        <v>SET</v>
      </c>
      <c r="D889" s="52" t="s">
        <v>2503</v>
      </c>
      <c r="E889" s="49" t="str">
        <f>VLOOKUP(Dados_Cursos[[#This Row],[ID]],Apoio!A882:H1882,2,0)</f>
        <v>mateus.almeida882@gmail.com</v>
      </c>
      <c r="F889" s="36" t="s">
        <v>998</v>
      </c>
      <c r="G889" s="36" t="s">
        <v>2666</v>
      </c>
      <c r="H889" s="38">
        <v>800</v>
      </c>
      <c r="I889" s="49">
        <v>14</v>
      </c>
      <c r="J889" s="49" t="str">
        <f>VLOOKUP(Dados_Cursos[[#This Row],[ID]],Apoio!A882:H1882,4,0)</f>
        <v>Cubango</v>
      </c>
      <c r="K889" s="37" t="s">
        <v>113</v>
      </c>
      <c r="L889" s="37" t="s">
        <v>2649</v>
      </c>
      <c r="M889" s="53"/>
    </row>
    <row r="890" spans="1:13" ht="20.100000000000001" customHeight="1" x14ac:dyDescent="0.25">
      <c r="A890" s="49">
        <v>883</v>
      </c>
      <c r="B890" s="55">
        <v>45396</v>
      </c>
      <c r="C890" s="36" t="str">
        <f>UPPER(TEXT(Dados_Cursos[[#This Row],[Data]],"mmm"))</f>
        <v>ABR</v>
      </c>
      <c r="D890" s="52" t="s">
        <v>1360</v>
      </c>
      <c r="E890" s="49" t="str">
        <f>VLOOKUP(Dados_Cursos[[#This Row],[ID]],Apoio!A883:H1883,2,0)</f>
        <v>francisco.miguel883@gmail.com</v>
      </c>
      <c r="F890" s="36" t="s">
        <v>999</v>
      </c>
      <c r="G890" s="36" t="s">
        <v>2666</v>
      </c>
      <c r="H890" s="38">
        <v>1200</v>
      </c>
      <c r="I890" s="49">
        <v>1</v>
      </c>
      <c r="J890" s="49" t="str">
        <f>VLOOKUP(Dados_Cursos[[#This Row],[ID]],Apoio!A883:H1883,4,0)</f>
        <v>Cabinda</v>
      </c>
      <c r="K890" s="37" t="s">
        <v>113</v>
      </c>
      <c r="L890" s="37" t="s">
        <v>111</v>
      </c>
      <c r="M890" s="53"/>
    </row>
    <row r="891" spans="1:13" ht="20.100000000000001" customHeight="1" x14ac:dyDescent="0.25">
      <c r="A891" s="49">
        <v>884</v>
      </c>
      <c r="B891" s="55">
        <v>45544</v>
      </c>
      <c r="C891" s="36" t="str">
        <f>UPPER(TEXT(Dados_Cursos[[#This Row],[Data]],"mmm"))</f>
        <v>SET</v>
      </c>
      <c r="D891" s="52" t="s">
        <v>2055</v>
      </c>
      <c r="E891" s="49" t="str">
        <f>VLOOKUP(Dados_Cursos[[#This Row],[ID]],Apoio!A884:H1884,2,0)</f>
        <v>domingos.david884@gmail.com</v>
      </c>
      <c r="F891" s="36" t="s">
        <v>1000</v>
      </c>
      <c r="G891" s="36" t="s">
        <v>2666</v>
      </c>
      <c r="H891" s="38">
        <v>800</v>
      </c>
      <c r="I891" s="49">
        <v>3</v>
      </c>
      <c r="J891" s="49" t="str">
        <f>VLOOKUP(Dados_Cursos[[#This Row],[ID]],Apoio!A884:H1884,4,0)</f>
        <v>Cubango</v>
      </c>
      <c r="K891" s="37" t="s">
        <v>113</v>
      </c>
      <c r="L891" s="37" t="s">
        <v>2649</v>
      </c>
      <c r="M891" s="53"/>
    </row>
    <row r="892" spans="1:13" ht="20.100000000000001" customHeight="1" x14ac:dyDescent="0.25">
      <c r="A892" s="49">
        <v>885</v>
      </c>
      <c r="B892" s="55">
        <v>45533</v>
      </c>
      <c r="C892" s="36" t="str">
        <f>UPPER(TEXT(Dados_Cursos[[#This Row],[Data]],"mmm"))</f>
        <v>AGO</v>
      </c>
      <c r="D892" s="52" t="s">
        <v>1311</v>
      </c>
      <c r="E892" s="49" t="str">
        <f>VLOOKUP(Dados_Cursos[[#This Row],[ID]],Apoio!A885:H1885,2,0)</f>
        <v>adriano.martins885@gmail.com</v>
      </c>
      <c r="F892" s="36" t="s">
        <v>1001</v>
      </c>
      <c r="G892" s="36" t="s">
        <v>2666</v>
      </c>
      <c r="H892" s="38">
        <v>1200</v>
      </c>
      <c r="I892" s="49">
        <v>9</v>
      </c>
      <c r="J892" s="49" t="str">
        <f>VLOOKUP(Dados_Cursos[[#This Row],[ID]],Apoio!A885:H1885,4,0)</f>
        <v>Cubango</v>
      </c>
      <c r="K892" s="37" t="s">
        <v>112</v>
      </c>
      <c r="L892" s="37" t="s">
        <v>109</v>
      </c>
      <c r="M892" s="53"/>
    </row>
    <row r="893" spans="1:13" ht="20.100000000000001" customHeight="1" x14ac:dyDescent="0.25">
      <c r="A893" s="49">
        <v>886</v>
      </c>
      <c r="B893" s="55">
        <v>45326</v>
      </c>
      <c r="C893" s="36" t="str">
        <f>UPPER(TEXT(Dados_Cursos[[#This Row],[Data]],"mmm"))</f>
        <v>FEV</v>
      </c>
      <c r="D893" s="52" t="s">
        <v>2259</v>
      </c>
      <c r="E893" s="49" t="str">
        <f>VLOOKUP(Dados_Cursos[[#This Row],[ID]],Apoio!A886:H1886,2,0)</f>
        <v>cláudia.martins886@gmail.com</v>
      </c>
      <c r="F893" s="36" t="s">
        <v>1002</v>
      </c>
      <c r="G893" s="36" t="s">
        <v>2665</v>
      </c>
      <c r="H893" s="38">
        <v>1500</v>
      </c>
      <c r="I893" s="49">
        <v>20</v>
      </c>
      <c r="J893" s="49" t="str">
        <f>VLOOKUP(Dados_Cursos[[#This Row],[ID]],Apoio!A886:H1886,4,0)</f>
        <v>Moxico Leste</v>
      </c>
      <c r="K893" s="37" t="s">
        <v>113</v>
      </c>
      <c r="L893" s="37" t="s">
        <v>111</v>
      </c>
      <c r="M893" s="53"/>
    </row>
    <row r="894" spans="1:13" ht="20.100000000000001" customHeight="1" x14ac:dyDescent="0.25">
      <c r="A894" s="49">
        <v>887</v>
      </c>
      <c r="B894" s="55">
        <v>45396</v>
      </c>
      <c r="C894" s="36" t="str">
        <f>UPPER(TEXT(Dados_Cursos[[#This Row],[Data]],"mmm"))</f>
        <v>ABR</v>
      </c>
      <c r="D894" s="52" t="s">
        <v>2142</v>
      </c>
      <c r="E894" s="49" t="str">
        <f>VLOOKUP(Dados_Cursos[[#This Row],[ID]],Apoio!A887:H1887,2,0)</f>
        <v>josé.costa887@gmail.com</v>
      </c>
      <c r="F894" s="36" t="s">
        <v>1003</v>
      </c>
      <c r="G894" s="36" t="s">
        <v>2665</v>
      </c>
      <c r="H894" s="38">
        <v>1500</v>
      </c>
      <c r="I894" s="49">
        <v>7</v>
      </c>
      <c r="J894" s="49" t="str">
        <f>VLOOKUP(Dados_Cursos[[#This Row],[ID]],Apoio!A887:H1887,4,0)</f>
        <v>Huambo</v>
      </c>
      <c r="K894" s="37" t="s">
        <v>113</v>
      </c>
      <c r="L894" s="37" t="s">
        <v>2649</v>
      </c>
      <c r="M894" s="53"/>
    </row>
    <row r="895" spans="1:13" ht="20.100000000000001" customHeight="1" x14ac:dyDescent="0.25">
      <c r="A895" s="49">
        <v>888</v>
      </c>
      <c r="B895" s="55">
        <v>45412</v>
      </c>
      <c r="C895" s="36" t="str">
        <f>UPPER(TEXT(Dados_Cursos[[#This Row],[Data]],"mmm"))</f>
        <v>ABR</v>
      </c>
      <c r="D895" s="52" t="s">
        <v>1943</v>
      </c>
      <c r="E895" s="49" t="str">
        <f>VLOOKUP(Dados_Cursos[[#This Row],[ID]],Apoio!A888:H1888,2,0)</f>
        <v>marta.gomes888@gmail.com</v>
      </c>
      <c r="F895" s="36" t="s">
        <v>1004</v>
      </c>
      <c r="G895" s="36" t="s">
        <v>2665</v>
      </c>
      <c r="H895" s="38">
        <v>1500</v>
      </c>
      <c r="I895" s="49">
        <v>12</v>
      </c>
      <c r="J895" s="49" t="str">
        <f>VLOOKUP(Dados_Cursos[[#This Row],[ID]],Apoio!A888:H1888,4,0)</f>
        <v>Cabinda</v>
      </c>
      <c r="K895" s="37" t="s">
        <v>113</v>
      </c>
      <c r="L895" s="37" t="s">
        <v>111</v>
      </c>
      <c r="M895" s="53"/>
    </row>
    <row r="896" spans="1:13" ht="20.100000000000001" customHeight="1" x14ac:dyDescent="0.25">
      <c r="A896" s="49">
        <v>889</v>
      </c>
      <c r="B896" s="55">
        <v>45641</v>
      </c>
      <c r="C896" s="36" t="str">
        <f>UPPER(TEXT(Dados_Cursos[[#This Row],[Data]],"mmm"))</f>
        <v>DEZ</v>
      </c>
      <c r="D896" s="52" t="s">
        <v>2231</v>
      </c>
      <c r="E896" s="49" t="str">
        <f>VLOOKUP(Dados_Cursos[[#This Row],[ID]],Apoio!A889:H1889,2,0)</f>
        <v>adriano.domingues889@gmail.com</v>
      </c>
      <c r="F896" s="36" t="s">
        <v>1005</v>
      </c>
      <c r="G896" s="36" t="s">
        <v>2666</v>
      </c>
      <c r="H896" s="38">
        <v>1200</v>
      </c>
      <c r="I896" s="49">
        <v>3</v>
      </c>
      <c r="J896" s="49" t="str">
        <f>VLOOKUP(Dados_Cursos[[#This Row],[ID]],Apoio!A889:H1889,4,0)</f>
        <v>Lunda Norte</v>
      </c>
      <c r="K896" s="37" t="s">
        <v>113</v>
      </c>
      <c r="L896" s="37" t="s">
        <v>110</v>
      </c>
      <c r="M896" s="53"/>
    </row>
    <row r="897" spans="1:13" ht="20.100000000000001" customHeight="1" x14ac:dyDescent="0.25">
      <c r="A897" s="49">
        <v>890</v>
      </c>
      <c r="B897" s="55">
        <v>45491</v>
      </c>
      <c r="C897" s="36" t="str">
        <f>UPPER(TEXT(Dados_Cursos[[#This Row],[Data]],"mmm"))</f>
        <v>JUL</v>
      </c>
      <c r="D897" s="52" t="s">
        <v>2440</v>
      </c>
      <c r="E897" s="49" t="str">
        <f>VLOOKUP(Dados_Cursos[[#This Row],[ID]],Apoio!A890:H1890,2,0)</f>
        <v>teresa.santos890@gmail.com</v>
      </c>
      <c r="F897" s="36" t="s">
        <v>1006</v>
      </c>
      <c r="G897" s="36" t="s">
        <v>2665</v>
      </c>
      <c r="H897" s="38">
        <v>1500</v>
      </c>
      <c r="I897" s="49">
        <v>15</v>
      </c>
      <c r="J897" s="49" t="str">
        <f>VLOOKUP(Dados_Cursos[[#This Row],[ID]],Apoio!A890:H1890,4,0)</f>
        <v>Malanje</v>
      </c>
      <c r="K897" s="37" t="s">
        <v>113</v>
      </c>
      <c r="L897" s="37" t="s">
        <v>111</v>
      </c>
      <c r="M897" s="53"/>
    </row>
    <row r="898" spans="1:13" ht="20.100000000000001" customHeight="1" x14ac:dyDescent="0.25">
      <c r="A898" s="49">
        <v>891</v>
      </c>
      <c r="B898" s="55">
        <v>45332</v>
      </c>
      <c r="C898" s="36" t="str">
        <f>UPPER(TEXT(Dados_Cursos[[#This Row],[Data]],"mmm"))</f>
        <v>FEV</v>
      </c>
      <c r="D898" s="52" t="s">
        <v>2264</v>
      </c>
      <c r="E898" s="49" t="str">
        <f>VLOOKUP(Dados_Cursos[[#This Row],[ID]],Apoio!A891:H1891,2,0)</f>
        <v>joaquim.silva891@gmail.com</v>
      </c>
      <c r="F898" s="36" t="s">
        <v>1007</v>
      </c>
      <c r="G898" s="36" t="s">
        <v>2666</v>
      </c>
      <c r="H898" s="38">
        <v>1200</v>
      </c>
      <c r="I898" s="49">
        <v>5</v>
      </c>
      <c r="J898" s="49" t="str">
        <f>VLOOKUP(Dados_Cursos[[#This Row],[ID]],Apoio!A891:H1891,4,0)</f>
        <v>Huambo</v>
      </c>
      <c r="K898" s="37" t="s">
        <v>112</v>
      </c>
      <c r="L898" s="37" t="s">
        <v>109</v>
      </c>
      <c r="M898" s="53"/>
    </row>
    <row r="899" spans="1:13" ht="20.100000000000001" customHeight="1" x14ac:dyDescent="0.25">
      <c r="A899" s="49">
        <v>892</v>
      </c>
      <c r="B899" s="55">
        <v>45436</v>
      </c>
      <c r="C899" s="36" t="str">
        <f>UPPER(TEXT(Dados_Cursos[[#This Row],[Data]],"mmm"))</f>
        <v>MAI</v>
      </c>
      <c r="D899" s="52" t="s">
        <v>1998</v>
      </c>
      <c r="E899" s="49" t="str">
        <f>VLOOKUP(Dados_Cursos[[#This Row],[ID]],Apoio!A892:H1892,2,0)</f>
        <v>antónio.domingues892@gmail.com</v>
      </c>
      <c r="F899" s="36" t="s">
        <v>1008</v>
      </c>
      <c r="G899" s="36" t="s">
        <v>2666</v>
      </c>
      <c r="H899" s="38">
        <v>800</v>
      </c>
      <c r="I899" s="49">
        <v>17</v>
      </c>
      <c r="J899" s="49" t="str">
        <f>VLOOKUP(Dados_Cursos[[#This Row],[ID]],Apoio!A892:H1892,4,0)</f>
        <v>Moxico</v>
      </c>
      <c r="K899" s="37" t="s">
        <v>113</v>
      </c>
      <c r="L899" s="37" t="s">
        <v>2649</v>
      </c>
      <c r="M899" s="53"/>
    </row>
    <row r="900" spans="1:13" ht="20.100000000000001" customHeight="1" x14ac:dyDescent="0.25">
      <c r="A900" s="49">
        <v>893</v>
      </c>
      <c r="B900" s="55">
        <v>45432</v>
      </c>
      <c r="C900" s="36" t="str">
        <f>UPPER(TEXT(Dados_Cursos[[#This Row],[Data]],"mmm"))</f>
        <v>MAI</v>
      </c>
      <c r="D900" s="52" t="s">
        <v>2348</v>
      </c>
      <c r="E900" s="49" t="str">
        <f>VLOOKUP(Dados_Cursos[[#This Row],[ID]],Apoio!A893:H1893,2,0)</f>
        <v>marta.martins893@gmail.com</v>
      </c>
      <c r="F900" s="36" t="s">
        <v>1009</v>
      </c>
      <c r="G900" s="36" t="s">
        <v>2665</v>
      </c>
      <c r="H900" s="38">
        <v>1500</v>
      </c>
      <c r="I900" s="49">
        <v>5</v>
      </c>
      <c r="J900" s="49" t="str">
        <f>VLOOKUP(Dados_Cursos[[#This Row],[ID]],Apoio!A893:H1893,4,0)</f>
        <v>Moxico</v>
      </c>
      <c r="K900" s="37" t="s">
        <v>113</v>
      </c>
      <c r="L900" s="37" t="s">
        <v>111</v>
      </c>
      <c r="M900" s="53"/>
    </row>
    <row r="901" spans="1:13" ht="20.100000000000001" customHeight="1" x14ac:dyDescent="0.25">
      <c r="A901" s="49">
        <v>894</v>
      </c>
      <c r="B901" s="55">
        <v>45322</v>
      </c>
      <c r="C901" s="36" t="str">
        <f>UPPER(TEXT(Dados_Cursos[[#This Row],[Data]],"mmm"))</f>
        <v>JAN</v>
      </c>
      <c r="D901" s="52" t="s">
        <v>2027</v>
      </c>
      <c r="E901" s="49" t="str">
        <f>VLOOKUP(Dados_Cursos[[#This Row],[ID]],Apoio!A894:H1894,2,0)</f>
        <v>teresa.david894@gmail.com</v>
      </c>
      <c r="F901" s="36" t="s">
        <v>1010</v>
      </c>
      <c r="G901" s="36" t="s">
        <v>2665</v>
      </c>
      <c r="H901" s="38">
        <v>1500</v>
      </c>
      <c r="I901" s="49">
        <v>13</v>
      </c>
      <c r="J901" s="49" t="str">
        <f>VLOOKUP(Dados_Cursos[[#This Row],[ID]],Apoio!A894:H1894,4,0)</f>
        <v>Benguela</v>
      </c>
      <c r="K901" s="37" t="s">
        <v>113</v>
      </c>
      <c r="L901" s="37" t="s">
        <v>2649</v>
      </c>
      <c r="M901" s="53"/>
    </row>
    <row r="902" spans="1:13" ht="20.100000000000001" customHeight="1" x14ac:dyDescent="0.25">
      <c r="A902" s="49">
        <v>895</v>
      </c>
      <c r="B902" s="55">
        <v>45570</v>
      </c>
      <c r="C902" s="36" t="str">
        <f>UPPER(TEXT(Dados_Cursos[[#This Row],[Data]],"mmm"))</f>
        <v>OUT</v>
      </c>
      <c r="D902" s="52" t="s">
        <v>2193</v>
      </c>
      <c r="E902" s="49" t="str">
        <f>VLOOKUP(Dados_Cursos[[#This Row],[ID]],Apoio!A895:H1895,2,0)</f>
        <v>pedro.miguel895@gmail.com</v>
      </c>
      <c r="F902" s="36" t="s">
        <v>1011</v>
      </c>
      <c r="G902" s="36" t="s">
        <v>2666</v>
      </c>
      <c r="H902" s="38">
        <v>800</v>
      </c>
      <c r="I902" s="49">
        <v>6</v>
      </c>
      <c r="J902" s="49" t="str">
        <f>VLOOKUP(Dados_Cursos[[#This Row],[ID]],Apoio!A895:H1895,4,0)</f>
        <v>Cuanza Sul</v>
      </c>
      <c r="K902" s="37" t="s">
        <v>113</v>
      </c>
      <c r="L902" s="37" t="s">
        <v>2649</v>
      </c>
      <c r="M902" s="53"/>
    </row>
    <row r="903" spans="1:13" ht="20.100000000000001" customHeight="1" x14ac:dyDescent="0.25">
      <c r="A903" s="49">
        <v>896</v>
      </c>
      <c r="B903" s="55">
        <v>45608</v>
      </c>
      <c r="C903" s="36" t="str">
        <f>UPPER(TEXT(Dados_Cursos[[#This Row],[Data]],"mmm"))</f>
        <v>NOV</v>
      </c>
      <c r="D903" s="52" t="s">
        <v>1305</v>
      </c>
      <c r="E903" s="49" t="str">
        <f>VLOOKUP(Dados_Cursos[[#This Row],[ID]],Apoio!A896:H1896,2,0)</f>
        <v>isabel.monteiro896@gmail.com</v>
      </c>
      <c r="F903" s="36" t="s">
        <v>1012</v>
      </c>
      <c r="G903" s="36" t="s">
        <v>2665</v>
      </c>
      <c r="H903" s="38">
        <v>1500</v>
      </c>
      <c r="I903" s="49">
        <v>16</v>
      </c>
      <c r="J903" s="49" t="str">
        <f>VLOOKUP(Dados_Cursos[[#This Row],[ID]],Apoio!A896:H1896,4,0)</f>
        <v>Cuanza Norte</v>
      </c>
      <c r="K903" s="37" t="s">
        <v>113</v>
      </c>
      <c r="L903" s="37" t="s">
        <v>110</v>
      </c>
      <c r="M903" s="53"/>
    </row>
    <row r="904" spans="1:13" ht="20.100000000000001" customHeight="1" x14ac:dyDescent="0.25">
      <c r="A904" s="49">
        <v>897</v>
      </c>
      <c r="B904" s="55">
        <v>45632</v>
      </c>
      <c r="C904" s="36" t="str">
        <f>UPPER(TEXT(Dados_Cursos[[#This Row],[Data]],"mmm"))</f>
        <v>DEZ</v>
      </c>
      <c r="D904" s="52" t="s">
        <v>1621</v>
      </c>
      <c r="E904" s="49" t="str">
        <f>VLOOKUP(Dados_Cursos[[#This Row],[ID]],Apoio!A897:H1897,2,0)</f>
        <v>samuel.gomes897@gmail.com</v>
      </c>
      <c r="F904" s="36" t="s">
        <v>1013</v>
      </c>
      <c r="G904" s="36" t="s">
        <v>2666</v>
      </c>
      <c r="H904" s="38">
        <v>800</v>
      </c>
      <c r="I904" s="49">
        <v>14</v>
      </c>
      <c r="J904" s="49" t="str">
        <f>VLOOKUP(Dados_Cursos[[#This Row],[ID]],Apoio!A897:H1897,4,0)</f>
        <v>Icolo e Bengo</v>
      </c>
      <c r="K904" s="37" t="s">
        <v>113</v>
      </c>
      <c r="L904" s="37" t="s">
        <v>110</v>
      </c>
      <c r="M904" s="53"/>
    </row>
    <row r="905" spans="1:13" ht="20.100000000000001" customHeight="1" x14ac:dyDescent="0.25">
      <c r="A905" s="49">
        <v>898</v>
      </c>
      <c r="B905" s="55">
        <v>45488</v>
      </c>
      <c r="C905" s="36" t="str">
        <f>UPPER(TEXT(Dados_Cursos[[#This Row],[Data]],"mmm"))</f>
        <v>JUL</v>
      </c>
      <c r="D905" s="52" t="s">
        <v>2231</v>
      </c>
      <c r="E905" s="49" t="str">
        <f>VLOOKUP(Dados_Cursos[[#This Row],[ID]],Apoio!A898:H1898,2,0)</f>
        <v>adriano.domingues898@gmail.com</v>
      </c>
      <c r="F905" s="36" t="s">
        <v>1014</v>
      </c>
      <c r="G905" s="36" t="s">
        <v>2665</v>
      </c>
      <c r="H905" s="38">
        <v>1500</v>
      </c>
      <c r="I905" s="49">
        <v>17</v>
      </c>
      <c r="J905" s="49" t="str">
        <f>VLOOKUP(Dados_Cursos[[#This Row],[ID]],Apoio!A898:H1898,4,0)</f>
        <v>Zaire</v>
      </c>
      <c r="K905" s="37" t="s">
        <v>113</v>
      </c>
      <c r="L905" s="37" t="s">
        <v>2649</v>
      </c>
      <c r="M905" s="53"/>
    </row>
    <row r="906" spans="1:13" ht="20.100000000000001" customHeight="1" x14ac:dyDescent="0.25">
      <c r="A906" s="49">
        <v>899</v>
      </c>
      <c r="B906" s="55">
        <v>45397</v>
      </c>
      <c r="C906" s="36" t="str">
        <f>UPPER(TEXT(Dados_Cursos[[#This Row],[Data]],"mmm"))</f>
        <v>ABR</v>
      </c>
      <c r="D906" s="52" t="s">
        <v>1493</v>
      </c>
      <c r="E906" s="49" t="str">
        <f>VLOOKUP(Dados_Cursos[[#This Row],[ID]],Apoio!A899:H1899,2,0)</f>
        <v>pedro.almeida899@gmail.com</v>
      </c>
      <c r="F906" s="36" t="s">
        <v>1015</v>
      </c>
      <c r="G906" s="36" t="s">
        <v>2666</v>
      </c>
      <c r="H906" s="38">
        <v>1200</v>
      </c>
      <c r="I906" s="49">
        <v>8</v>
      </c>
      <c r="J906" s="49" t="str">
        <f>VLOOKUP(Dados_Cursos[[#This Row],[ID]],Apoio!A899:H1899,4,0)</f>
        <v>Bengo</v>
      </c>
      <c r="K906" s="37" t="s">
        <v>113</v>
      </c>
      <c r="L906" s="37" t="s">
        <v>2649</v>
      </c>
      <c r="M906" s="53"/>
    </row>
    <row r="907" spans="1:13" ht="20.100000000000001" customHeight="1" x14ac:dyDescent="0.25">
      <c r="A907" s="49">
        <v>900</v>
      </c>
      <c r="B907" s="55">
        <v>45355</v>
      </c>
      <c r="C907" s="36" t="str">
        <f>UPPER(TEXT(Dados_Cursos[[#This Row],[Data]],"mmm"))</f>
        <v>MAR</v>
      </c>
      <c r="D907" s="52" t="s">
        <v>1948</v>
      </c>
      <c r="E907" s="49" t="str">
        <f>VLOOKUP(Dados_Cursos[[#This Row],[ID]],Apoio!A900:H1900,2,0)</f>
        <v>bruno.gomes900@gmail.com</v>
      </c>
      <c r="F907" s="36" t="s">
        <v>1016</v>
      </c>
      <c r="G907" s="36" t="s">
        <v>2666</v>
      </c>
      <c r="H907" s="38">
        <v>1200</v>
      </c>
      <c r="I907" s="49">
        <v>11</v>
      </c>
      <c r="J907" s="49" t="str">
        <f>VLOOKUP(Dados_Cursos[[#This Row],[ID]],Apoio!A900:H1900,4,0)</f>
        <v>Zaire</v>
      </c>
      <c r="K907" s="37" t="s">
        <v>113</v>
      </c>
      <c r="L907" s="37" t="s">
        <v>110</v>
      </c>
      <c r="M907" s="53"/>
    </row>
    <row r="908" spans="1:13" ht="20.100000000000001" customHeight="1" x14ac:dyDescent="0.25">
      <c r="A908" s="49">
        <v>901</v>
      </c>
      <c r="B908" s="55">
        <v>45421</v>
      </c>
      <c r="C908" s="36" t="str">
        <f>UPPER(TEXT(Dados_Cursos[[#This Row],[Data]],"mmm"))</f>
        <v>MAI</v>
      </c>
      <c r="D908" s="52" t="s">
        <v>2523</v>
      </c>
      <c r="E908" s="49" t="str">
        <f>VLOOKUP(Dados_Cursos[[#This Row],[ID]],Apoio!A901:H1901,2,0)</f>
        <v>luís.silva901@gmail.com</v>
      </c>
      <c r="F908" s="36" t="s">
        <v>1017</v>
      </c>
      <c r="G908" s="36" t="s">
        <v>2666</v>
      </c>
      <c r="H908" s="38">
        <v>800</v>
      </c>
      <c r="I908" s="49">
        <v>6</v>
      </c>
      <c r="J908" s="49" t="str">
        <f>VLOOKUP(Dados_Cursos[[#This Row],[ID]],Apoio!A901:H1901,4,0)</f>
        <v>Benguela</v>
      </c>
      <c r="K908" s="37" t="s">
        <v>113</v>
      </c>
      <c r="L908" s="37" t="s">
        <v>2649</v>
      </c>
      <c r="M908" s="53"/>
    </row>
    <row r="909" spans="1:13" ht="20.100000000000001" customHeight="1" x14ac:dyDescent="0.25">
      <c r="A909" s="49">
        <v>902</v>
      </c>
      <c r="B909" s="55">
        <v>45592</v>
      </c>
      <c r="C909" s="36" t="str">
        <f>UPPER(TEXT(Dados_Cursos[[#This Row],[Data]],"mmm"))</f>
        <v>OUT</v>
      </c>
      <c r="D909" s="52" t="s">
        <v>1694</v>
      </c>
      <c r="E909" s="49" t="str">
        <f>VLOOKUP(Dados_Cursos[[#This Row],[ID]],Apoio!A902:H1902,2,0)</f>
        <v>antónio.pinto902@gmail.com</v>
      </c>
      <c r="F909" s="36" t="s">
        <v>1018</v>
      </c>
      <c r="G909" s="36" t="s">
        <v>2665</v>
      </c>
      <c r="H909" s="38">
        <v>1500</v>
      </c>
      <c r="I909" s="49">
        <v>18</v>
      </c>
      <c r="J909" s="49" t="str">
        <f>VLOOKUP(Dados_Cursos[[#This Row],[ID]],Apoio!A902:H1902,4,0)</f>
        <v>Namibe</v>
      </c>
      <c r="K909" s="37" t="s">
        <v>113</v>
      </c>
      <c r="L909" s="37" t="s">
        <v>111</v>
      </c>
      <c r="M909" s="53"/>
    </row>
    <row r="910" spans="1:13" ht="20.100000000000001" customHeight="1" x14ac:dyDescent="0.25">
      <c r="A910" s="49">
        <v>903</v>
      </c>
      <c r="B910" s="55">
        <v>45431</v>
      </c>
      <c r="C910" s="36" t="str">
        <f>UPPER(TEXT(Dados_Cursos[[#This Row],[Data]],"mmm"))</f>
        <v>MAI</v>
      </c>
      <c r="D910" s="52" t="s">
        <v>1967</v>
      </c>
      <c r="E910" s="49" t="str">
        <f>VLOOKUP(Dados_Cursos[[#This Row],[ID]],Apoio!A903:H1903,2,0)</f>
        <v>marta.almeida903@gmail.com</v>
      </c>
      <c r="F910" s="36" t="s">
        <v>1019</v>
      </c>
      <c r="G910" s="36" t="s">
        <v>2666</v>
      </c>
      <c r="H910" s="38">
        <v>1200</v>
      </c>
      <c r="I910" s="49">
        <v>18</v>
      </c>
      <c r="J910" s="49" t="str">
        <f>VLOOKUP(Dados_Cursos[[#This Row],[ID]],Apoio!A903:H1903,4,0)</f>
        <v>Bié</v>
      </c>
      <c r="K910" s="37" t="s">
        <v>113</v>
      </c>
      <c r="L910" s="37" t="s">
        <v>110</v>
      </c>
      <c r="M910" s="53"/>
    </row>
    <row r="911" spans="1:13" ht="20.100000000000001" customHeight="1" x14ac:dyDescent="0.25">
      <c r="A911" s="49">
        <v>904</v>
      </c>
      <c r="B911" s="55">
        <v>45506</v>
      </c>
      <c r="C911" s="36" t="str">
        <f>UPPER(TEXT(Dados_Cursos[[#This Row],[Data]],"mmm"))</f>
        <v>AGO</v>
      </c>
      <c r="D911" s="52" t="s">
        <v>1588</v>
      </c>
      <c r="E911" s="49" t="str">
        <f>VLOOKUP(Dados_Cursos[[#This Row],[ID]],Apoio!A904:H1904,2,0)</f>
        <v>marta.david904@gmail.com</v>
      </c>
      <c r="F911" s="36" t="s">
        <v>1020</v>
      </c>
      <c r="G911" s="36" t="s">
        <v>2665</v>
      </c>
      <c r="H911" s="38">
        <v>1500</v>
      </c>
      <c r="I911" s="49">
        <v>20</v>
      </c>
      <c r="J911" s="49" t="str">
        <f>VLOOKUP(Dados_Cursos[[#This Row],[ID]],Apoio!A904:H1904,4,0)</f>
        <v>Bié</v>
      </c>
      <c r="K911" s="37" t="s">
        <v>113</v>
      </c>
      <c r="L911" s="37" t="s">
        <v>111</v>
      </c>
      <c r="M911" s="53"/>
    </row>
    <row r="912" spans="1:13" ht="20.100000000000001" customHeight="1" x14ac:dyDescent="0.25">
      <c r="A912" s="49">
        <v>905</v>
      </c>
      <c r="B912" s="55">
        <v>45646</v>
      </c>
      <c r="C912" s="36" t="str">
        <f>UPPER(TEXT(Dados_Cursos[[#This Row],[Data]],"mmm"))</f>
        <v>DEZ</v>
      </c>
      <c r="D912" s="52" t="s">
        <v>2030</v>
      </c>
      <c r="E912" s="49" t="str">
        <f>VLOOKUP(Dados_Cursos[[#This Row],[ID]],Apoio!A905:H1905,2,0)</f>
        <v>nelson.rodrigues905@gmail.com</v>
      </c>
      <c r="F912" s="36" t="s">
        <v>1021</v>
      </c>
      <c r="G912" s="36" t="s">
        <v>2665</v>
      </c>
      <c r="H912" s="38">
        <v>1500</v>
      </c>
      <c r="I912" s="49">
        <v>18</v>
      </c>
      <c r="J912" s="49" t="str">
        <f>VLOOKUP(Dados_Cursos[[#This Row],[ID]],Apoio!A905:H1905,4,0)</f>
        <v>Cabinda</v>
      </c>
      <c r="K912" s="37" t="s">
        <v>113</v>
      </c>
      <c r="L912" s="37" t="s">
        <v>110</v>
      </c>
      <c r="M912" s="53"/>
    </row>
    <row r="913" spans="1:13" ht="20.100000000000001" customHeight="1" x14ac:dyDescent="0.25">
      <c r="A913" s="49">
        <v>906</v>
      </c>
      <c r="B913" s="55">
        <v>45460</v>
      </c>
      <c r="C913" s="36" t="str">
        <f>UPPER(TEXT(Dados_Cursos[[#This Row],[Data]],"mmm"))</f>
        <v>JUN</v>
      </c>
      <c r="D913" s="52" t="s">
        <v>2529</v>
      </c>
      <c r="E913" s="49" t="str">
        <f>VLOOKUP(Dados_Cursos[[#This Row],[ID]],Apoio!A906:H1906,2,0)</f>
        <v>maria.barbosa906@gmail.com</v>
      </c>
      <c r="F913" s="36" t="s">
        <v>1022</v>
      </c>
      <c r="G913" s="36" t="s">
        <v>2666</v>
      </c>
      <c r="H913" s="38">
        <v>800</v>
      </c>
      <c r="I913" s="49">
        <v>18</v>
      </c>
      <c r="J913" s="49" t="str">
        <f>VLOOKUP(Dados_Cursos[[#This Row],[ID]],Apoio!A906:H1906,4,0)</f>
        <v>Malanje</v>
      </c>
      <c r="K913" s="37" t="s">
        <v>113</v>
      </c>
      <c r="L913" s="37" t="s">
        <v>111</v>
      </c>
      <c r="M913" s="53"/>
    </row>
    <row r="914" spans="1:13" ht="20.100000000000001" customHeight="1" x14ac:dyDescent="0.25">
      <c r="A914" s="49">
        <v>907</v>
      </c>
      <c r="B914" s="55">
        <v>45479</v>
      </c>
      <c r="C914" s="36" t="str">
        <f>UPPER(TEXT(Dados_Cursos[[#This Row],[Data]],"mmm"))</f>
        <v>JUL</v>
      </c>
      <c r="D914" s="52" t="s">
        <v>1444</v>
      </c>
      <c r="E914" s="49" t="str">
        <f>VLOOKUP(Dados_Cursos[[#This Row],[ID]],Apoio!A907:H1907,2,0)</f>
        <v>joaquim.martins907@gmail.com</v>
      </c>
      <c r="F914" s="36" t="s">
        <v>1023</v>
      </c>
      <c r="G914" s="36" t="s">
        <v>2666</v>
      </c>
      <c r="H914" s="38">
        <v>1200</v>
      </c>
      <c r="I914" s="49">
        <v>8</v>
      </c>
      <c r="J914" s="49" t="str">
        <f>VLOOKUP(Dados_Cursos[[#This Row],[ID]],Apoio!A907:H1907,4,0)</f>
        <v>Bengo</v>
      </c>
      <c r="K914" s="37" t="s">
        <v>113</v>
      </c>
      <c r="L914" s="37" t="s">
        <v>2649</v>
      </c>
      <c r="M914" s="53"/>
    </row>
    <row r="915" spans="1:13" ht="20.100000000000001" customHeight="1" x14ac:dyDescent="0.25">
      <c r="A915" s="49">
        <v>908</v>
      </c>
      <c r="B915" s="55">
        <v>45555</v>
      </c>
      <c r="C915" s="36" t="str">
        <f>UPPER(TEXT(Dados_Cursos[[#This Row],[Data]],"mmm"))</f>
        <v>SET</v>
      </c>
      <c r="D915" s="52" t="s">
        <v>2532</v>
      </c>
      <c r="E915" s="49" t="str">
        <f>VLOOKUP(Dados_Cursos[[#This Row],[ID]],Apoio!A908:H1908,2,0)</f>
        <v>nelson.andrade908@gmail.com</v>
      </c>
      <c r="F915" s="36" t="s">
        <v>1024</v>
      </c>
      <c r="G915" s="36" t="s">
        <v>2666</v>
      </c>
      <c r="H915" s="38">
        <v>1200</v>
      </c>
      <c r="I915" s="49">
        <v>6</v>
      </c>
      <c r="J915" s="49" t="str">
        <f>VLOOKUP(Dados_Cursos[[#This Row],[ID]],Apoio!A908:H1908,4,0)</f>
        <v>Huambo</v>
      </c>
      <c r="K915" s="37" t="s">
        <v>113</v>
      </c>
      <c r="L915" s="37" t="s">
        <v>2649</v>
      </c>
      <c r="M915" s="53"/>
    </row>
    <row r="916" spans="1:13" ht="20.100000000000001" customHeight="1" x14ac:dyDescent="0.25">
      <c r="A916" s="49">
        <v>909</v>
      </c>
      <c r="B916" s="55">
        <v>45482</v>
      </c>
      <c r="C916" s="36" t="str">
        <f>UPPER(TEXT(Dados_Cursos[[#This Row],[Data]],"mmm"))</f>
        <v>JUL</v>
      </c>
      <c r="D916" s="52" t="s">
        <v>1663</v>
      </c>
      <c r="E916" s="49" t="str">
        <f>VLOOKUP(Dados_Cursos[[#This Row],[ID]],Apoio!A909:H1909,2,0)</f>
        <v>domingos.barbosa909@gmail.com</v>
      </c>
      <c r="F916" s="36" t="s">
        <v>1025</v>
      </c>
      <c r="G916" s="36" t="s">
        <v>2666</v>
      </c>
      <c r="H916" s="38">
        <v>800</v>
      </c>
      <c r="I916" s="49">
        <v>14</v>
      </c>
      <c r="J916" s="49" t="str">
        <f>VLOOKUP(Dados_Cursos[[#This Row],[ID]],Apoio!A909:H1909,4,0)</f>
        <v>Bié</v>
      </c>
      <c r="K916" s="37" t="s">
        <v>113</v>
      </c>
      <c r="L916" s="37" t="s">
        <v>2649</v>
      </c>
      <c r="M916" s="53"/>
    </row>
    <row r="917" spans="1:13" ht="20.100000000000001" customHeight="1" x14ac:dyDescent="0.25">
      <c r="A917" s="49">
        <v>910</v>
      </c>
      <c r="B917" s="55">
        <v>45522</v>
      </c>
      <c r="C917" s="36" t="str">
        <f>UPPER(TEXT(Dados_Cursos[[#This Row],[Data]],"mmm"))</f>
        <v>AGO</v>
      </c>
      <c r="D917" s="52" t="s">
        <v>2142</v>
      </c>
      <c r="E917" s="49" t="str">
        <f>VLOOKUP(Dados_Cursos[[#This Row],[ID]],Apoio!A910:H1910,2,0)</f>
        <v>josé.costa910@gmail.com</v>
      </c>
      <c r="F917" s="36" t="s">
        <v>1026</v>
      </c>
      <c r="G917" s="36" t="s">
        <v>2665</v>
      </c>
      <c r="H917" s="38">
        <v>1500</v>
      </c>
      <c r="I917" s="49">
        <v>9</v>
      </c>
      <c r="J917" s="49" t="str">
        <f>VLOOKUP(Dados_Cursos[[#This Row],[ID]],Apoio!A910:H1910,4,0)</f>
        <v>Lunda Norte</v>
      </c>
      <c r="K917" s="37" t="s">
        <v>113</v>
      </c>
      <c r="L917" s="37" t="s">
        <v>2649</v>
      </c>
      <c r="M917" s="53"/>
    </row>
    <row r="918" spans="1:13" ht="20.100000000000001" customHeight="1" x14ac:dyDescent="0.25">
      <c r="A918" s="49">
        <v>911</v>
      </c>
      <c r="B918" s="55">
        <v>45329</v>
      </c>
      <c r="C918" s="36" t="str">
        <f>UPPER(TEXT(Dados_Cursos[[#This Row],[Data]],"mmm"))</f>
        <v>FEV</v>
      </c>
      <c r="D918" s="52" t="s">
        <v>1897</v>
      </c>
      <c r="E918" s="49" t="str">
        <f>VLOOKUP(Dados_Cursos[[#This Row],[ID]],Apoio!A911:H1911,2,0)</f>
        <v>paulo.rodrigues911@gmail.com</v>
      </c>
      <c r="F918" s="36" t="s">
        <v>1027</v>
      </c>
      <c r="G918" s="36" t="s">
        <v>2665</v>
      </c>
      <c r="H918" s="38">
        <v>1500</v>
      </c>
      <c r="I918" s="49">
        <v>2</v>
      </c>
      <c r="J918" s="49" t="str">
        <f>VLOOKUP(Dados_Cursos[[#This Row],[ID]],Apoio!A911:H1911,4,0)</f>
        <v>Benguela</v>
      </c>
      <c r="K918" s="37" t="s">
        <v>113</v>
      </c>
      <c r="L918" s="37" t="s">
        <v>2649</v>
      </c>
      <c r="M918" s="53"/>
    </row>
    <row r="919" spans="1:13" ht="20.100000000000001" customHeight="1" x14ac:dyDescent="0.25">
      <c r="A919" s="49">
        <v>912</v>
      </c>
      <c r="B919" s="55">
        <v>45368</v>
      </c>
      <c r="C919" s="36" t="str">
        <f>UPPER(TEXT(Dados_Cursos[[#This Row],[Data]],"mmm"))</f>
        <v>MAR</v>
      </c>
      <c r="D919" s="52" t="s">
        <v>2049</v>
      </c>
      <c r="E919" s="49" t="str">
        <f>VLOOKUP(Dados_Cursos[[#This Row],[ID]],Apoio!A912:H1912,2,0)</f>
        <v>rosa.fernandes912@gmail.com</v>
      </c>
      <c r="F919" s="36" t="s">
        <v>1028</v>
      </c>
      <c r="G919" s="36" t="s">
        <v>2666</v>
      </c>
      <c r="H919" s="38">
        <v>1200</v>
      </c>
      <c r="I919" s="49">
        <v>19</v>
      </c>
      <c r="J919" s="49" t="str">
        <f>VLOOKUP(Dados_Cursos[[#This Row],[ID]],Apoio!A912:H1912,4,0)</f>
        <v>Namibe</v>
      </c>
      <c r="K919" s="37" t="s">
        <v>113</v>
      </c>
      <c r="L919" s="37" t="s">
        <v>2649</v>
      </c>
      <c r="M919" s="53"/>
    </row>
    <row r="920" spans="1:13" ht="20.100000000000001" customHeight="1" x14ac:dyDescent="0.25">
      <c r="A920" s="49">
        <v>913</v>
      </c>
      <c r="B920" s="55">
        <v>45526</v>
      </c>
      <c r="C920" s="36" t="str">
        <f>UPPER(TEXT(Dados_Cursos[[#This Row],[Data]],"mmm"))</f>
        <v>AGO</v>
      </c>
      <c r="D920" s="52" t="s">
        <v>1238</v>
      </c>
      <c r="E920" s="49" t="str">
        <f>VLOOKUP(Dados_Cursos[[#This Row],[ID]],Apoio!A913:H1913,2,0)</f>
        <v>benedito.santos913@gmail.com</v>
      </c>
      <c r="F920" s="36" t="s">
        <v>1029</v>
      </c>
      <c r="G920" s="36" t="s">
        <v>2666</v>
      </c>
      <c r="H920" s="38">
        <v>1200</v>
      </c>
      <c r="I920" s="49">
        <v>15</v>
      </c>
      <c r="J920" s="49" t="str">
        <f>VLOOKUP(Dados_Cursos[[#This Row],[ID]],Apoio!A913:H1913,4,0)</f>
        <v>Lunda Norte</v>
      </c>
      <c r="K920" s="37" t="s">
        <v>113</v>
      </c>
      <c r="L920" s="37" t="s">
        <v>110</v>
      </c>
      <c r="M920" s="53"/>
    </row>
    <row r="921" spans="1:13" ht="20.100000000000001" customHeight="1" x14ac:dyDescent="0.25">
      <c r="A921" s="49">
        <v>914</v>
      </c>
      <c r="B921" s="55">
        <v>45561</v>
      </c>
      <c r="C921" s="36" t="str">
        <f>UPPER(TEXT(Dados_Cursos[[#This Row],[Data]],"mmm"))</f>
        <v>SET</v>
      </c>
      <c r="D921" s="52" t="s">
        <v>1621</v>
      </c>
      <c r="E921" s="49" t="str">
        <f>VLOOKUP(Dados_Cursos[[#This Row],[ID]],Apoio!A914:H1914,2,0)</f>
        <v>samuel.gomes914@gmail.com</v>
      </c>
      <c r="F921" s="36" t="s">
        <v>1030</v>
      </c>
      <c r="G921" s="36" t="s">
        <v>2666</v>
      </c>
      <c r="H921" s="38">
        <v>800</v>
      </c>
      <c r="I921" s="49">
        <v>5</v>
      </c>
      <c r="J921" s="49" t="str">
        <f>VLOOKUP(Dados_Cursos[[#This Row],[ID]],Apoio!A914:H1914,4,0)</f>
        <v>Cuando</v>
      </c>
      <c r="K921" s="37" t="s">
        <v>112</v>
      </c>
      <c r="L921" s="37" t="s">
        <v>109</v>
      </c>
      <c r="M921" s="53"/>
    </row>
    <row r="922" spans="1:13" ht="20.100000000000001" customHeight="1" x14ac:dyDescent="0.25">
      <c r="A922" s="49">
        <v>915</v>
      </c>
      <c r="B922" s="55">
        <v>45508</v>
      </c>
      <c r="C922" s="36" t="str">
        <f>UPPER(TEXT(Dados_Cursos[[#This Row],[Data]],"mmm"))</f>
        <v>AGO</v>
      </c>
      <c r="D922" s="52" t="s">
        <v>1762</v>
      </c>
      <c r="E922" s="49" t="str">
        <f>VLOOKUP(Dados_Cursos[[#This Row],[ID]],Apoio!A915:H1915,2,0)</f>
        <v>daniel.monteiro915@gmail.com</v>
      </c>
      <c r="F922" s="36" t="s">
        <v>1031</v>
      </c>
      <c r="G922" s="36" t="s">
        <v>2666</v>
      </c>
      <c r="H922" s="38">
        <v>800</v>
      </c>
      <c r="I922" s="49">
        <v>3</v>
      </c>
      <c r="J922" s="49" t="str">
        <f>VLOOKUP(Dados_Cursos[[#This Row],[ID]],Apoio!A915:H1915,4,0)</f>
        <v>Cuando</v>
      </c>
      <c r="K922" s="37" t="s">
        <v>113</v>
      </c>
      <c r="L922" s="37" t="s">
        <v>2649</v>
      </c>
      <c r="M922" s="53"/>
    </row>
    <row r="923" spans="1:13" ht="20.100000000000001" customHeight="1" x14ac:dyDescent="0.25">
      <c r="A923" s="49">
        <v>916</v>
      </c>
      <c r="B923" s="55">
        <v>45525</v>
      </c>
      <c r="C923" s="36" t="str">
        <f>UPPER(TEXT(Dados_Cursos[[#This Row],[Data]],"mmm"))</f>
        <v>AGO</v>
      </c>
      <c r="D923" s="52" t="s">
        <v>2492</v>
      </c>
      <c r="E923" s="49" t="str">
        <f>VLOOKUP(Dados_Cursos[[#This Row],[ID]],Apoio!A916:H1916,2,0)</f>
        <v>francisco.gomes916@gmail.com</v>
      </c>
      <c r="F923" s="36" t="s">
        <v>1032</v>
      </c>
      <c r="G923" s="36" t="s">
        <v>2665</v>
      </c>
      <c r="H923" s="38">
        <v>1500</v>
      </c>
      <c r="I923" s="49">
        <v>7</v>
      </c>
      <c r="J923" s="49" t="str">
        <f>VLOOKUP(Dados_Cursos[[#This Row],[ID]],Apoio!A916:H1916,4,0)</f>
        <v>Luanda</v>
      </c>
      <c r="K923" s="37" t="s">
        <v>113</v>
      </c>
      <c r="L923" s="37" t="s">
        <v>111</v>
      </c>
      <c r="M923" s="53"/>
    </row>
    <row r="924" spans="1:13" ht="20.100000000000001" customHeight="1" x14ac:dyDescent="0.25">
      <c r="A924" s="49">
        <v>917</v>
      </c>
      <c r="B924" s="55">
        <v>45502</v>
      </c>
      <c r="C924" s="36" t="str">
        <f>UPPER(TEXT(Dados_Cursos[[#This Row],[Data]],"mmm"))</f>
        <v>JUL</v>
      </c>
      <c r="D924" s="52" t="s">
        <v>2064</v>
      </c>
      <c r="E924" s="49" t="str">
        <f>VLOOKUP(Dados_Cursos[[#This Row],[ID]],Apoio!A917:H1917,2,0)</f>
        <v>rui.lopes917@gmail.com</v>
      </c>
      <c r="F924" s="36" t="s">
        <v>1033</v>
      </c>
      <c r="G924" s="36" t="s">
        <v>2665</v>
      </c>
      <c r="H924" s="38">
        <v>1500</v>
      </c>
      <c r="I924" s="49">
        <v>12</v>
      </c>
      <c r="J924" s="49" t="str">
        <f>VLOOKUP(Dados_Cursos[[#This Row],[ID]],Apoio!A917:H1917,4,0)</f>
        <v>Zaire</v>
      </c>
      <c r="K924" s="37" t="s">
        <v>112</v>
      </c>
      <c r="L924" s="37" t="s">
        <v>109</v>
      </c>
      <c r="M924" s="53"/>
    </row>
    <row r="925" spans="1:13" ht="20.100000000000001" customHeight="1" x14ac:dyDescent="0.25">
      <c r="A925" s="49">
        <v>918</v>
      </c>
      <c r="B925" s="55">
        <v>45415</v>
      </c>
      <c r="C925" s="36" t="str">
        <f>UPPER(TEXT(Dados_Cursos[[#This Row],[Data]],"mmm"))</f>
        <v>MAI</v>
      </c>
      <c r="D925" s="52" t="s">
        <v>2543</v>
      </c>
      <c r="E925" s="49" t="str">
        <f>VLOOKUP(Dados_Cursos[[#This Row],[ID]],Apoio!A918:H1918,2,0)</f>
        <v>bruno.david918@gmail.com</v>
      </c>
      <c r="F925" s="36" t="s">
        <v>1034</v>
      </c>
      <c r="G925" s="36" t="s">
        <v>2666</v>
      </c>
      <c r="H925" s="38">
        <v>800</v>
      </c>
      <c r="I925" s="49">
        <v>9</v>
      </c>
      <c r="J925" s="49" t="str">
        <f>VLOOKUP(Dados_Cursos[[#This Row],[ID]],Apoio!A918:H1918,4,0)</f>
        <v>Uíge</v>
      </c>
      <c r="K925" s="37" t="s">
        <v>113</v>
      </c>
      <c r="L925" s="37" t="s">
        <v>110</v>
      </c>
      <c r="M925" s="53"/>
    </row>
    <row r="926" spans="1:13" ht="20.100000000000001" customHeight="1" x14ac:dyDescent="0.25">
      <c r="A926" s="49">
        <v>919</v>
      </c>
      <c r="B926" s="55">
        <v>45359</v>
      </c>
      <c r="C926" s="36" t="str">
        <f>UPPER(TEXT(Dados_Cursos[[#This Row],[Data]],"mmm"))</f>
        <v>MAR</v>
      </c>
      <c r="D926" s="52" t="s">
        <v>2545</v>
      </c>
      <c r="E926" s="49" t="str">
        <f>VLOOKUP(Dados_Cursos[[#This Row],[ID]],Apoio!A919:H1919,2,0)</f>
        <v>david.miguel919@gmail.com</v>
      </c>
      <c r="F926" s="36" t="s">
        <v>1035</v>
      </c>
      <c r="G926" s="36" t="s">
        <v>2665</v>
      </c>
      <c r="H926" s="38">
        <v>1500</v>
      </c>
      <c r="I926" s="49">
        <v>5</v>
      </c>
      <c r="J926" s="49" t="str">
        <f>VLOOKUP(Dados_Cursos[[#This Row],[ID]],Apoio!A919:H1919,4,0)</f>
        <v>Zaire</v>
      </c>
      <c r="K926" s="37" t="s">
        <v>112</v>
      </c>
      <c r="L926" s="37" t="s">
        <v>109</v>
      </c>
      <c r="M926" s="53"/>
    </row>
    <row r="927" spans="1:13" ht="20.100000000000001" customHeight="1" x14ac:dyDescent="0.25">
      <c r="A927" s="49">
        <v>920</v>
      </c>
      <c r="B927" s="55">
        <v>45613</v>
      </c>
      <c r="C927" s="36" t="str">
        <f>UPPER(TEXT(Dados_Cursos[[#This Row],[Data]],"mmm"))</f>
        <v>NOV</v>
      </c>
      <c r="D927" s="52" t="s">
        <v>1893</v>
      </c>
      <c r="E927" s="49" t="str">
        <f>VLOOKUP(Dados_Cursos[[#This Row],[ID]],Apoio!A920:H1920,2,0)</f>
        <v>paulo.gomes920@gmail.com</v>
      </c>
      <c r="F927" s="36" t="s">
        <v>1036</v>
      </c>
      <c r="G927" s="36" t="s">
        <v>2665</v>
      </c>
      <c r="H927" s="38">
        <v>1500</v>
      </c>
      <c r="I927" s="49">
        <v>10</v>
      </c>
      <c r="J927" s="49" t="str">
        <f>VLOOKUP(Dados_Cursos[[#This Row],[ID]],Apoio!A920:H1920,4,0)</f>
        <v>Huambo</v>
      </c>
      <c r="K927" s="37" t="s">
        <v>113</v>
      </c>
      <c r="L927" s="37" t="s">
        <v>2649</v>
      </c>
      <c r="M927" s="53"/>
    </row>
    <row r="928" spans="1:13" ht="20.100000000000001" customHeight="1" x14ac:dyDescent="0.25">
      <c r="A928" s="49">
        <v>921</v>
      </c>
      <c r="B928" s="55">
        <v>45586</v>
      </c>
      <c r="C928" s="36" t="str">
        <f>UPPER(TEXT(Dados_Cursos[[#This Row],[Data]],"mmm"))</f>
        <v>OUT</v>
      </c>
      <c r="D928" s="52" t="s">
        <v>1978</v>
      </c>
      <c r="E928" s="49" t="str">
        <f>VLOOKUP(Dados_Cursos[[#This Row],[ID]],Apoio!A921:H1921,2,0)</f>
        <v>sofia.silva921@gmail.com</v>
      </c>
      <c r="F928" s="36" t="s">
        <v>1037</v>
      </c>
      <c r="G928" s="36" t="s">
        <v>2666</v>
      </c>
      <c r="H928" s="38">
        <v>1200</v>
      </c>
      <c r="I928" s="49">
        <v>12</v>
      </c>
      <c r="J928" s="49" t="str">
        <f>VLOOKUP(Dados_Cursos[[#This Row],[ID]],Apoio!A921:H1921,4,0)</f>
        <v>Bengo</v>
      </c>
      <c r="K928" s="37" t="s">
        <v>113</v>
      </c>
      <c r="L928" s="37" t="s">
        <v>2649</v>
      </c>
      <c r="M928" s="53"/>
    </row>
    <row r="929" spans="1:13" ht="20.100000000000001" customHeight="1" x14ac:dyDescent="0.25">
      <c r="A929" s="49">
        <v>922</v>
      </c>
      <c r="B929" s="55">
        <v>45527</v>
      </c>
      <c r="C929" s="36" t="str">
        <f>UPPER(TEXT(Dados_Cursos[[#This Row],[Data]],"mmm"))</f>
        <v>AGO</v>
      </c>
      <c r="D929" s="52" t="s">
        <v>1886</v>
      </c>
      <c r="E929" s="49" t="str">
        <f>VLOOKUP(Dados_Cursos[[#This Row],[ID]],Apoio!A922:H1922,2,0)</f>
        <v>mateus.soares922@gmail.com</v>
      </c>
      <c r="F929" s="36" t="s">
        <v>1038</v>
      </c>
      <c r="G929" s="36" t="s">
        <v>2666</v>
      </c>
      <c r="H929" s="36">
        <v>800</v>
      </c>
      <c r="I929" s="49">
        <v>16</v>
      </c>
      <c r="J929" s="49" t="str">
        <f>VLOOKUP(Dados_Cursos[[#This Row],[ID]],Apoio!A922:H1922,4,0)</f>
        <v>Cuanza Sul</v>
      </c>
      <c r="K929" s="37" t="s">
        <v>112</v>
      </c>
      <c r="L929" s="37" t="s">
        <v>109</v>
      </c>
      <c r="M929" s="53"/>
    </row>
    <row r="930" spans="1:13" ht="20.100000000000001" customHeight="1" x14ac:dyDescent="0.25">
      <c r="A930" s="49">
        <v>923</v>
      </c>
      <c r="B930" s="55">
        <v>45617</v>
      </c>
      <c r="C930" s="36" t="str">
        <f>UPPER(TEXT(Dados_Cursos[[#This Row],[Data]],"mmm"))</f>
        <v>NOV</v>
      </c>
      <c r="D930" s="52" t="s">
        <v>2550</v>
      </c>
      <c r="E930" s="49" t="str">
        <f>VLOOKUP(Dados_Cursos[[#This Row],[ID]],Apoio!A923:H1923,2,0)</f>
        <v>nelson.domingues923@gmail.com</v>
      </c>
      <c r="F930" s="36" t="s">
        <v>1039</v>
      </c>
      <c r="G930" s="36" t="s">
        <v>2666</v>
      </c>
      <c r="H930" s="36">
        <v>1200</v>
      </c>
      <c r="I930" s="49">
        <v>6</v>
      </c>
      <c r="J930" s="49" t="str">
        <f>VLOOKUP(Dados_Cursos[[#This Row],[ID]],Apoio!A923:H1923,4,0)</f>
        <v>Benguela</v>
      </c>
      <c r="K930" s="37" t="s">
        <v>113</v>
      </c>
      <c r="L930" s="37" t="s">
        <v>110</v>
      </c>
      <c r="M930" s="53"/>
    </row>
    <row r="931" spans="1:13" ht="20.100000000000001" customHeight="1" x14ac:dyDescent="0.25">
      <c r="A931" s="49">
        <v>924</v>
      </c>
      <c r="B931" s="55">
        <v>45574</v>
      </c>
      <c r="C931" s="36" t="str">
        <f>UPPER(TEXT(Dados_Cursos[[#This Row],[Data]],"mmm"))</f>
        <v>OUT</v>
      </c>
      <c r="D931" s="52" t="s">
        <v>2552</v>
      </c>
      <c r="E931" s="49" t="str">
        <f>VLOOKUP(Dados_Cursos[[#This Row],[ID]],Apoio!A924:H1924,2,0)</f>
        <v>manuel.monteiro924@gmail.com</v>
      </c>
      <c r="F931" s="36" t="s">
        <v>1040</v>
      </c>
      <c r="G931" s="36" t="s">
        <v>2666</v>
      </c>
      <c r="H931" s="36">
        <v>800</v>
      </c>
      <c r="I931" s="49">
        <v>3</v>
      </c>
      <c r="J931" s="49" t="str">
        <f>VLOOKUP(Dados_Cursos[[#This Row],[ID]],Apoio!A924:H1924,4,0)</f>
        <v>Moxico</v>
      </c>
      <c r="K931" s="37" t="s">
        <v>113</v>
      </c>
      <c r="L931" s="37" t="s">
        <v>110</v>
      </c>
      <c r="M931" s="53"/>
    </row>
    <row r="932" spans="1:13" ht="20.100000000000001" customHeight="1" x14ac:dyDescent="0.25">
      <c r="A932" s="49">
        <v>925</v>
      </c>
      <c r="B932" s="55">
        <v>45613</v>
      </c>
      <c r="C932" s="36" t="str">
        <f>UPPER(TEXT(Dados_Cursos[[#This Row],[Data]],"mmm"))</f>
        <v>NOV</v>
      </c>
      <c r="D932" s="52" t="s">
        <v>2472</v>
      </c>
      <c r="E932" s="49" t="str">
        <f>VLOOKUP(Dados_Cursos[[#This Row],[ID]],Apoio!A925:H1925,2,0)</f>
        <v>benedito.soares925@gmail.com</v>
      </c>
      <c r="F932" s="36" t="s">
        <v>1041</v>
      </c>
      <c r="G932" s="36" t="s">
        <v>2666</v>
      </c>
      <c r="H932" s="36">
        <v>1200</v>
      </c>
      <c r="I932" s="49">
        <v>8</v>
      </c>
      <c r="J932" s="49" t="str">
        <f>VLOOKUP(Dados_Cursos[[#This Row],[ID]],Apoio!A925:H1925,4,0)</f>
        <v>Moxico</v>
      </c>
      <c r="K932" s="37" t="s">
        <v>113</v>
      </c>
      <c r="L932" s="37" t="s">
        <v>2649</v>
      </c>
      <c r="M932" s="53"/>
    </row>
    <row r="933" spans="1:13" ht="20.100000000000001" customHeight="1" x14ac:dyDescent="0.25">
      <c r="A933" s="49">
        <v>926</v>
      </c>
      <c r="B933" s="55">
        <v>45514</v>
      </c>
      <c r="C933" s="36" t="str">
        <f>UPPER(TEXT(Dados_Cursos[[#This Row],[Data]],"mmm"))</f>
        <v>AGO</v>
      </c>
      <c r="D933" s="52" t="s">
        <v>1214</v>
      </c>
      <c r="E933" s="49" t="str">
        <f>VLOOKUP(Dados_Cursos[[#This Row],[ID]],Apoio!A926:H1926,2,0)</f>
        <v>samuel.martins926@gmail.com</v>
      </c>
      <c r="F933" s="36" t="s">
        <v>1042</v>
      </c>
      <c r="G933" s="36" t="s">
        <v>2665</v>
      </c>
      <c r="H933" s="36">
        <v>1500</v>
      </c>
      <c r="I933" s="49">
        <v>18</v>
      </c>
      <c r="J933" s="49" t="str">
        <f>VLOOKUP(Dados_Cursos[[#This Row],[ID]],Apoio!A926:H1926,4,0)</f>
        <v>Malanje</v>
      </c>
      <c r="K933" s="37" t="s">
        <v>113</v>
      </c>
      <c r="L933" s="37" t="s">
        <v>111</v>
      </c>
      <c r="M933" s="53"/>
    </row>
    <row r="934" spans="1:13" ht="20.100000000000001" customHeight="1" x14ac:dyDescent="0.25">
      <c r="A934" s="49">
        <v>927</v>
      </c>
      <c r="B934" s="55">
        <v>45647</v>
      </c>
      <c r="C934" s="36" t="str">
        <f>UPPER(TEXT(Dados_Cursos[[#This Row],[Data]],"mmm"))</f>
        <v>DEZ</v>
      </c>
      <c r="D934" s="52" t="s">
        <v>1523</v>
      </c>
      <c r="E934" s="49" t="str">
        <f>VLOOKUP(Dados_Cursos[[#This Row],[ID]],Apoio!A927:H1927,2,0)</f>
        <v>joaquim.monteiro927@gmail.com</v>
      </c>
      <c r="F934" s="36" t="s">
        <v>1043</v>
      </c>
      <c r="G934" s="36" t="s">
        <v>2666</v>
      </c>
      <c r="H934" s="36">
        <v>800</v>
      </c>
      <c r="I934" s="49">
        <v>5</v>
      </c>
      <c r="J934" s="49" t="str">
        <f>VLOOKUP(Dados_Cursos[[#This Row],[ID]],Apoio!A927:H1927,4,0)</f>
        <v>Huíla</v>
      </c>
      <c r="K934" s="37" t="s">
        <v>112</v>
      </c>
      <c r="L934" s="37" t="s">
        <v>109</v>
      </c>
      <c r="M934" s="53"/>
    </row>
    <row r="935" spans="1:13" ht="20.100000000000001" customHeight="1" x14ac:dyDescent="0.25">
      <c r="A935" s="49">
        <v>928</v>
      </c>
      <c r="B935" s="55">
        <v>45300</v>
      </c>
      <c r="C935" s="36" t="str">
        <f>UPPER(TEXT(Dados_Cursos[[#This Row],[Data]],"mmm"))</f>
        <v>JAN</v>
      </c>
      <c r="D935" s="52" t="s">
        <v>2557</v>
      </c>
      <c r="E935" s="49" t="str">
        <f>VLOOKUP(Dados_Cursos[[#This Row],[ID]],Apoio!A928:H1928,2,0)</f>
        <v>paulo.tavares928@gmail.com</v>
      </c>
      <c r="F935" s="36" t="s">
        <v>1044</v>
      </c>
      <c r="G935" s="36" t="s">
        <v>2665</v>
      </c>
      <c r="H935" s="36">
        <v>1500</v>
      </c>
      <c r="I935" s="49">
        <v>19</v>
      </c>
      <c r="J935" s="49" t="str">
        <f>VLOOKUP(Dados_Cursos[[#This Row],[ID]],Apoio!A928:H1928,4,0)</f>
        <v>Uíge</v>
      </c>
      <c r="K935" s="37" t="s">
        <v>112</v>
      </c>
      <c r="L935" s="37" t="s">
        <v>109</v>
      </c>
      <c r="M935" s="53"/>
    </row>
    <row r="936" spans="1:13" ht="20.100000000000001" customHeight="1" x14ac:dyDescent="0.25">
      <c r="A936" s="49">
        <v>929</v>
      </c>
      <c r="B936" s="55">
        <v>45382</v>
      </c>
      <c r="C936" s="36" t="str">
        <f>UPPER(TEXT(Dados_Cursos[[#This Row],[Data]],"mmm"))</f>
        <v>MAR</v>
      </c>
      <c r="D936" s="52" t="s">
        <v>2245</v>
      </c>
      <c r="E936" s="49" t="str">
        <f>VLOOKUP(Dados_Cursos[[#This Row],[ID]],Apoio!A929:H1929,2,0)</f>
        <v>david.barbosa929@gmail.com</v>
      </c>
      <c r="F936" s="36" t="s">
        <v>1045</v>
      </c>
      <c r="G936" s="36" t="s">
        <v>2666</v>
      </c>
      <c r="H936" s="36">
        <v>1200</v>
      </c>
      <c r="I936" s="49">
        <v>11</v>
      </c>
      <c r="J936" s="49" t="str">
        <f>VLOOKUP(Dados_Cursos[[#This Row],[ID]],Apoio!A929:H1929,4,0)</f>
        <v>Cabinda</v>
      </c>
      <c r="K936" s="37" t="s">
        <v>113</v>
      </c>
      <c r="L936" s="37" t="s">
        <v>111</v>
      </c>
      <c r="M936" s="53"/>
    </row>
    <row r="937" spans="1:13" ht="20.100000000000001" customHeight="1" x14ac:dyDescent="0.25">
      <c r="A937" s="49">
        <v>930</v>
      </c>
      <c r="B937" s="55">
        <v>45386</v>
      </c>
      <c r="C937" s="36" t="str">
        <f>UPPER(TEXT(Dados_Cursos[[#This Row],[Data]],"mmm"))</f>
        <v>ABR</v>
      </c>
      <c r="D937" s="52" t="s">
        <v>1500</v>
      </c>
      <c r="E937" s="49" t="str">
        <f>VLOOKUP(Dados_Cursos[[#This Row],[ID]],Apoio!A930:H1930,2,0)</f>
        <v>carlos.domingues930@gmail.com</v>
      </c>
      <c r="F937" s="36" t="s">
        <v>1046</v>
      </c>
      <c r="G937" s="36" t="s">
        <v>2665</v>
      </c>
      <c r="H937" s="36">
        <v>1500</v>
      </c>
      <c r="I937" s="49">
        <v>19</v>
      </c>
      <c r="J937" s="49" t="str">
        <f>VLOOKUP(Dados_Cursos[[#This Row],[ID]],Apoio!A930:H1930,4,0)</f>
        <v>Cuando</v>
      </c>
      <c r="K937" s="37" t="s">
        <v>113</v>
      </c>
      <c r="L937" s="37" t="s">
        <v>110</v>
      </c>
      <c r="M937" s="53"/>
    </row>
    <row r="938" spans="1:13" ht="20.100000000000001" customHeight="1" x14ac:dyDescent="0.25">
      <c r="A938" s="49">
        <v>931</v>
      </c>
      <c r="B938" s="55">
        <v>45567</v>
      </c>
      <c r="C938" s="36" t="str">
        <f>UPPER(TEXT(Dados_Cursos[[#This Row],[Data]],"mmm"))</f>
        <v>OUT</v>
      </c>
      <c r="D938" s="52" t="s">
        <v>2267</v>
      </c>
      <c r="E938" s="49" t="str">
        <f>VLOOKUP(Dados_Cursos[[#This Row],[ID]],Apoio!A931:H1931,2,0)</f>
        <v>joão.soares931@gmail.com</v>
      </c>
      <c r="F938" s="36" t="s">
        <v>1047</v>
      </c>
      <c r="G938" s="36" t="s">
        <v>2666</v>
      </c>
      <c r="H938" s="36">
        <v>800</v>
      </c>
      <c r="I938" s="49">
        <v>11</v>
      </c>
      <c r="J938" s="49" t="str">
        <f>VLOOKUP(Dados_Cursos[[#This Row],[ID]],Apoio!A931:H1931,4,0)</f>
        <v>Zaire</v>
      </c>
      <c r="K938" s="37" t="s">
        <v>113</v>
      </c>
      <c r="L938" s="37" t="s">
        <v>110</v>
      </c>
      <c r="M938" s="53"/>
    </row>
    <row r="939" spans="1:13" ht="20.100000000000001" customHeight="1" x14ac:dyDescent="0.25">
      <c r="A939" s="49">
        <v>932</v>
      </c>
      <c r="B939" s="55">
        <v>45543</v>
      </c>
      <c r="C939" s="36" t="str">
        <f>UPPER(TEXT(Dados_Cursos[[#This Row],[Data]],"mmm"))</f>
        <v>SET</v>
      </c>
      <c r="D939" s="52" t="s">
        <v>2562</v>
      </c>
      <c r="E939" s="49" t="str">
        <f>VLOOKUP(Dados_Cursos[[#This Row],[ID]],Apoio!A932:H1932,2,0)</f>
        <v>francisco.lopes932@gmail.com</v>
      </c>
      <c r="F939" s="36" t="s">
        <v>1048</v>
      </c>
      <c r="G939" s="36" t="s">
        <v>2666</v>
      </c>
      <c r="H939" s="36">
        <v>800</v>
      </c>
      <c r="I939" s="49">
        <v>19</v>
      </c>
      <c r="J939" s="49" t="str">
        <f>VLOOKUP(Dados_Cursos[[#This Row],[ID]],Apoio!A932:H1932,4,0)</f>
        <v>Huambo</v>
      </c>
      <c r="K939" s="37" t="s">
        <v>113</v>
      </c>
      <c r="L939" s="37" t="s">
        <v>110</v>
      </c>
      <c r="M939" s="53"/>
    </row>
    <row r="940" spans="1:13" ht="20.100000000000001" customHeight="1" x14ac:dyDescent="0.25">
      <c r="A940" s="49">
        <v>933</v>
      </c>
      <c r="B940" s="55">
        <v>45372</v>
      </c>
      <c r="C940" s="36" t="str">
        <f>UPPER(TEXT(Dados_Cursos[[#This Row],[Data]],"mmm"))</f>
        <v>MAR</v>
      </c>
      <c r="D940" s="52" t="s">
        <v>1241</v>
      </c>
      <c r="E940" s="49" t="str">
        <f>VLOOKUP(Dados_Cursos[[#This Row],[ID]],Apoio!A933:H1933,2,0)</f>
        <v>cláudia.fernandes933@gmail.com</v>
      </c>
      <c r="F940" s="36" t="s">
        <v>1049</v>
      </c>
      <c r="G940" s="36" t="s">
        <v>2666</v>
      </c>
      <c r="H940" s="36">
        <v>1200</v>
      </c>
      <c r="I940" s="49">
        <v>8</v>
      </c>
      <c r="J940" s="49" t="str">
        <f>VLOOKUP(Dados_Cursos[[#This Row],[ID]],Apoio!A933:H1933,4,0)</f>
        <v>Cunene</v>
      </c>
      <c r="K940" s="37" t="s">
        <v>113</v>
      </c>
      <c r="L940" s="37" t="s">
        <v>2649</v>
      </c>
      <c r="M940" s="53"/>
    </row>
    <row r="941" spans="1:13" ht="20.100000000000001" customHeight="1" x14ac:dyDescent="0.25">
      <c r="A941" s="49">
        <v>934</v>
      </c>
      <c r="B941" s="55">
        <v>45369</v>
      </c>
      <c r="C941" s="36" t="str">
        <f>UPPER(TEXT(Dados_Cursos[[#This Row],[Data]],"mmm"))</f>
        <v>MAR</v>
      </c>
      <c r="D941" s="52" t="s">
        <v>2440</v>
      </c>
      <c r="E941" s="49" t="str">
        <f>VLOOKUP(Dados_Cursos[[#This Row],[ID]],Apoio!A934:H1934,2,0)</f>
        <v>teresa.santos934@gmail.com</v>
      </c>
      <c r="F941" s="36" t="s">
        <v>1050</v>
      </c>
      <c r="G941" s="36" t="s">
        <v>2666</v>
      </c>
      <c r="H941" s="36">
        <v>800</v>
      </c>
      <c r="I941" s="49">
        <v>17</v>
      </c>
      <c r="J941" s="49" t="str">
        <f>VLOOKUP(Dados_Cursos[[#This Row],[ID]],Apoio!A934:H1934,4,0)</f>
        <v>Bengo</v>
      </c>
      <c r="K941" s="37" t="s">
        <v>112</v>
      </c>
      <c r="L941" s="37" t="s">
        <v>109</v>
      </c>
      <c r="M941" s="53"/>
    </row>
    <row r="942" spans="1:13" ht="20.100000000000001" customHeight="1" x14ac:dyDescent="0.25">
      <c r="A942" s="49">
        <v>935</v>
      </c>
      <c r="B942" s="55">
        <v>45417</v>
      </c>
      <c r="C942" s="36" t="str">
        <f>UPPER(TEXT(Dados_Cursos[[#This Row],[Data]],"mmm"))</f>
        <v>MAI</v>
      </c>
      <c r="D942" s="52" t="s">
        <v>1665</v>
      </c>
      <c r="E942" s="49" t="str">
        <f>VLOOKUP(Dados_Cursos[[#This Row],[ID]],Apoio!A935:H1935,2,0)</f>
        <v>luís.martins935@gmail.com</v>
      </c>
      <c r="F942" s="36" t="s">
        <v>1051</v>
      </c>
      <c r="G942" s="36" t="s">
        <v>2666</v>
      </c>
      <c r="H942" s="36">
        <v>1200</v>
      </c>
      <c r="I942" s="49">
        <v>11</v>
      </c>
      <c r="J942" s="49" t="str">
        <f>VLOOKUP(Dados_Cursos[[#This Row],[ID]],Apoio!A935:H1935,4,0)</f>
        <v>Lunda Sul</v>
      </c>
      <c r="K942" s="37" t="s">
        <v>113</v>
      </c>
      <c r="L942" s="37" t="s">
        <v>2649</v>
      </c>
      <c r="M942" s="53"/>
    </row>
    <row r="943" spans="1:13" ht="20.100000000000001" customHeight="1" x14ac:dyDescent="0.25">
      <c r="A943" s="49">
        <v>936</v>
      </c>
      <c r="B943" s="55">
        <v>45631</v>
      </c>
      <c r="C943" s="36" t="str">
        <f>UPPER(TEXT(Dados_Cursos[[#This Row],[Data]],"mmm"))</f>
        <v>DEZ</v>
      </c>
      <c r="D943" s="52" t="s">
        <v>2477</v>
      </c>
      <c r="E943" s="49" t="str">
        <f>VLOOKUP(Dados_Cursos[[#This Row],[ID]],Apoio!A936:H1936,2,0)</f>
        <v>ana.fernandes936@gmail.com</v>
      </c>
      <c r="F943" s="36" t="s">
        <v>1052</v>
      </c>
      <c r="G943" s="36" t="s">
        <v>2665</v>
      </c>
      <c r="H943" s="36">
        <v>1500</v>
      </c>
      <c r="I943" s="49">
        <v>14</v>
      </c>
      <c r="J943" s="49" t="str">
        <f>VLOOKUP(Dados_Cursos[[#This Row],[ID]],Apoio!A936:H1936,4,0)</f>
        <v>Huambo</v>
      </c>
      <c r="K943" s="37" t="s">
        <v>113</v>
      </c>
      <c r="L943" s="37" t="s">
        <v>2649</v>
      </c>
      <c r="M943" s="53"/>
    </row>
    <row r="944" spans="1:13" ht="20.100000000000001" customHeight="1" x14ac:dyDescent="0.25">
      <c r="A944" s="49">
        <v>937</v>
      </c>
      <c r="B944" s="55">
        <v>45599</v>
      </c>
      <c r="C944" s="36" t="str">
        <f>UPPER(TEXT(Dados_Cursos[[#This Row],[Data]],"mmm"))</f>
        <v>NOV</v>
      </c>
      <c r="D944" s="52" t="s">
        <v>2568</v>
      </c>
      <c r="E944" s="49" t="str">
        <f>VLOOKUP(Dados_Cursos[[#This Row],[ID]],Apoio!A937:H1937,2,0)</f>
        <v>francisco.martins937@gmail.com</v>
      </c>
      <c r="F944" s="36" t="s">
        <v>1053</v>
      </c>
      <c r="G944" s="36" t="s">
        <v>2666</v>
      </c>
      <c r="H944" s="36">
        <v>1200</v>
      </c>
      <c r="I944" s="49">
        <v>2</v>
      </c>
      <c r="J944" s="49" t="str">
        <f>VLOOKUP(Dados_Cursos[[#This Row],[ID]],Apoio!A937:H1937,4,0)</f>
        <v>Bengo</v>
      </c>
      <c r="K944" s="37" t="s">
        <v>113</v>
      </c>
      <c r="L944" s="37" t="s">
        <v>111</v>
      </c>
      <c r="M944" s="53"/>
    </row>
    <row r="945" spans="1:13" ht="20.100000000000001" customHeight="1" x14ac:dyDescent="0.25">
      <c r="A945" s="49">
        <v>938</v>
      </c>
      <c r="B945" s="55">
        <v>45580</v>
      </c>
      <c r="C945" s="36" t="str">
        <f>UPPER(TEXT(Dados_Cursos[[#This Row],[Data]],"mmm"))</f>
        <v>OUT</v>
      </c>
      <c r="D945" s="52" t="s">
        <v>2484</v>
      </c>
      <c r="E945" s="49" t="str">
        <f>VLOOKUP(Dados_Cursos[[#This Row],[ID]],Apoio!A938:H1938,2,0)</f>
        <v>isabel.barbosa938@gmail.com</v>
      </c>
      <c r="F945" s="36" t="s">
        <v>1054</v>
      </c>
      <c r="G945" s="36" t="s">
        <v>2666</v>
      </c>
      <c r="H945" s="36">
        <v>800</v>
      </c>
      <c r="I945" s="49">
        <v>12</v>
      </c>
      <c r="J945" s="49" t="str">
        <f>VLOOKUP(Dados_Cursos[[#This Row],[ID]],Apoio!A938:H1938,4,0)</f>
        <v>Moxico</v>
      </c>
      <c r="K945" s="37" t="s">
        <v>113</v>
      </c>
      <c r="L945" s="37" t="s">
        <v>110</v>
      </c>
      <c r="M945" s="53"/>
    </row>
    <row r="946" spans="1:13" ht="20.100000000000001" customHeight="1" x14ac:dyDescent="0.25">
      <c r="A946" s="49">
        <v>939</v>
      </c>
      <c r="B946" s="55">
        <v>45312</v>
      </c>
      <c r="C946" s="36" t="str">
        <f>UPPER(TEXT(Dados_Cursos[[#This Row],[Data]],"mmm"))</f>
        <v>JAN</v>
      </c>
      <c r="D946" s="52" t="s">
        <v>2571</v>
      </c>
      <c r="E946" s="49" t="str">
        <f>VLOOKUP(Dados_Cursos[[#This Row],[ID]],Apoio!A939:H1939,2,0)</f>
        <v>daniel.andrade939@gmail.com</v>
      </c>
      <c r="F946" s="36" t="s">
        <v>1055</v>
      </c>
      <c r="G946" s="36" t="s">
        <v>2666</v>
      </c>
      <c r="H946" s="36">
        <v>1200</v>
      </c>
      <c r="I946" s="49">
        <v>9</v>
      </c>
      <c r="J946" s="49" t="str">
        <f>VLOOKUP(Dados_Cursos[[#This Row],[ID]],Apoio!A939:H1939,4,0)</f>
        <v>Huambo</v>
      </c>
      <c r="K946" s="37" t="s">
        <v>113</v>
      </c>
      <c r="L946" s="37" t="s">
        <v>2649</v>
      </c>
      <c r="M946" s="53"/>
    </row>
    <row r="947" spans="1:13" ht="20.100000000000001" customHeight="1" x14ac:dyDescent="0.25">
      <c r="A947" s="49">
        <v>940</v>
      </c>
      <c r="B947" s="55">
        <v>45368</v>
      </c>
      <c r="C947" s="36" t="str">
        <f>UPPER(TEXT(Dados_Cursos[[#This Row],[Data]],"mmm"))</f>
        <v>MAR</v>
      </c>
      <c r="D947" s="52" t="s">
        <v>1214</v>
      </c>
      <c r="E947" s="49" t="str">
        <f>VLOOKUP(Dados_Cursos[[#This Row],[ID]],Apoio!A940:H1940,2,0)</f>
        <v>samuel.martins940@gmail.com</v>
      </c>
      <c r="F947" s="36" t="s">
        <v>1056</v>
      </c>
      <c r="G947" s="36" t="s">
        <v>2665</v>
      </c>
      <c r="H947" s="36">
        <v>1500</v>
      </c>
      <c r="I947" s="49">
        <v>15</v>
      </c>
      <c r="J947" s="49" t="str">
        <f>VLOOKUP(Dados_Cursos[[#This Row],[ID]],Apoio!A940:H1940,4,0)</f>
        <v>Namibe</v>
      </c>
      <c r="K947" s="37" t="s">
        <v>113</v>
      </c>
      <c r="L947" s="37" t="s">
        <v>110</v>
      </c>
      <c r="M947" s="53"/>
    </row>
    <row r="948" spans="1:13" ht="20.100000000000001" customHeight="1" x14ac:dyDescent="0.25">
      <c r="A948" s="49">
        <v>941</v>
      </c>
      <c r="B948" s="55">
        <v>45626</v>
      </c>
      <c r="C948" s="36" t="str">
        <f>UPPER(TEXT(Dados_Cursos[[#This Row],[Data]],"mmm"))</f>
        <v>NOV</v>
      </c>
      <c r="D948" s="52" t="s">
        <v>1353</v>
      </c>
      <c r="E948" s="49" t="str">
        <f>VLOOKUP(Dados_Cursos[[#This Row],[ID]],Apoio!A941:H1941,2,0)</f>
        <v>rui.rodrigues941@gmail.com</v>
      </c>
      <c r="F948" s="36" t="s">
        <v>1057</v>
      </c>
      <c r="G948" s="36" t="s">
        <v>2665</v>
      </c>
      <c r="H948" s="36">
        <v>1500</v>
      </c>
      <c r="I948" s="49">
        <v>7</v>
      </c>
      <c r="J948" s="49" t="str">
        <f>VLOOKUP(Dados_Cursos[[#This Row],[ID]],Apoio!A941:H1941,4,0)</f>
        <v>Zaire</v>
      </c>
      <c r="K948" s="37" t="s">
        <v>112</v>
      </c>
      <c r="L948" s="37" t="s">
        <v>109</v>
      </c>
      <c r="M948" s="53"/>
    </row>
    <row r="949" spans="1:13" ht="20.100000000000001" customHeight="1" x14ac:dyDescent="0.25">
      <c r="A949" s="49">
        <v>942</v>
      </c>
      <c r="B949" s="55">
        <v>45578</v>
      </c>
      <c r="C949" s="36" t="str">
        <f>UPPER(TEXT(Dados_Cursos[[#This Row],[Data]],"mmm"))</f>
        <v>OUT</v>
      </c>
      <c r="D949" s="52" t="s">
        <v>1193</v>
      </c>
      <c r="E949" s="49" t="str">
        <f>VLOOKUP(Dados_Cursos[[#This Row],[ID]],Apoio!A942:H1942,2,0)</f>
        <v>maria.fernandes942@gmail.com</v>
      </c>
      <c r="F949" s="36" t="s">
        <v>1058</v>
      </c>
      <c r="G949" s="36" t="s">
        <v>2666</v>
      </c>
      <c r="H949" s="36">
        <v>1200</v>
      </c>
      <c r="I949" s="49">
        <v>6</v>
      </c>
      <c r="J949" s="49" t="str">
        <f>VLOOKUP(Dados_Cursos[[#This Row],[ID]],Apoio!A942:H1942,4,0)</f>
        <v>Luanda</v>
      </c>
      <c r="K949" s="37" t="s">
        <v>112</v>
      </c>
      <c r="L949" s="37" t="s">
        <v>109</v>
      </c>
      <c r="M949" s="53"/>
    </row>
    <row r="950" spans="1:13" ht="20.100000000000001" customHeight="1" x14ac:dyDescent="0.25">
      <c r="A950" s="49">
        <v>943</v>
      </c>
      <c r="B950" s="55">
        <v>45450</v>
      </c>
      <c r="C950" s="36" t="str">
        <f>UPPER(TEXT(Dados_Cursos[[#This Row],[Data]],"mmm"))</f>
        <v>JUN</v>
      </c>
      <c r="D950" s="52" t="s">
        <v>1556</v>
      </c>
      <c r="E950" s="49" t="str">
        <f>VLOOKUP(Dados_Cursos[[#This Row],[ID]],Apoio!A943:H1943,2,0)</f>
        <v>joaquim.fernandes943@gmail.com</v>
      </c>
      <c r="F950" s="36" t="s">
        <v>1059</v>
      </c>
      <c r="G950" s="36" t="s">
        <v>2666</v>
      </c>
      <c r="H950" s="36">
        <v>1200</v>
      </c>
      <c r="I950" s="49">
        <v>9</v>
      </c>
      <c r="J950" s="49" t="str">
        <f>VLOOKUP(Dados_Cursos[[#This Row],[ID]],Apoio!A943:H1943,4,0)</f>
        <v>Icolo e Bengo</v>
      </c>
      <c r="K950" s="37" t="s">
        <v>113</v>
      </c>
      <c r="L950" s="37" t="s">
        <v>111</v>
      </c>
      <c r="M950" s="53"/>
    </row>
    <row r="951" spans="1:13" ht="20.100000000000001" customHeight="1" x14ac:dyDescent="0.25">
      <c r="A951" s="49">
        <v>944</v>
      </c>
      <c r="B951" s="55">
        <v>45315</v>
      </c>
      <c r="C951" s="36" t="str">
        <f>UPPER(TEXT(Dados_Cursos[[#This Row],[Data]],"mmm"))</f>
        <v>JAN</v>
      </c>
      <c r="D951" s="52" t="s">
        <v>1811</v>
      </c>
      <c r="E951" s="49" t="str">
        <f>VLOOKUP(Dados_Cursos[[#This Row],[ID]],Apoio!A944:H1944,2,0)</f>
        <v>helena.domingues944@gmail.com</v>
      </c>
      <c r="F951" s="36" t="s">
        <v>1060</v>
      </c>
      <c r="G951" s="36" t="s">
        <v>2666</v>
      </c>
      <c r="H951" s="36">
        <v>800</v>
      </c>
      <c r="I951" s="49">
        <v>15</v>
      </c>
      <c r="J951" s="49" t="str">
        <f>VLOOKUP(Dados_Cursos[[#This Row],[ID]],Apoio!A944:H1944,4,0)</f>
        <v>Cunene</v>
      </c>
      <c r="K951" s="37" t="s">
        <v>112</v>
      </c>
      <c r="L951" s="37" t="s">
        <v>109</v>
      </c>
      <c r="M951" s="53"/>
    </row>
    <row r="952" spans="1:13" ht="20.100000000000001" customHeight="1" x14ac:dyDescent="0.25">
      <c r="A952" s="49">
        <v>945</v>
      </c>
      <c r="B952" s="55">
        <v>45478</v>
      </c>
      <c r="C952" s="36" t="str">
        <f>UPPER(TEXT(Dados_Cursos[[#This Row],[Data]],"mmm"))</f>
        <v>JUL</v>
      </c>
      <c r="D952" s="52" t="s">
        <v>2578</v>
      </c>
      <c r="E952" s="49" t="str">
        <f>VLOOKUP(Dados_Cursos[[#This Row],[ID]],Apoio!A945:H1945,2,0)</f>
        <v>josé.soares945@gmail.com</v>
      </c>
      <c r="F952" s="36" t="s">
        <v>1061</v>
      </c>
      <c r="G952" s="36" t="s">
        <v>2666</v>
      </c>
      <c r="H952" s="36">
        <v>1200</v>
      </c>
      <c r="I952" s="49">
        <v>16</v>
      </c>
      <c r="J952" s="49" t="str">
        <f>VLOOKUP(Dados_Cursos[[#This Row],[ID]],Apoio!A945:H1945,4,0)</f>
        <v>Bié</v>
      </c>
      <c r="K952" s="37" t="s">
        <v>112</v>
      </c>
      <c r="L952" s="37" t="s">
        <v>109</v>
      </c>
      <c r="M952" s="53"/>
    </row>
    <row r="953" spans="1:13" ht="20.100000000000001" customHeight="1" x14ac:dyDescent="0.25">
      <c r="A953" s="49">
        <v>946</v>
      </c>
      <c r="B953" s="55">
        <v>45439</v>
      </c>
      <c r="C953" s="36" t="str">
        <f>UPPER(TEXT(Dados_Cursos[[#This Row],[Data]],"mmm"))</f>
        <v>MAI</v>
      </c>
      <c r="D953" s="52" t="s">
        <v>1319</v>
      </c>
      <c r="E953" s="49" t="str">
        <f>VLOOKUP(Dados_Cursos[[#This Row],[ID]],Apoio!A946:H1946,2,0)</f>
        <v>antónio.almeida946@gmail.com</v>
      </c>
      <c r="F953" s="36" t="s">
        <v>1062</v>
      </c>
      <c r="G953" s="36" t="s">
        <v>2666</v>
      </c>
      <c r="H953" s="36">
        <v>800</v>
      </c>
      <c r="I953" s="49">
        <v>11</v>
      </c>
      <c r="J953" s="49" t="str">
        <f>VLOOKUP(Dados_Cursos[[#This Row],[ID]],Apoio!A946:H1946,4,0)</f>
        <v>Bengo</v>
      </c>
      <c r="K953" s="37" t="s">
        <v>113</v>
      </c>
      <c r="L953" s="37" t="s">
        <v>2649</v>
      </c>
      <c r="M953" s="53"/>
    </row>
    <row r="954" spans="1:13" ht="20.100000000000001" customHeight="1" x14ac:dyDescent="0.25">
      <c r="A954" s="49">
        <v>947</v>
      </c>
      <c r="B954" s="55">
        <v>45637</v>
      </c>
      <c r="C954" s="36" t="str">
        <f>UPPER(TEXT(Dados_Cursos[[#This Row],[Data]],"mmm"))</f>
        <v>DEZ</v>
      </c>
      <c r="D954" s="52" t="s">
        <v>2259</v>
      </c>
      <c r="E954" s="49" t="str">
        <f>VLOOKUP(Dados_Cursos[[#This Row],[ID]],Apoio!A947:H1947,2,0)</f>
        <v>cláudia.martins947@gmail.com</v>
      </c>
      <c r="F954" s="36" t="s">
        <v>1063</v>
      </c>
      <c r="G954" s="36" t="s">
        <v>2666</v>
      </c>
      <c r="H954" s="36">
        <v>1200</v>
      </c>
      <c r="I954" s="49">
        <v>17</v>
      </c>
      <c r="J954" s="49" t="str">
        <f>VLOOKUP(Dados_Cursos[[#This Row],[ID]],Apoio!A947:H1947,4,0)</f>
        <v>Cabinda</v>
      </c>
      <c r="K954" s="37" t="s">
        <v>112</v>
      </c>
      <c r="L954" s="37" t="s">
        <v>109</v>
      </c>
      <c r="M954" s="53"/>
    </row>
    <row r="955" spans="1:13" ht="20.100000000000001" customHeight="1" x14ac:dyDescent="0.25">
      <c r="A955" s="49">
        <v>948</v>
      </c>
      <c r="B955" s="55">
        <v>45391</v>
      </c>
      <c r="C955" s="36" t="str">
        <f>UPPER(TEXT(Dados_Cursos[[#This Row],[Data]],"mmm"))</f>
        <v>ABR</v>
      </c>
      <c r="D955" s="52" t="s">
        <v>1738</v>
      </c>
      <c r="E955" s="49" t="str">
        <f>VLOOKUP(Dados_Cursos[[#This Row],[ID]],Apoio!A948:H1948,2,0)</f>
        <v>ana.pinto948@gmail.com</v>
      </c>
      <c r="F955" s="36" t="s">
        <v>1064</v>
      </c>
      <c r="G955" s="36" t="s">
        <v>2665</v>
      </c>
      <c r="H955" s="36">
        <v>1500</v>
      </c>
      <c r="I955" s="49">
        <v>11</v>
      </c>
      <c r="J955" s="49" t="str">
        <f>VLOOKUP(Dados_Cursos[[#This Row],[ID]],Apoio!A948:H1948,4,0)</f>
        <v>Huambo</v>
      </c>
      <c r="K955" s="37" t="s">
        <v>113</v>
      </c>
      <c r="L955" s="37" t="s">
        <v>2649</v>
      </c>
      <c r="M955" s="53"/>
    </row>
    <row r="956" spans="1:13" ht="20.100000000000001" customHeight="1" x14ac:dyDescent="0.25">
      <c r="A956" s="49">
        <v>949</v>
      </c>
      <c r="B956" s="55">
        <v>45555</v>
      </c>
      <c r="C956" s="36" t="str">
        <f>UPPER(TEXT(Dados_Cursos[[#This Row],[Data]],"mmm"))</f>
        <v>SET</v>
      </c>
      <c r="D956" s="52" t="s">
        <v>1267</v>
      </c>
      <c r="E956" s="49" t="str">
        <f>VLOOKUP(Dados_Cursos[[#This Row],[ID]],Apoio!A949:H1949,2,0)</f>
        <v>domingos.fernandes949@gmail.com</v>
      </c>
      <c r="F956" s="36" t="s">
        <v>1065</v>
      </c>
      <c r="G956" s="36" t="s">
        <v>2666</v>
      </c>
      <c r="H956" s="36">
        <v>1200</v>
      </c>
      <c r="I956" s="49">
        <v>7</v>
      </c>
      <c r="J956" s="49" t="str">
        <f>VLOOKUP(Dados_Cursos[[#This Row],[ID]],Apoio!A949:H1949,4,0)</f>
        <v>Uíge</v>
      </c>
      <c r="K956" s="37" t="s">
        <v>113</v>
      </c>
      <c r="L956" s="37" t="s">
        <v>2649</v>
      </c>
      <c r="M956" s="53"/>
    </row>
    <row r="957" spans="1:13" ht="20.100000000000001" customHeight="1" x14ac:dyDescent="0.25">
      <c r="A957" s="49">
        <v>950</v>
      </c>
      <c r="B957" s="55">
        <v>45297</v>
      </c>
      <c r="C957" s="36" t="str">
        <f>UPPER(TEXT(Dados_Cursos[[#This Row],[Data]],"mmm"))</f>
        <v>JAN</v>
      </c>
      <c r="D957" s="52" t="s">
        <v>1811</v>
      </c>
      <c r="E957" s="49" t="str">
        <f>VLOOKUP(Dados_Cursos[[#This Row],[ID]],Apoio!A950:H1950,2,0)</f>
        <v>helena.domingues950@gmail.com</v>
      </c>
      <c r="F957" s="36" t="s">
        <v>1066</v>
      </c>
      <c r="G957" s="36" t="s">
        <v>2665</v>
      </c>
      <c r="H957" s="36">
        <v>1500</v>
      </c>
      <c r="I957" s="49">
        <v>11</v>
      </c>
      <c r="J957" s="49" t="str">
        <f>VLOOKUP(Dados_Cursos[[#This Row],[ID]],Apoio!A950:H1950,4,0)</f>
        <v>Benguela</v>
      </c>
      <c r="K957" s="37" t="s">
        <v>113</v>
      </c>
      <c r="L957" s="37" t="s">
        <v>111</v>
      </c>
      <c r="M957" s="53"/>
    </row>
    <row r="958" spans="1:13" ht="20.100000000000001" customHeight="1" x14ac:dyDescent="0.25">
      <c r="A958" s="49">
        <v>951</v>
      </c>
      <c r="B958" s="55">
        <v>45606</v>
      </c>
      <c r="C958" s="36" t="str">
        <f>UPPER(TEXT(Dados_Cursos[[#This Row],[Data]],"mmm"))</f>
        <v>NOV</v>
      </c>
      <c r="D958" s="52" t="s">
        <v>1347</v>
      </c>
      <c r="E958" s="49" t="str">
        <f>VLOOKUP(Dados_Cursos[[#This Row],[ID]],Apoio!A951:H1951,2,0)</f>
        <v>carlos.soares951@gmail.com</v>
      </c>
      <c r="F958" s="36" t="s">
        <v>1067</v>
      </c>
      <c r="G958" s="36" t="s">
        <v>2665</v>
      </c>
      <c r="H958" s="36">
        <v>1500</v>
      </c>
      <c r="I958" s="49">
        <v>1</v>
      </c>
      <c r="J958" s="49" t="str">
        <f>VLOOKUP(Dados_Cursos[[#This Row],[ID]],Apoio!A951:H1951,4,0)</f>
        <v>Uíge</v>
      </c>
      <c r="K958" s="37" t="s">
        <v>112</v>
      </c>
      <c r="L958" s="37" t="s">
        <v>109</v>
      </c>
      <c r="M958" s="53"/>
    </row>
    <row r="959" spans="1:13" ht="20.100000000000001" customHeight="1" x14ac:dyDescent="0.25">
      <c r="A959" s="49">
        <v>952</v>
      </c>
      <c r="B959" s="55">
        <v>45334</v>
      </c>
      <c r="C959" s="36" t="str">
        <f>UPPER(TEXT(Dados_Cursos[[#This Row],[Data]],"mmm"))</f>
        <v>FEV</v>
      </c>
      <c r="D959" s="52" t="s">
        <v>1238</v>
      </c>
      <c r="E959" s="49" t="str">
        <f>VLOOKUP(Dados_Cursos[[#This Row],[ID]],Apoio!A952:H1952,2,0)</f>
        <v>benedito.santos952@gmail.com</v>
      </c>
      <c r="F959" s="36" t="s">
        <v>1068</v>
      </c>
      <c r="G959" s="36" t="s">
        <v>2666</v>
      </c>
      <c r="H959" s="36">
        <v>800</v>
      </c>
      <c r="I959" s="49">
        <v>3</v>
      </c>
      <c r="J959" s="49" t="str">
        <f>VLOOKUP(Dados_Cursos[[#This Row],[ID]],Apoio!A952:H1952,4,0)</f>
        <v>Cuanza Sul</v>
      </c>
      <c r="K959" s="37" t="s">
        <v>113</v>
      </c>
      <c r="L959" s="37" t="s">
        <v>2649</v>
      </c>
      <c r="M959" s="53"/>
    </row>
    <row r="960" spans="1:13" ht="20.100000000000001" customHeight="1" x14ac:dyDescent="0.25">
      <c r="A960" s="49">
        <v>953</v>
      </c>
      <c r="B960" s="55">
        <v>45491</v>
      </c>
      <c r="C960" s="36" t="str">
        <f>UPPER(TEXT(Dados_Cursos[[#This Row],[Data]],"mmm"))</f>
        <v>JUL</v>
      </c>
      <c r="D960" s="52" t="s">
        <v>1545</v>
      </c>
      <c r="E960" s="49" t="str">
        <f>VLOOKUP(Dados_Cursos[[#This Row],[ID]],Apoio!A953:H1953,2,0)</f>
        <v>adriano.tavares953@gmail.com</v>
      </c>
      <c r="F960" s="36" t="s">
        <v>1069</v>
      </c>
      <c r="G960" s="36" t="s">
        <v>2665</v>
      </c>
      <c r="H960" s="36">
        <v>1500</v>
      </c>
      <c r="I960" s="49">
        <v>16</v>
      </c>
      <c r="J960" s="49" t="str">
        <f>VLOOKUP(Dados_Cursos[[#This Row],[ID]],Apoio!A953:H1953,4,0)</f>
        <v>Cunene</v>
      </c>
      <c r="K960" s="37" t="s">
        <v>112</v>
      </c>
      <c r="L960" s="37" t="s">
        <v>109</v>
      </c>
      <c r="M960" s="53"/>
    </row>
    <row r="961" spans="1:13" ht="20.100000000000001" customHeight="1" x14ac:dyDescent="0.25">
      <c r="A961" s="49">
        <v>954</v>
      </c>
      <c r="B961" s="55">
        <v>45401</v>
      </c>
      <c r="C961" s="36" t="str">
        <f>UPPER(TEXT(Dados_Cursos[[#This Row],[Data]],"mmm"))</f>
        <v>ABR</v>
      </c>
      <c r="D961" s="52" t="s">
        <v>2253</v>
      </c>
      <c r="E961" s="49" t="str">
        <f>VLOOKUP(Dados_Cursos[[#This Row],[ID]],Apoio!A954:H1954,2,0)</f>
        <v>cláudia.barbosa954@gmail.com</v>
      </c>
      <c r="F961" s="36" t="s">
        <v>1070</v>
      </c>
      <c r="G961" s="36" t="s">
        <v>2666</v>
      </c>
      <c r="H961" s="36">
        <v>800</v>
      </c>
      <c r="I961" s="49">
        <v>4</v>
      </c>
      <c r="J961" s="49" t="str">
        <f>VLOOKUP(Dados_Cursos[[#This Row],[ID]],Apoio!A954:H1954,4,0)</f>
        <v>Moxico</v>
      </c>
      <c r="K961" s="37" t="s">
        <v>113</v>
      </c>
      <c r="L961" s="37" t="s">
        <v>110</v>
      </c>
      <c r="M961" s="53"/>
    </row>
    <row r="962" spans="1:13" ht="20.100000000000001" customHeight="1" x14ac:dyDescent="0.25">
      <c r="A962" s="49">
        <v>955</v>
      </c>
      <c r="B962" s="55">
        <v>45500</v>
      </c>
      <c r="C962" s="36" t="str">
        <f>UPPER(TEXT(Dados_Cursos[[#This Row],[Data]],"mmm"))</f>
        <v>JUL</v>
      </c>
      <c r="D962" s="52" t="s">
        <v>2095</v>
      </c>
      <c r="E962" s="49" t="str">
        <f>VLOOKUP(Dados_Cursos[[#This Row],[ID]],Apoio!A955:H1955,2,0)</f>
        <v>daniel.martins955@gmail.com</v>
      </c>
      <c r="F962" s="36" t="s">
        <v>1071</v>
      </c>
      <c r="G962" s="36" t="s">
        <v>2666</v>
      </c>
      <c r="H962" s="36">
        <v>800</v>
      </c>
      <c r="I962" s="49">
        <v>13</v>
      </c>
      <c r="J962" s="49" t="str">
        <f>VLOOKUP(Dados_Cursos[[#This Row],[ID]],Apoio!A955:H1955,4,0)</f>
        <v>Luanda</v>
      </c>
      <c r="K962" s="37" t="s">
        <v>112</v>
      </c>
      <c r="L962" s="37" t="s">
        <v>109</v>
      </c>
      <c r="M962" s="53"/>
    </row>
    <row r="963" spans="1:13" ht="20.100000000000001" customHeight="1" x14ac:dyDescent="0.25">
      <c r="A963" s="49">
        <v>956</v>
      </c>
      <c r="B963" s="55">
        <v>45305</v>
      </c>
      <c r="C963" s="36" t="str">
        <f>UPPER(TEXT(Dados_Cursos[[#This Row],[Data]],"mmm"))</f>
        <v>JAN</v>
      </c>
      <c r="D963" s="52" t="s">
        <v>1238</v>
      </c>
      <c r="E963" s="49" t="str">
        <f>VLOOKUP(Dados_Cursos[[#This Row],[ID]],Apoio!A956:H1956,2,0)</f>
        <v>benedito.santos956@gmail.com</v>
      </c>
      <c r="F963" s="36" t="s">
        <v>1072</v>
      </c>
      <c r="G963" s="36" t="s">
        <v>2666</v>
      </c>
      <c r="H963" s="36">
        <v>800</v>
      </c>
      <c r="I963" s="49">
        <v>10</v>
      </c>
      <c r="J963" s="49" t="str">
        <f>VLOOKUP(Dados_Cursos[[#This Row],[ID]],Apoio!A956:H1956,4,0)</f>
        <v>Huíla</v>
      </c>
      <c r="K963" s="37" t="s">
        <v>112</v>
      </c>
      <c r="L963" s="37" t="s">
        <v>109</v>
      </c>
      <c r="M963" s="53"/>
    </row>
    <row r="964" spans="1:13" ht="20.100000000000001" customHeight="1" x14ac:dyDescent="0.25">
      <c r="A964" s="49">
        <v>957</v>
      </c>
      <c r="B964" s="55">
        <v>45555</v>
      </c>
      <c r="C964" s="36" t="str">
        <f>UPPER(TEXT(Dados_Cursos[[#This Row],[Data]],"mmm"))</f>
        <v>SET</v>
      </c>
      <c r="D964" s="52" t="s">
        <v>1177</v>
      </c>
      <c r="E964" s="49" t="str">
        <f>VLOOKUP(Dados_Cursos[[#This Row],[ID]],Apoio!A957:H1957,2,0)</f>
        <v>luís.fernandes957@gmail.com</v>
      </c>
      <c r="F964" s="36" t="s">
        <v>1073</v>
      </c>
      <c r="G964" s="36" t="s">
        <v>2666</v>
      </c>
      <c r="H964" s="36">
        <v>1200</v>
      </c>
      <c r="I964" s="49">
        <v>13</v>
      </c>
      <c r="J964" s="49" t="str">
        <f>VLOOKUP(Dados_Cursos[[#This Row],[ID]],Apoio!A957:H1957,4,0)</f>
        <v>Zaire</v>
      </c>
      <c r="K964" s="37" t="s">
        <v>112</v>
      </c>
      <c r="L964" s="37" t="s">
        <v>109</v>
      </c>
      <c r="M964" s="53"/>
    </row>
    <row r="965" spans="1:13" ht="20.100000000000001" customHeight="1" x14ac:dyDescent="0.25">
      <c r="A965" s="49">
        <v>958</v>
      </c>
      <c r="B965" s="55">
        <v>45580</v>
      </c>
      <c r="C965" s="36" t="str">
        <f>UPPER(TEXT(Dados_Cursos[[#This Row],[Data]],"mmm"))</f>
        <v>OUT</v>
      </c>
      <c r="D965" s="52" t="s">
        <v>1534</v>
      </c>
      <c r="E965" s="49" t="str">
        <f>VLOOKUP(Dados_Cursos[[#This Row],[ID]],Apoio!A958:H1958,2,0)</f>
        <v>fátima.monteiro958@gmail.com</v>
      </c>
      <c r="F965" s="36" t="s">
        <v>1074</v>
      </c>
      <c r="G965" s="36" t="s">
        <v>2665</v>
      </c>
      <c r="H965" s="36">
        <v>1500</v>
      </c>
      <c r="I965" s="49">
        <v>12</v>
      </c>
      <c r="J965" s="49" t="str">
        <f>VLOOKUP(Dados_Cursos[[#This Row],[ID]],Apoio!A958:H1958,4,0)</f>
        <v>Moxico</v>
      </c>
      <c r="K965" s="37" t="s">
        <v>113</v>
      </c>
      <c r="L965" s="37" t="s">
        <v>110</v>
      </c>
      <c r="M965" s="53"/>
    </row>
    <row r="966" spans="1:13" ht="20.100000000000001" customHeight="1" x14ac:dyDescent="0.25">
      <c r="A966" s="49">
        <v>959</v>
      </c>
      <c r="B966" s="55">
        <v>45572</v>
      </c>
      <c r="C966" s="36" t="str">
        <f>UPPER(TEXT(Dados_Cursos[[#This Row],[Data]],"mmm"))</f>
        <v>OUT</v>
      </c>
      <c r="D966" s="52" t="s">
        <v>1595</v>
      </c>
      <c r="E966" s="49" t="str">
        <f>VLOOKUP(Dados_Cursos[[#This Row],[ID]],Apoio!A959:H1959,2,0)</f>
        <v>ana.santos959@gmail.com</v>
      </c>
      <c r="F966" s="36" t="s">
        <v>1075</v>
      </c>
      <c r="G966" s="36" t="s">
        <v>2666</v>
      </c>
      <c r="H966" s="36">
        <v>1200</v>
      </c>
      <c r="I966" s="49">
        <v>2</v>
      </c>
      <c r="J966" s="49" t="str">
        <f>VLOOKUP(Dados_Cursos[[#This Row],[ID]],Apoio!A959:H1959,4,0)</f>
        <v>Huíla</v>
      </c>
      <c r="K966" s="37" t="s">
        <v>112</v>
      </c>
      <c r="L966" s="37" t="s">
        <v>109</v>
      </c>
      <c r="M966" s="53"/>
    </row>
    <row r="967" spans="1:13" ht="20.100000000000001" customHeight="1" x14ac:dyDescent="0.25">
      <c r="A967" s="49">
        <v>960</v>
      </c>
      <c r="B967" s="55">
        <v>45613</v>
      </c>
      <c r="C967" s="36" t="str">
        <f>UPPER(TEXT(Dados_Cursos[[#This Row],[Data]],"mmm"))</f>
        <v>NOV</v>
      </c>
      <c r="D967" s="52" t="s">
        <v>1857</v>
      </c>
      <c r="E967" s="49" t="str">
        <f>VLOOKUP(Dados_Cursos[[#This Row],[ID]],Apoio!A960:H1960,2,0)</f>
        <v>fátima.david960@gmail.com</v>
      </c>
      <c r="F967" s="36" t="s">
        <v>1076</v>
      </c>
      <c r="G967" s="36" t="s">
        <v>2666</v>
      </c>
      <c r="H967" s="36">
        <v>1200</v>
      </c>
      <c r="I967" s="49">
        <v>1</v>
      </c>
      <c r="J967" s="49" t="str">
        <f>VLOOKUP(Dados_Cursos[[#This Row],[ID]],Apoio!A960:H1960,4,0)</f>
        <v>Luanda</v>
      </c>
      <c r="K967" s="37" t="s">
        <v>113</v>
      </c>
      <c r="L967" s="37" t="s">
        <v>111</v>
      </c>
      <c r="M967" s="53"/>
    </row>
    <row r="968" spans="1:13" ht="20.100000000000001" customHeight="1" x14ac:dyDescent="0.25">
      <c r="A968" s="49">
        <v>961</v>
      </c>
      <c r="B968" s="55">
        <v>45382</v>
      </c>
      <c r="C968" s="36" t="str">
        <f>UPPER(TEXT(Dados_Cursos[[#This Row],[Data]],"mmm"))</f>
        <v>MAR</v>
      </c>
      <c r="D968" s="52" t="s">
        <v>1814</v>
      </c>
      <c r="E968" s="49" t="str">
        <f>VLOOKUP(Dados_Cursos[[#This Row],[ID]],Apoio!A961:H1961,2,0)</f>
        <v>daniel.almeida961@gmail.com</v>
      </c>
      <c r="F968" s="36" t="s">
        <v>1077</v>
      </c>
      <c r="G968" s="36" t="s">
        <v>2666</v>
      </c>
      <c r="H968" s="36">
        <v>1200</v>
      </c>
      <c r="I968" s="49">
        <v>4</v>
      </c>
      <c r="J968" s="49" t="str">
        <f>VLOOKUP(Dados_Cursos[[#This Row],[ID]],Apoio!A961:H1961,4,0)</f>
        <v>Huíla</v>
      </c>
      <c r="K968" s="37" t="s">
        <v>113</v>
      </c>
      <c r="L968" s="37" t="s">
        <v>2649</v>
      </c>
      <c r="M968" s="53"/>
    </row>
    <row r="969" spans="1:13" ht="20.100000000000001" customHeight="1" x14ac:dyDescent="0.25">
      <c r="A969" s="49">
        <v>962</v>
      </c>
      <c r="B969" s="55">
        <v>45397</v>
      </c>
      <c r="C969" s="36" t="str">
        <f>UPPER(TEXT(Dados_Cursos[[#This Row],[Data]],"mmm"))</f>
        <v>ABR</v>
      </c>
      <c r="D969" s="52" t="s">
        <v>1694</v>
      </c>
      <c r="E969" s="49" t="str">
        <f>VLOOKUP(Dados_Cursos[[#This Row],[ID]],Apoio!A962:H1962,2,0)</f>
        <v>antónio.pinto962@gmail.com</v>
      </c>
      <c r="F969" s="36" t="s">
        <v>1078</v>
      </c>
      <c r="G969" s="36" t="s">
        <v>2666</v>
      </c>
      <c r="H969" s="36">
        <v>1200</v>
      </c>
      <c r="I969" s="49">
        <v>13</v>
      </c>
      <c r="J969" s="49" t="str">
        <f>VLOOKUP(Dados_Cursos[[#This Row],[ID]],Apoio!A962:H1962,4,0)</f>
        <v>Lunda Norte</v>
      </c>
      <c r="K969" s="37" t="s">
        <v>113</v>
      </c>
      <c r="L969" s="37" t="s">
        <v>110</v>
      </c>
      <c r="M969" s="53"/>
    </row>
    <row r="970" spans="1:13" ht="20.100000000000001" customHeight="1" x14ac:dyDescent="0.25">
      <c r="A970" s="49">
        <v>963</v>
      </c>
      <c r="B970" s="55">
        <v>45635</v>
      </c>
      <c r="C970" s="36" t="str">
        <f>UPPER(TEXT(Dados_Cursos[[#This Row],[Data]],"mmm"))</f>
        <v>DEZ</v>
      </c>
      <c r="D970" s="52" t="s">
        <v>2597</v>
      </c>
      <c r="E970" s="49" t="str">
        <f>VLOOKUP(Dados_Cursos[[#This Row],[ID]],Apoio!A963:H1963,2,0)</f>
        <v>david.lukeba963@gmail.com</v>
      </c>
      <c r="F970" s="36" t="s">
        <v>1079</v>
      </c>
      <c r="G970" s="36" t="s">
        <v>2666</v>
      </c>
      <c r="H970" s="36">
        <v>800</v>
      </c>
      <c r="I970" s="49">
        <v>19</v>
      </c>
      <c r="J970" s="49" t="str">
        <f>VLOOKUP(Dados_Cursos[[#This Row],[ID]],Apoio!A963:H1963,4,0)</f>
        <v>Lunda Sul</v>
      </c>
      <c r="K970" s="37" t="s">
        <v>112</v>
      </c>
      <c r="L970" s="37" t="s">
        <v>109</v>
      </c>
      <c r="M970" s="53"/>
    </row>
    <row r="971" spans="1:13" ht="20.100000000000001" customHeight="1" x14ac:dyDescent="0.25">
      <c r="A971" s="49">
        <v>964</v>
      </c>
      <c r="B971" s="55">
        <v>45625</v>
      </c>
      <c r="C971" s="36" t="str">
        <f>UPPER(TEXT(Dados_Cursos[[#This Row],[Data]],"mmm"))</f>
        <v>NOV</v>
      </c>
      <c r="D971" s="52" t="s">
        <v>1230</v>
      </c>
      <c r="E971" s="49" t="str">
        <f>VLOOKUP(Dados_Cursos[[#This Row],[ID]],Apoio!A964:H1964,2,0)</f>
        <v>sofia.pereira964@gmail.com</v>
      </c>
      <c r="F971" s="36" t="s">
        <v>1080</v>
      </c>
      <c r="G971" s="36" t="s">
        <v>2666</v>
      </c>
      <c r="H971" s="36">
        <v>1200</v>
      </c>
      <c r="I971" s="49">
        <v>15</v>
      </c>
      <c r="J971" s="49" t="str">
        <f>VLOOKUP(Dados_Cursos[[#This Row],[ID]],Apoio!A964:H1964,4,0)</f>
        <v>Lunda Sul</v>
      </c>
      <c r="K971" s="37" t="s">
        <v>113</v>
      </c>
      <c r="L971" s="37" t="s">
        <v>2649</v>
      </c>
      <c r="M971" s="53"/>
    </row>
    <row r="972" spans="1:13" ht="20.100000000000001" customHeight="1" x14ac:dyDescent="0.25">
      <c r="A972" s="49">
        <v>965</v>
      </c>
      <c r="B972" s="55">
        <v>45493</v>
      </c>
      <c r="C972" s="36" t="str">
        <f>UPPER(TEXT(Dados_Cursos[[#This Row],[Data]],"mmm"))</f>
        <v>JUL</v>
      </c>
      <c r="D972" s="52" t="s">
        <v>2600</v>
      </c>
      <c r="E972" s="49" t="str">
        <f>VLOOKUP(Dados_Cursos[[#This Row],[ID]],Apoio!A965:H1965,2,0)</f>
        <v>josé.santos965@gmail.com</v>
      </c>
      <c r="F972" s="36" t="s">
        <v>1081</v>
      </c>
      <c r="G972" s="36" t="s">
        <v>2666</v>
      </c>
      <c r="H972" s="36">
        <v>1200</v>
      </c>
      <c r="I972" s="49">
        <v>11</v>
      </c>
      <c r="J972" s="49" t="str">
        <f>VLOOKUP(Dados_Cursos[[#This Row],[ID]],Apoio!A965:H1965,4,0)</f>
        <v>Malanje</v>
      </c>
      <c r="K972" s="37" t="s">
        <v>113</v>
      </c>
      <c r="L972" s="37" t="s">
        <v>2649</v>
      </c>
      <c r="M972" s="53"/>
    </row>
    <row r="973" spans="1:13" ht="20.100000000000001" customHeight="1" x14ac:dyDescent="0.25">
      <c r="A973" s="49">
        <v>966</v>
      </c>
      <c r="B973" s="55">
        <v>45641</v>
      </c>
      <c r="C973" s="36" t="str">
        <f>UPPER(TEXT(Dados_Cursos[[#This Row],[Data]],"mmm"))</f>
        <v>DEZ</v>
      </c>
      <c r="D973" s="52" t="s">
        <v>1549</v>
      </c>
      <c r="E973" s="49" t="str">
        <f>VLOOKUP(Dados_Cursos[[#This Row],[ID]],Apoio!A966:H1966,2,0)</f>
        <v>rui.santos966@gmail.com</v>
      </c>
      <c r="F973" s="36" t="s">
        <v>1082</v>
      </c>
      <c r="G973" s="36" t="s">
        <v>2666</v>
      </c>
      <c r="H973" s="36">
        <v>800</v>
      </c>
      <c r="I973" s="49">
        <v>11</v>
      </c>
      <c r="J973" s="49" t="str">
        <f>VLOOKUP(Dados_Cursos[[#This Row],[ID]],Apoio!A966:H1966,4,0)</f>
        <v>Moxico Leste</v>
      </c>
      <c r="K973" s="37" t="s">
        <v>112</v>
      </c>
      <c r="L973" s="37" t="s">
        <v>109</v>
      </c>
      <c r="M973" s="53"/>
    </row>
    <row r="974" spans="1:13" ht="20.100000000000001" customHeight="1" x14ac:dyDescent="0.25">
      <c r="A974" s="49">
        <v>967</v>
      </c>
      <c r="B974" s="55">
        <v>45622</v>
      </c>
      <c r="C974" s="36" t="str">
        <f>UPPER(TEXT(Dados_Cursos[[#This Row],[Data]],"mmm"))</f>
        <v>NOV</v>
      </c>
      <c r="D974" s="52" t="s">
        <v>1199</v>
      </c>
      <c r="E974" s="49" t="str">
        <f>VLOOKUP(Dados_Cursos[[#This Row],[ID]],Apoio!A967:H1967,2,0)</f>
        <v>rui.domingues967@gmail.com</v>
      </c>
      <c r="F974" s="36" t="s">
        <v>1083</v>
      </c>
      <c r="G974" s="36" t="s">
        <v>2666</v>
      </c>
      <c r="H974" s="36">
        <v>800</v>
      </c>
      <c r="I974" s="49">
        <v>20</v>
      </c>
      <c r="J974" s="49" t="str">
        <f>VLOOKUP(Dados_Cursos[[#This Row],[ID]],Apoio!A967:H1967,4,0)</f>
        <v>Moxico Leste</v>
      </c>
      <c r="K974" s="37" t="s">
        <v>113</v>
      </c>
      <c r="L974" s="37" t="s">
        <v>110</v>
      </c>
      <c r="M974" s="53"/>
    </row>
    <row r="975" spans="1:13" ht="20.100000000000001" customHeight="1" x14ac:dyDescent="0.25">
      <c r="A975" s="49">
        <v>968</v>
      </c>
      <c r="B975" s="55">
        <v>45562</v>
      </c>
      <c r="C975" s="36" t="str">
        <f>UPPER(TEXT(Dados_Cursos[[#This Row],[Data]],"mmm"))</f>
        <v>SET</v>
      </c>
      <c r="D975" s="52" t="s">
        <v>2251</v>
      </c>
      <c r="E975" s="49" t="str">
        <f>VLOOKUP(Dados_Cursos[[#This Row],[ID]],Apoio!A968:H1968,2,0)</f>
        <v>joão.lukeba968@gmail.com</v>
      </c>
      <c r="F975" s="36" t="s">
        <v>1084</v>
      </c>
      <c r="G975" s="36" t="s">
        <v>2666</v>
      </c>
      <c r="H975" s="36">
        <v>1200</v>
      </c>
      <c r="I975" s="49">
        <v>9</v>
      </c>
      <c r="J975" s="49" t="str">
        <f>VLOOKUP(Dados_Cursos[[#This Row],[ID]],Apoio!A968:H1968,4,0)</f>
        <v>Cunene</v>
      </c>
      <c r="K975" s="37" t="s">
        <v>113</v>
      </c>
      <c r="L975" s="37" t="s">
        <v>111</v>
      </c>
      <c r="M975" s="53"/>
    </row>
    <row r="976" spans="1:13" ht="20.100000000000001" customHeight="1" x14ac:dyDescent="0.25">
      <c r="A976" s="49">
        <v>969</v>
      </c>
      <c r="B976" s="55">
        <v>45381</v>
      </c>
      <c r="C976" s="36" t="str">
        <f>UPPER(TEXT(Dados_Cursos[[#This Row],[Data]],"mmm"))</f>
        <v>MAR</v>
      </c>
      <c r="D976" s="52" t="s">
        <v>1465</v>
      </c>
      <c r="E976" s="49" t="str">
        <f>VLOOKUP(Dados_Cursos[[#This Row],[ID]],Apoio!A969:H1969,2,0)</f>
        <v>david.lopes969@gmail.com</v>
      </c>
      <c r="F976" s="36" t="s">
        <v>1085</v>
      </c>
      <c r="G976" s="36" t="s">
        <v>2666</v>
      </c>
      <c r="H976" s="36">
        <v>800</v>
      </c>
      <c r="I976" s="49">
        <v>5</v>
      </c>
      <c r="J976" s="49" t="str">
        <f>VLOOKUP(Dados_Cursos[[#This Row],[ID]],Apoio!A969:H1969,4,0)</f>
        <v>Benguela</v>
      </c>
      <c r="K976" s="37" t="s">
        <v>113</v>
      </c>
      <c r="L976" s="37" t="s">
        <v>2649</v>
      </c>
      <c r="M976" s="53"/>
    </row>
    <row r="977" spans="1:13" ht="20.100000000000001" customHeight="1" x14ac:dyDescent="0.25">
      <c r="A977" s="49">
        <v>970</v>
      </c>
      <c r="B977" s="55">
        <v>45495</v>
      </c>
      <c r="C977" s="36" t="str">
        <f>UPPER(TEXT(Dados_Cursos[[#This Row],[Data]],"mmm"))</f>
        <v>JUL</v>
      </c>
      <c r="D977" s="52" t="s">
        <v>2606</v>
      </c>
      <c r="E977" s="49" t="str">
        <f>VLOOKUP(Dados_Cursos[[#This Row],[ID]],Apoio!A970:H1970,2,0)</f>
        <v>cláudia.pereira970@gmail.com</v>
      </c>
      <c r="F977" s="36" t="s">
        <v>1086</v>
      </c>
      <c r="G977" s="36" t="s">
        <v>2666</v>
      </c>
      <c r="H977" s="36">
        <v>800</v>
      </c>
      <c r="I977" s="49">
        <v>11</v>
      </c>
      <c r="J977" s="49" t="str">
        <f>VLOOKUP(Dados_Cursos[[#This Row],[ID]],Apoio!A970:H1970,4,0)</f>
        <v>Cuanza Norte</v>
      </c>
      <c r="K977" s="37" t="s">
        <v>112</v>
      </c>
      <c r="L977" s="37" t="s">
        <v>109</v>
      </c>
      <c r="M977" s="53"/>
    </row>
    <row r="978" spans="1:13" ht="20.100000000000001" customHeight="1" x14ac:dyDescent="0.25">
      <c r="A978" s="49">
        <v>971</v>
      </c>
      <c r="B978" s="55">
        <v>45568</v>
      </c>
      <c r="C978" s="36" t="str">
        <f>UPPER(TEXT(Dados_Cursos[[#This Row],[Data]],"mmm"))</f>
        <v>OUT</v>
      </c>
      <c r="D978" s="52" t="s">
        <v>2429</v>
      </c>
      <c r="E978" s="49" t="str">
        <f>VLOOKUP(Dados_Cursos[[#This Row],[ID]],Apoio!A971:H1971,2,0)</f>
        <v>cláudia.lopes971@gmail.com</v>
      </c>
      <c r="F978" s="36" t="s">
        <v>1087</v>
      </c>
      <c r="G978" s="36" t="s">
        <v>2666</v>
      </c>
      <c r="H978" s="36">
        <v>1200</v>
      </c>
      <c r="I978" s="49">
        <v>17</v>
      </c>
      <c r="J978" s="49" t="str">
        <f>VLOOKUP(Dados_Cursos[[#This Row],[ID]],Apoio!A971:H1971,4,0)</f>
        <v>Huíla</v>
      </c>
      <c r="K978" s="37" t="s">
        <v>113</v>
      </c>
      <c r="L978" s="37" t="s">
        <v>2649</v>
      </c>
      <c r="M978" s="53"/>
    </row>
    <row r="979" spans="1:13" ht="20.100000000000001" customHeight="1" x14ac:dyDescent="0.25">
      <c r="A979" s="49">
        <v>972</v>
      </c>
      <c r="B979" s="55">
        <v>45561</v>
      </c>
      <c r="C979" s="36" t="str">
        <f>UPPER(TEXT(Dados_Cursos[[#This Row],[Data]],"mmm"))</f>
        <v>SET</v>
      </c>
      <c r="D979" s="52" t="s">
        <v>1556</v>
      </c>
      <c r="E979" s="49" t="str">
        <f>VLOOKUP(Dados_Cursos[[#This Row],[ID]],Apoio!A972:H1972,2,0)</f>
        <v>joaquim.fernandes972@gmail.com</v>
      </c>
      <c r="F979" s="36" t="s">
        <v>1088</v>
      </c>
      <c r="G979" s="36" t="s">
        <v>2666</v>
      </c>
      <c r="H979" s="36">
        <v>1200</v>
      </c>
      <c r="I979" s="49">
        <v>7</v>
      </c>
      <c r="J979" s="49" t="str">
        <f>VLOOKUP(Dados_Cursos[[#This Row],[ID]],Apoio!A972:H1972,4,0)</f>
        <v>Huambo</v>
      </c>
      <c r="K979" s="37" t="s">
        <v>113</v>
      </c>
      <c r="L979" s="37" t="s">
        <v>110</v>
      </c>
      <c r="M979" s="53"/>
    </row>
    <row r="980" spans="1:13" ht="20.100000000000001" customHeight="1" x14ac:dyDescent="0.25">
      <c r="A980" s="49">
        <v>973</v>
      </c>
      <c r="B980" s="55">
        <v>45461</v>
      </c>
      <c r="C980" s="36" t="str">
        <f>UPPER(TEXT(Dados_Cursos[[#This Row],[Data]],"mmm"))</f>
        <v>JUN</v>
      </c>
      <c r="D980" s="52" t="s">
        <v>2014</v>
      </c>
      <c r="E980" s="49" t="str">
        <f>VLOOKUP(Dados_Cursos[[#This Row],[ID]],Apoio!A973:H1973,2,0)</f>
        <v>ana.miguel973@gmail.com</v>
      </c>
      <c r="F980" s="36" t="s">
        <v>1089</v>
      </c>
      <c r="G980" s="36" t="s">
        <v>2666</v>
      </c>
      <c r="H980" s="36">
        <v>800</v>
      </c>
      <c r="I980" s="49">
        <v>19</v>
      </c>
      <c r="J980" s="49" t="str">
        <f>VLOOKUP(Dados_Cursos[[#This Row],[ID]],Apoio!A973:H1973,4,0)</f>
        <v>Bié</v>
      </c>
      <c r="K980" s="37" t="s">
        <v>113</v>
      </c>
      <c r="L980" s="37" t="s">
        <v>111</v>
      </c>
      <c r="M980" s="53"/>
    </row>
    <row r="981" spans="1:13" ht="20.100000000000001" customHeight="1" x14ac:dyDescent="0.25">
      <c r="A981" s="49">
        <v>974</v>
      </c>
      <c r="B981" s="55">
        <v>45482</v>
      </c>
      <c r="C981" s="36" t="str">
        <f>UPPER(TEXT(Dados_Cursos[[#This Row],[Data]],"mmm"))</f>
        <v>JUL</v>
      </c>
      <c r="D981" s="52" t="s">
        <v>2287</v>
      </c>
      <c r="E981" s="49" t="str">
        <f>VLOOKUP(Dados_Cursos[[#This Row],[ID]],Apoio!A974:H1974,2,0)</f>
        <v>sofia.tavares974@gmail.com</v>
      </c>
      <c r="F981" s="36" t="s">
        <v>1090</v>
      </c>
      <c r="G981" s="36" t="s">
        <v>2666</v>
      </c>
      <c r="H981" s="36">
        <v>1200</v>
      </c>
      <c r="I981" s="49">
        <v>20</v>
      </c>
      <c r="J981" s="49" t="str">
        <f>VLOOKUP(Dados_Cursos[[#This Row],[ID]],Apoio!A974:H1974,4,0)</f>
        <v>Icolo e Bengo</v>
      </c>
      <c r="K981" s="37" t="s">
        <v>113</v>
      </c>
      <c r="L981" s="37" t="s">
        <v>111</v>
      </c>
      <c r="M981" s="53"/>
    </row>
    <row r="982" spans="1:13" ht="20.100000000000001" customHeight="1" x14ac:dyDescent="0.25">
      <c r="A982" s="49">
        <v>975</v>
      </c>
      <c r="B982" s="55">
        <v>45483</v>
      </c>
      <c r="C982" s="36" t="str">
        <f>UPPER(TEXT(Dados_Cursos[[#This Row],[Data]],"mmm"))</f>
        <v>JUL</v>
      </c>
      <c r="D982" s="52" t="s">
        <v>2038</v>
      </c>
      <c r="E982" s="49" t="str">
        <f>VLOOKUP(Dados_Cursos[[#This Row],[ID]],Apoio!A975:H1975,2,0)</f>
        <v>samuel.miguel975@gmail.com</v>
      </c>
      <c r="F982" s="36" t="s">
        <v>1091</v>
      </c>
      <c r="G982" s="36" t="s">
        <v>2665</v>
      </c>
      <c r="H982" s="36">
        <v>1500</v>
      </c>
      <c r="I982" s="49">
        <v>13</v>
      </c>
      <c r="J982" s="49" t="str">
        <f>VLOOKUP(Dados_Cursos[[#This Row],[ID]],Apoio!A975:H1975,4,0)</f>
        <v>Benguela</v>
      </c>
      <c r="K982" s="37" t="s">
        <v>113</v>
      </c>
      <c r="L982" s="37" t="s">
        <v>2649</v>
      </c>
      <c r="M982" s="53"/>
    </row>
    <row r="983" spans="1:13" ht="20.100000000000001" customHeight="1" x14ac:dyDescent="0.25">
      <c r="A983" s="49">
        <v>976</v>
      </c>
      <c r="B983" s="55">
        <v>45622</v>
      </c>
      <c r="C983" s="36" t="str">
        <f>UPPER(TEXT(Dados_Cursos[[#This Row],[Data]],"mmm"))</f>
        <v>NOV</v>
      </c>
      <c r="D983" s="52" t="s">
        <v>1508</v>
      </c>
      <c r="E983" s="49" t="str">
        <f>VLOOKUP(Dados_Cursos[[#This Row],[ID]],Apoio!A976:H1976,2,0)</f>
        <v>cláudia.almeida976@gmail.com</v>
      </c>
      <c r="F983" s="36" t="s">
        <v>1092</v>
      </c>
      <c r="G983" s="36" t="s">
        <v>2666</v>
      </c>
      <c r="H983" s="36">
        <v>800</v>
      </c>
      <c r="I983" s="49">
        <v>1</v>
      </c>
      <c r="J983" s="49" t="str">
        <f>VLOOKUP(Dados_Cursos[[#This Row],[ID]],Apoio!A976:H1976,4,0)</f>
        <v>Lunda Sul</v>
      </c>
      <c r="K983" s="37" t="s">
        <v>113</v>
      </c>
      <c r="L983" s="37" t="s">
        <v>2649</v>
      </c>
      <c r="M983" s="53"/>
    </row>
    <row r="984" spans="1:13" ht="20.100000000000001" customHeight="1" x14ac:dyDescent="0.25">
      <c r="A984" s="49">
        <v>977</v>
      </c>
      <c r="B984" s="55">
        <v>45391</v>
      </c>
      <c r="C984" s="36" t="str">
        <f>UPPER(TEXT(Dados_Cursos[[#This Row],[Data]],"mmm"))</f>
        <v>ABR</v>
      </c>
      <c r="D984" s="52" t="s">
        <v>1940</v>
      </c>
      <c r="E984" s="49" t="str">
        <f>VLOOKUP(Dados_Cursos[[#This Row],[ID]],Apoio!A977:H1977,2,0)</f>
        <v>mateus.david977@gmail.com</v>
      </c>
      <c r="F984" s="36" t="s">
        <v>1093</v>
      </c>
      <c r="G984" s="36" t="s">
        <v>2666</v>
      </c>
      <c r="H984" s="36">
        <v>1200</v>
      </c>
      <c r="I984" s="49">
        <v>2</v>
      </c>
      <c r="J984" s="49" t="str">
        <f>VLOOKUP(Dados_Cursos[[#This Row],[ID]],Apoio!A977:H1977,4,0)</f>
        <v>Cuanza Norte</v>
      </c>
      <c r="K984" s="37" t="s">
        <v>113</v>
      </c>
      <c r="L984" s="37" t="s">
        <v>2649</v>
      </c>
      <c r="M984" s="53"/>
    </row>
    <row r="985" spans="1:13" ht="20.100000000000001" customHeight="1" x14ac:dyDescent="0.25">
      <c r="A985" s="49">
        <v>978</v>
      </c>
      <c r="B985" s="55">
        <v>45609</v>
      </c>
      <c r="C985" s="36" t="str">
        <f>UPPER(TEXT(Dados_Cursos[[#This Row],[Data]],"mmm"))</f>
        <v>NOV</v>
      </c>
      <c r="D985" s="52" t="s">
        <v>1960</v>
      </c>
      <c r="E985" s="49" t="str">
        <f>VLOOKUP(Dados_Cursos[[#This Row],[ID]],Apoio!A978:H1978,2,0)</f>
        <v>adriano.david978@gmail.com</v>
      </c>
      <c r="F985" s="36" t="s">
        <v>1094</v>
      </c>
      <c r="G985" s="36" t="s">
        <v>2665</v>
      </c>
      <c r="H985" s="36">
        <v>1500</v>
      </c>
      <c r="I985" s="49">
        <v>18</v>
      </c>
      <c r="J985" s="49" t="str">
        <f>VLOOKUP(Dados_Cursos[[#This Row],[ID]],Apoio!A978:H1978,4,0)</f>
        <v>Cabinda</v>
      </c>
      <c r="K985" s="37" t="s">
        <v>112</v>
      </c>
      <c r="L985" s="37" t="s">
        <v>109</v>
      </c>
      <c r="M985" s="53"/>
    </row>
    <row r="986" spans="1:13" ht="20.100000000000001" customHeight="1" x14ac:dyDescent="0.25">
      <c r="A986" s="49">
        <v>979</v>
      </c>
      <c r="B986" s="55">
        <v>45503</v>
      </c>
      <c r="C986" s="36" t="str">
        <f>UPPER(TEXT(Dados_Cursos[[#This Row],[Data]],"mmm"))</f>
        <v>JUL</v>
      </c>
      <c r="D986" s="52" t="s">
        <v>2142</v>
      </c>
      <c r="E986" s="49" t="str">
        <f>VLOOKUP(Dados_Cursos[[#This Row],[ID]],Apoio!A979:H1979,2,0)</f>
        <v>josé.costa979@gmail.com</v>
      </c>
      <c r="F986" s="36" t="s">
        <v>1095</v>
      </c>
      <c r="G986" s="36" t="s">
        <v>2665</v>
      </c>
      <c r="H986" s="36">
        <v>1500</v>
      </c>
      <c r="I986" s="49">
        <v>16</v>
      </c>
      <c r="J986" s="49" t="str">
        <f>VLOOKUP(Dados_Cursos[[#This Row],[ID]],Apoio!A979:H1979,4,0)</f>
        <v>Lunda Sul</v>
      </c>
      <c r="K986" s="37" t="s">
        <v>113</v>
      </c>
      <c r="L986" s="37" t="s">
        <v>2649</v>
      </c>
      <c r="M986" s="53"/>
    </row>
    <row r="987" spans="1:13" ht="20.100000000000001" customHeight="1" x14ac:dyDescent="0.25">
      <c r="A987" s="49">
        <v>980</v>
      </c>
      <c r="B987" s="55">
        <v>45503</v>
      </c>
      <c r="C987" s="36" t="str">
        <f>UPPER(TEXT(Dados_Cursos[[#This Row],[Data]],"mmm"))</f>
        <v>JUL</v>
      </c>
      <c r="D987" s="52" t="s">
        <v>1543</v>
      </c>
      <c r="E987" s="49" t="str">
        <f>VLOOKUP(Dados_Cursos[[#This Row],[ID]],Apoio!A980:H1980,2,0)</f>
        <v>teresa.miguel980@gmail.com</v>
      </c>
      <c r="F987" s="36" t="s">
        <v>1096</v>
      </c>
      <c r="G987" s="36" t="s">
        <v>2665</v>
      </c>
      <c r="H987" s="36">
        <v>1500</v>
      </c>
      <c r="I987" s="49">
        <v>20</v>
      </c>
      <c r="J987" s="49" t="str">
        <f>VLOOKUP(Dados_Cursos[[#This Row],[ID]],Apoio!A980:H1980,4,0)</f>
        <v>Cunene</v>
      </c>
      <c r="K987" s="37" t="s">
        <v>112</v>
      </c>
      <c r="L987" s="37" t="s">
        <v>109</v>
      </c>
      <c r="M987" s="53"/>
    </row>
    <row r="988" spans="1:13" ht="20.100000000000001" customHeight="1" x14ac:dyDescent="0.25">
      <c r="A988" s="49">
        <v>981</v>
      </c>
      <c r="B988" s="55">
        <v>45552</v>
      </c>
      <c r="C988" s="36" t="str">
        <f>UPPER(TEXT(Dados_Cursos[[#This Row],[Data]],"mmm"))</f>
        <v>SET</v>
      </c>
      <c r="D988" s="52" t="s">
        <v>1897</v>
      </c>
      <c r="E988" s="49" t="str">
        <f>VLOOKUP(Dados_Cursos[[#This Row],[ID]],Apoio!A981:H1981,2,0)</f>
        <v>paulo.rodrigues981@gmail.com</v>
      </c>
      <c r="F988" s="36" t="s">
        <v>1097</v>
      </c>
      <c r="G988" s="36" t="s">
        <v>2665</v>
      </c>
      <c r="H988" s="36">
        <v>1500</v>
      </c>
      <c r="I988" s="49">
        <v>13</v>
      </c>
      <c r="J988" s="49" t="str">
        <f>VLOOKUP(Dados_Cursos[[#This Row],[ID]],Apoio!A981:H1981,4,0)</f>
        <v>Cubango</v>
      </c>
      <c r="K988" s="37" t="s">
        <v>112</v>
      </c>
      <c r="L988" s="37" t="s">
        <v>109</v>
      </c>
      <c r="M988" s="53"/>
    </row>
    <row r="989" spans="1:13" ht="20.100000000000001" customHeight="1" x14ac:dyDescent="0.25">
      <c r="A989" s="49">
        <v>982</v>
      </c>
      <c r="B989" s="55">
        <v>45578</v>
      </c>
      <c r="C989" s="36" t="str">
        <f>UPPER(TEXT(Dados_Cursos[[#This Row],[Data]],"mmm"))</f>
        <v>OUT</v>
      </c>
      <c r="D989" s="52" t="s">
        <v>1493</v>
      </c>
      <c r="E989" s="49" t="str">
        <f>VLOOKUP(Dados_Cursos[[#This Row],[ID]],Apoio!A982:H1982,2,0)</f>
        <v>pedro.almeida982@gmail.com</v>
      </c>
      <c r="F989" s="36" t="s">
        <v>1098</v>
      </c>
      <c r="G989" s="36" t="s">
        <v>2665</v>
      </c>
      <c r="H989" s="36">
        <v>1500</v>
      </c>
      <c r="I989" s="49">
        <v>12</v>
      </c>
      <c r="J989" s="49" t="str">
        <f>VLOOKUP(Dados_Cursos[[#This Row],[ID]],Apoio!A982:H1982,4,0)</f>
        <v>Lunda Norte</v>
      </c>
      <c r="K989" s="37" t="s">
        <v>112</v>
      </c>
      <c r="L989" s="37" t="s">
        <v>109</v>
      </c>
      <c r="M989" s="53"/>
    </row>
    <row r="990" spans="1:13" ht="20.100000000000001" customHeight="1" x14ac:dyDescent="0.25">
      <c r="A990" s="49">
        <v>983</v>
      </c>
      <c r="B990" s="55">
        <v>45598</v>
      </c>
      <c r="C990" s="36" t="str">
        <f>UPPER(TEXT(Dados_Cursos[[#This Row],[Data]],"mmm"))</f>
        <v>NOV</v>
      </c>
      <c r="D990" s="52" t="s">
        <v>2055</v>
      </c>
      <c r="E990" s="49" t="str">
        <f>VLOOKUP(Dados_Cursos[[#This Row],[ID]],Apoio!A983:H1983,2,0)</f>
        <v>domingos.david983@gmail.com</v>
      </c>
      <c r="F990" s="36" t="s">
        <v>1099</v>
      </c>
      <c r="G990" s="36" t="s">
        <v>2666</v>
      </c>
      <c r="H990" s="36">
        <v>1200</v>
      </c>
      <c r="I990" s="49">
        <v>3</v>
      </c>
      <c r="J990" s="49" t="str">
        <f>VLOOKUP(Dados_Cursos[[#This Row],[ID]],Apoio!A983:H1983,4,0)</f>
        <v>Zaire</v>
      </c>
      <c r="K990" s="37" t="s">
        <v>113</v>
      </c>
      <c r="L990" s="37" t="s">
        <v>111</v>
      </c>
      <c r="M990" s="53"/>
    </row>
    <row r="991" spans="1:13" ht="20.100000000000001" customHeight="1" x14ac:dyDescent="0.25">
      <c r="A991" s="49">
        <v>984</v>
      </c>
      <c r="B991" s="55">
        <v>45420</v>
      </c>
      <c r="C991" s="36" t="str">
        <f>UPPER(TEXT(Dados_Cursos[[#This Row],[Data]],"mmm"))</f>
        <v>MAI</v>
      </c>
      <c r="D991" s="52" t="s">
        <v>1599</v>
      </c>
      <c r="E991" s="49" t="str">
        <f>VLOOKUP(Dados_Cursos[[#This Row],[ID]],Apoio!A984:H1984,2,0)</f>
        <v>paulo.monteiro984@gmail.com</v>
      </c>
      <c r="F991" s="36" t="s">
        <v>1100</v>
      </c>
      <c r="G991" s="36" t="s">
        <v>2666</v>
      </c>
      <c r="H991" s="36">
        <v>800</v>
      </c>
      <c r="I991" s="49">
        <v>8</v>
      </c>
      <c r="J991" s="49" t="str">
        <f>VLOOKUP(Dados_Cursos[[#This Row],[ID]],Apoio!A984:H1984,4,0)</f>
        <v>Zaire</v>
      </c>
      <c r="K991" s="37" t="s">
        <v>112</v>
      </c>
      <c r="L991" s="37" t="s">
        <v>109</v>
      </c>
      <c r="M991" s="53"/>
    </row>
    <row r="992" spans="1:13" ht="20.100000000000001" customHeight="1" x14ac:dyDescent="0.25">
      <c r="A992" s="49">
        <v>985</v>
      </c>
      <c r="B992" s="55">
        <v>45568</v>
      </c>
      <c r="C992" s="36" t="str">
        <f>UPPER(TEXT(Dados_Cursos[[#This Row],[Data]],"mmm"))</f>
        <v>OUT</v>
      </c>
      <c r="D992" s="52" t="s">
        <v>2321</v>
      </c>
      <c r="E992" s="49" t="str">
        <f>VLOOKUP(Dados_Cursos[[#This Row],[ID]],Apoio!A985:H1985,2,0)</f>
        <v>bruno.lukeba985@gmail.com</v>
      </c>
      <c r="F992" s="36" t="s">
        <v>1101</v>
      </c>
      <c r="G992" s="36" t="s">
        <v>2666</v>
      </c>
      <c r="H992" s="36">
        <v>1200</v>
      </c>
      <c r="I992" s="49">
        <v>1</v>
      </c>
      <c r="J992" s="49" t="str">
        <f>VLOOKUP(Dados_Cursos[[#This Row],[ID]],Apoio!A985:H1985,4,0)</f>
        <v>Benguela</v>
      </c>
      <c r="K992" s="37" t="s">
        <v>112</v>
      </c>
      <c r="L992" s="37" t="s">
        <v>109</v>
      </c>
      <c r="M992" s="53"/>
    </row>
    <row r="993" spans="1:13" ht="20.100000000000001" customHeight="1" x14ac:dyDescent="0.25">
      <c r="A993" s="49">
        <v>986</v>
      </c>
      <c r="B993" s="55">
        <v>45596</v>
      </c>
      <c r="C993" s="36" t="str">
        <f>UPPER(TEXT(Dados_Cursos[[#This Row],[Data]],"mmm"))</f>
        <v>OUT</v>
      </c>
      <c r="D993" s="52" t="s">
        <v>2623</v>
      </c>
      <c r="E993" s="49" t="str">
        <f>VLOOKUP(Dados_Cursos[[#This Row],[ID]],Apoio!A986:H1986,2,0)</f>
        <v>david.david986@gmail.com</v>
      </c>
      <c r="F993" s="36" t="s">
        <v>1102</v>
      </c>
      <c r="G993" s="36" t="s">
        <v>2665</v>
      </c>
      <c r="H993" s="36">
        <v>1500</v>
      </c>
      <c r="I993" s="49">
        <v>8</v>
      </c>
      <c r="J993" s="49" t="str">
        <f>VLOOKUP(Dados_Cursos[[#This Row],[ID]],Apoio!A986:H1986,4,0)</f>
        <v>Cuanza Sul</v>
      </c>
      <c r="K993" s="37" t="s">
        <v>112</v>
      </c>
      <c r="L993" s="37" t="s">
        <v>109</v>
      </c>
      <c r="M993" s="53"/>
    </row>
    <row r="994" spans="1:13" ht="20.100000000000001" customHeight="1" x14ac:dyDescent="0.25">
      <c r="A994" s="49">
        <v>987</v>
      </c>
      <c r="B994" s="55">
        <v>45531</v>
      </c>
      <c r="C994" s="36" t="str">
        <f>UPPER(TEXT(Dados_Cursos[[#This Row],[Data]],"mmm"))</f>
        <v>AGO</v>
      </c>
      <c r="D994" s="52" t="s">
        <v>1824</v>
      </c>
      <c r="E994" s="49" t="str">
        <f>VLOOKUP(Dados_Cursos[[#This Row],[ID]],Apoio!A987:H1987,2,0)</f>
        <v>rosa.domingues987@gmail.com</v>
      </c>
      <c r="F994" s="36" t="s">
        <v>1103</v>
      </c>
      <c r="G994" s="36" t="s">
        <v>2666</v>
      </c>
      <c r="H994" s="36">
        <v>800</v>
      </c>
      <c r="I994" s="49">
        <v>18</v>
      </c>
      <c r="J994" s="49" t="str">
        <f>VLOOKUP(Dados_Cursos[[#This Row],[ID]],Apoio!A987:H1987,4,0)</f>
        <v>Bié</v>
      </c>
      <c r="K994" s="37" t="s">
        <v>113</v>
      </c>
      <c r="L994" s="37" t="s">
        <v>110</v>
      </c>
      <c r="M994" s="53"/>
    </row>
    <row r="995" spans="1:13" ht="20.100000000000001" customHeight="1" x14ac:dyDescent="0.25">
      <c r="A995" s="49">
        <v>988</v>
      </c>
      <c r="B995" s="55">
        <v>45521</v>
      </c>
      <c r="C995" s="36" t="str">
        <f>UPPER(TEXT(Dados_Cursos[[#This Row],[Data]],"mmm"))</f>
        <v>AGO</v>
      </c>
      <c r="D995" s="52" t="s">
        <v>2093</v>
      </c>
      <c r="E995" s="49" t="str">
        <f>VLOOKUP(Dados_Cursos[[#This Row],[ID]],Apoio!A988:H1988,2,0)</f>
        <v>fátima.pereira988@gmail.com</v>
      </c>
      <c r="F995" s="36" t="s">
        <v>1104</v>
      </c>
      <c r="G995" s="36" t="s">
        <v>2666</v>
      </c>
      <c r="H995" s="36">
        <v>800</v>
      </c>
      <c r="I995" s="49">
        <v>10</v>
      </c>
      <c r="J995" s="49" t="str">
        <f>VLOOKUP(Dados_Cursos[[#This Row],[ID]],Apoio!A988:H1988,4,0)</f>
        <v>Huambo</v>
      </c>
      <c r="K995" s="37" t="s">
        <v>113</v>
      </c>
      <c r="L995" s="37" t="s">
        <v>111</v>
      </c>
      <c r="M995" s="53"/>
    </row>
    <row r="996" spans="1:13" ht="20.100000000000001" customHeight="1" x14ac:dyDescent="0.25">
      <c r="A996" s="49">
        <v>989</v>
      </c>
      <c r="B996" s="55">
        <v>45497</v>
      </c>
      <c r="C996" s="36" t="str">
        <f>UPPER(TEXT(Dados_Cursos[[#This Row],[Data]],"mmm"))</f>
        <v>JUL</v>
      </c>
      <c r="D996" s="52" t="s">
        <v>1897</v>
      </c>
      <c r="E996" s="49" t="str">
        <f>VLOOKUP(Dados_Cursos[[#This Row],[ID]],Apoio!A989:H1989,2,0)</f>
        <v>paulo.rodrigues989@gmail.com</v>
      </c>
      <c r="F996" s="36" t="s">
        <v>1105</v>
      </c>
      <c r="G996" s="36" t="s">
        <v>2665</v>
      </c>
      <c r="H996" s="36">
        <v>1500</v>
      </c>
      <c r="I996" s="49">
        <v>7</v>
      </c>
      <c r="J996" s="49" t="str">
        <f>VLOOKUP(Dados_Cursos[[#This Row],[ID]],Apoio!A989:H1989,4,0)</f>
        <v>Malanje</v>
      </c>
      <c r="K996" s="37" t="s">
        <v>113</v>
      </c>
      <c r="L996" s="37" t="s">
        <v>110</v>
      </c>
      <c r="M996" s="53"/>
    </row>
    <row r="997" spans="1:13" ht="20.100000000000001" customHeight="1" x14ac:dyDescent="0.25">
      <c r="A997" s="49">
        <v>990</v>
      </c>
      <c r="B997" s="55">
        <v>45610</v>
      </c>
      <c r="C997" s="36" t="str">
        <f>UPPER(TEXT(Dados_Cursos[[#This Row],[Data]],"mmm"))</f>
        <v>NOV</v>
      </c>
      <c r="D997" s="52" t="s">
        <v>2231</v>
      </c>
      <c r="E997" s="49" t="str">
        <f>VLOOKUP(Dados_Cursos[[#This Row],[ID]],Apoio!A990:H1990,2,0)</f>
        <v>adriano.domingues990@gmail.com</v>
      </c>
      <c r="F997" s="36" t="s">
        <v>1106</v>
      </c>
      <c r="G997" s="36" t="s">
        <v>2665</v>
      </c>
      <c r="H997" s="36">
        <v>1500</v>
      </c>
      <c r="I997" s="49">
        <v>20</v>
      </c>
      <c r="J997" s="49" t="str">
        <f>VLOOKUP(Dados_Cursos[[#This Row],[ID]],Apoio!A990:H1990,4,0)</f>
        <v>Bié</v>
      </c>
      <c r="K997" s="37" t="s">
        <v>113</v>
      </c>
      <c r="L997" s="37" t="s">
        <v>110</v>
      </c>
      <c r="M997" s="53"/>
    </row>
    <row r="998" spans="1:13" ht="20.100000000000001" customHeight="1" x14ac:dyDescent="0.25">
      <c r="A998" s="49">
        <v>991</v>
      </c>
      <c r="B998" s="55">
        <v>45423</v>
      </c>
      <c r="C998" s="36" t="str">
        <f>UPPER(TEXT(Dados_Cursos[[#This Row],[Data]],"mmm"))</f>
        <v>MAI</v>
      </c>
      <c r="D998" s="52" t="s">
        <v>2629</v>
      </c>
      <c r="E998" s="49" t="str">
        <f>VLOOKUP(Dados_Cursos[[#This Row],[ID]],Apoio!A991:H1991,2,0)</f>
        <v>benedito.pereira991@gmail.com</v>
      </c>
      <c r="F998" s="36" t="s">
        <v>1107</v>
      </c>
      <c r="G998" s="36" t="s">
        <v>2666</v>
      </c>
      <c r="H998" s="36">
        <v>1200</v>
      </c>
      <c r="I998" s="49">
        <v>11</v>
      </c>
      <c r="J998" s="49" t="str">
        <f>VLOOKUP(Dados_Cursos[[#This Row],[ID]],Apoio!A991:H1991,4,0)</f>
        <v>Uíge</v>
      </c>
      <c r="K998" s="37" t="s">
        <v>112</v>
      </c>
      <c r="L998" s="37" t="s">
        <v>109</v>
      </c>
      <c r="M998" s="53"/>
    </row>
    <row r="999" spans="1:13" ht="20.100000000000001" customHeight="1" x14ac:dyDescent="0.25">
      <c r="A999" s="49">
        <v>992</v>
      </c>
      <c r="B999" s="55">
        <v>45555</v>
      </c>
      <c r="C999" s="36" t="str">
        <f>UPPER(TEXT(Dados_Cursos[[#This Row],[Data]],"mmm"))</f>
        <v>SET</v>
      </c>
      <c r="D999" s="52" t="s">
        <v>2631</v>
      </c>
      <c r="E999" s="49" t="str">
        <f>VLOOKUP(Dados_Cursos[[#This Row],[ID]],Apoio!A992:H1992,2,0)</f>
        <v>adriano.barbosa992@gmail.com</v>
      </c>
      <c r="F999" s="36" t="s">
        <v>1108</v>
      </c>
      <c r="G999" s="36" t="s">
        <v>2666</v>
      </c>
      <c r="H999" s="36">
        <v>1200</v>
      </c>
      <c r="I999" s="49">
        <v>18</v>
      </c>
      <c r="J999" s="49" t="str">
        <f>VLOOKUP(Dados_Cursos[[#This Row],[ID]],Apoio!A992:H1992,4,0)</f>
        <v>Lunda Sul</v>
      </c>
      <c r="K999" s="37" t="s">
        <v>113</v>
      </c>
      <c r="L999" s="37" t="s">
        <v>2649</v>
      </c>
      <c r="M999" s="53"/>
    </row>
    <row r="1000" spans="1:13" ht="20.100000000000001" customHeight="1" x14ac:dyDescent="0.25">
      <c r="A1000" s="49">
        <v>993</v>
      </c>
      <c r="B1000" s="55">
        <v>45378</v>
      </c>
      <c r="C1000" s="36" t="str">
        <f>UPPER(TEXT(Dados_Cursos[[#This Row],[Data]],"mmm"))</f>
        <v>MAR</v>
      </c>
      <c r="D1000" s="52" t="s">
        <v>1759</v>
      </c>
      <c r="E1000" s="49" t="str">
        <f>VLOOKUP(Dados_Cursos[[#This Row],[ID]],Apoio!A993:H1993,2,0)</f>
        <v>cláudia.rodrigues993@gmail.com</v>
      </c>
      <c r="F1000" s="36" t="s">
        <v>1109</v>
      </c>
      <c r="G1000" s="36" t="s">
        <v>2666</v>
      </c>
      <c r="H1000" s="36">
        <v>800</v>
      </c>
      <c r="I1000" s="49">
        <v>10</v>
      </c>
      <c r="J1000" s="49" t="str">
        <f>VLOOKUP(Dados_Cursos[[#This Row],[ID]],Apoio!A993:H1993,4,0)</f>
        <v>Icolo e Bengo</v>
      </c>
      <c r="K1000" s="37" t="s">
        <v>112</v>
      </c>
      <c r="L1000" s="37" t="s">
        <v>109</v>
      </c>
      <c r="M1000" s="53"/>
    </row>
    <row r="1001" spans="1:13" ht="20.100000000000001" customHeight="1" x14ac:dyDescent="0.25">
      <c r="A1001" s="49">
        <v>994</v>
      </c>
      <c r="B1001" s="55">
        <v>45481</v>
      </c>
      <c r="C1001" s="36" t="str">
        <f>UPPER(TEXT(Dados_Cursos[[#This Row],[Data]],"mmm"))</f>
        <v>JUL</v>
      </c>
      <c r="D1001" s="52" t="s">
        <v>2064</v>
      </c>
      <c r="E1001" s="49" t="str">
        <f>VLOOKUP(Dados_Cursos[[#This Row],[ID]],Apoio!A994:H1994,2,0)</f>
        <v>rui.lopes994@gmail.com</v>
      </c>
      <c r="F1001" s="36" t="s">
        <v>1110</v>
      </c>
      <c r="G1001" s="36" t="s">
        <v>2666</v>
      </c>
      <c r="H1001" s="36">
        <v>800</v>
      </c>
      <c r="I1001" s="49">
        <v>17</v>
      </c>
      <c r="J1001" s="49" t="str">
        <f>VLOOKUP(Dados_Cursos[[#This Row],[ID]],Apoio!A994:H1994,4,0)</f>
        <v>Bengo</v>
      </c>
      <c r="K1001" s="37" t="s">
        <v>113</v>
      </c>
      <c r="L1001" s="37" t="s">
        <v>111</v>
      </c>
      <c r="M1001" s="53"/>
    </row>
    <row r="1002" spans="1:13" ht="20.100000000000001" customHeight="1" x14ac:dyDescent="0.25">
      <c r="A1002" s="49">
        <v>995</v>
      </c>
      <c r="B1002" s="55">
        <v>45311</v>
      </c>
      <c r="C1002" s="36" t="str">
        <f>UPPER(TEXT(Dados_Cursos[[#This Row],[Data]],"mmm"))</f>
        <v>JAN</v>
      </c>
      <c r="D1002" s="52" t="s">
        <v>2085</v>
      </c>
      <c r="E1002" s="49" t="str">
        <f>VLOOKUP(Dados_Cursos[[#This Row],[ID]],Apoio!A995:H1995,2,0)</f>
        <v>cláudia.andrade995@gmail.com</v>
      </c>
      <c r="F1002" s="36" t="s">
        <v>1111</v>
      </c>
      <c r="G1002" s="36" t="s">
        <v>2665</v>
      </c>
      <c r="H1002" s="36">
        <v>1500</v>
      </c>
      <c r="I1002" s="49">
        <v>8</v>
      </c>
      <c r="J1002" s="49" t="str">
        <f>VLOOKUP(Dados_Cursos[[#This Row],[ID]],Apoio!A995:H1995,4,0)</f>
        <v>Uíge</v>
      </c>
      <c r="K1002" s="37" t="s">
        <v>112</v>
      </c>
      <c r="L1002" s="37" t="s">
        <v>109</v>
      </c>
      <c r="M1002" s="53"/>
    </row>
    <row r="1003" spans="1:13" ht="20.100000000000001" customHeight="1" x14ac:dyDescent="0.25">
      <c r="A1003" s="49">
        <v>996</v>
      </c>
      <c r="B1003" s="55">
        <v>45457</v>
      </c>
      <c r="C1003" s="36" t="str">
        <f>UPPER(TEXT(Dados_Cursos[[#This Row],[Data]],"mmm"))</f>
        <v>JUN</v>
      </c>
      <c r="D1003" s="52" t="s">
        <v>2636</v>
      </c>
      <c r="E1003" s="49" t="str">
        <f>VLOOKUP(Dados_Cursos[[#This Row],[ID]],Apoio!A996:H1996,2,0)</f>
        <v>david.soares996@gmail.com</v>
      </c>
      <c r="F1003" s="36" t="s">
        <v>1112</v>
      </c>
      <c r="G1003" s="36" t="s">
        <v>2666</v>
      </c>
      <c r="H1003" s="36">
        <v>1200</v>
      </c>
      <c r="I1003" s="49">
        <v>7</v>
      </c>
      <c r="J1003" s="49" t="str">
        <f>VLOOKUP(Dados_Cursos[[#This Row],[ID]],Apoio!A996:H1996,4,0)</f>
        <v>Huíla</v>
      </c>
      <c r="K1003" s="37" t="s">
        <v>113</v>
      </c>
      <c r="L1003" s="37" t="s">
        <v>110</v>
      </c>
      <c r="M1003" s="53"/>
    </row>
    <row r="1004" spans="1:13" ht="20.100000000000001" customHeight="1" x14ac:dyDescent="0.25">
      <c r="A1004" s="49">
        <v>997</v>
      </c>
      <c r="B1004" s="55">
        <v>45567</v>
      </c>
      <c r="C1004" s="36" t="str">
        <f>UPPER(TEXT(Dados_Cursos[[#This Row],[Data]],"mmm"))</f>
        <v>OUT</v>
      </c>
      <c r="D1004" s="52" t="s">
        <v>1265</v>
      </c>
      <c r="E1004" s="49" t="str">
        <f>VLOOKUP(Dados_Cursos[[#This Row],[ID]],Apoio!A997:H1997,2,0)</f>
        <v>manuel.costa997@gmail.com</v>
      </c>
      <c r="F1004" s="36" t="s">
        <v>1113</v>
      </c>
      <c r="G1004" s="36" t="s">
        <v>2666</v>
      </c>
      <c r="H1004" s="36">
        <v>1200</v>
      </c>
      <c r="I1004" s="49">
        <v>3</v>
      </c>
      <c r="J1004" s="49" t="str">
        <f>VLOOKUP(Dados_Cursos[[#This Row],[ID]],Apoio!A997:H1997,4,0)</f>
        <v>Zaire</v>
      </c>
      <c r="K1004" s="37" t="s">
        <v>112</v>
      </c>
      <c r="L1004" s="37" t="s">
        <v>109</v>
      </c>
      <c r="M1004" s="53"/>
    </row>
    <row r="1005" spans="1:13" ht="20.100000000000001" customHeight="1" x14ac:dyDescent="0.25">
      <c r="A1005" s="49">
        <v>998</v>
      </c>
      <c r="B1005" s="55">
        <v>45645</v>
      </c>
      <c r="C1005" s="36" t="str">
        <f>UPPER(TEXT(Dados_Cursos[[#This Row],[Data]],"mmm"))</f>
        <v>DEZ</v>
      </c>
      <c r="D1005" s="52" t="s">
        <v>1496</v>
      </c>
      <c r="E1005" s="49" t="str">
        <f>VLOOKUP(Dados_Cursos[[#This Row],[ID]],Apoio!A998:H1998,2,0)</f>
        <v>pedro.andrade998@gmail.com</v>
      </c>
      <c r="F1005" s="36" t="s">
        <v>1114</v>
      </c>
      <c r="G1005" s="36" t="s">
        <v>2666</v>
      </c>
      <c r="H1005" s="36">
        <v>800</v>
      </c>
      <c r="I1005" s="49">
        <v>19</v>
      </c>
      <c r="J1005" s="49" t="str">
        <f>VLOOKUP(Dados_Cursos[[#This Row],[ID]],Apoio!A998:H1998,4,0)</f>
        <v>Bengo</v>
      </c>
      <c r="K1005" s="37" t="s">
        <v>113</v>
      </c>
      <c r="L1005" s="37" t="s">
        <v>2649</v>
      </c>
      <c r="M1005" s="53"/>
    </row>
    <row r="1006" spans="1:13" ht="20.100000000000001" customHeight="1" x14ac:dyDescent="0.25">
      <c r="A1006" s="49">
        <v>999</v>
      </c>
      <c r="B1006" s="55">
        <v>45378</v>
      </c>
      <c r="C1006" s="36" t="str">
        <f>UPPER(TEXT(Dados_Cursos[[#This Row],[Data]],"mmm"))</f>
        <v>MAR</v>
      </c>
      <c r="D1006" s="52" t="s">
        <v>1880</v>
      </c>
      <c r="E1006" s="49" t="str">
        <f>VLOOKUP(Dados_Cursos[[#This Row],[ID]],Apoio!A999:H1999,2,0)</f>
        <v>maria.david999@gmail.com</v>
      </c>
      <c r="F1006" s="36" t="s">
        <v>1115</v>
      </c>
      <c r="G1006" s="36" t="s">
        <v>2666</v>
      </c>
      <c r="H1006" s="36">
        <v>800</v>
      </c>
      <c r="I1006" s="49">
        <v>19</v>
      </c>
      <c r="J1006" s="49" t="str">
        <f>VLOOKUP(Dados_Cursos[[#This Row],[ID]],Apoio!A999:H1999,4,0)</f>
        <v>Cuando</v>
      </c>
      <c r="K1006" s="37" t="s">
        <v>113</v>
      </c>
      <c r="L1006" s="37" t="s">
        <v>111</v>
      </c>
      <c r="M1006" s="53"/>
    </row>
    <row r="1007" spans="1:13" ht="20.100000000000001" customHeight="1" x14ac:dyDescent="0.25">
      <c r="A1007" s="49">
        <v>1000</v>
      </c>
      <c r="B1007" s="55">
        <v>45535</v>
      </c>
      <c r="C1007" s="36" t="str">
        <f>UPPER(TEXT(Dados_Cursos[[#This Row],[Data]],"mmm"))</f>
        <v>AGO</v>
      </c>
      <c r="D1007" s="52" t="s">
        <v>1153</v>
      </c>
      <c r="E1007" s="49" t="str">
        <f>VLOOKUP(Dados_Cursos[[#This Row],[ID]],Apoio!A1000:H2000,2,0)</f>
        <v>samuel.david1000@gmail.com</v>
      </c>
      <c r="F1007" s="36" t="s">
        <v>1116</v>
      </c>
      <c r="G1007" s="36" t="s">
        <v>2666</v>
      </c>
      <c r="H1007" s="36">
        <v>800</v>
      </c>
      <c r="I1007" s="49">
        <v>5</v>
      </c>
      <c r="J1007" s="49" t="str">
        <f>VLOOKUP(Dados_Cursos[[#This Row],[ID]],Apoio!A1000:H2000,4,0)</f>
        <v>Uíge</v>
      </c>
      <c r="K1007" s="37" t="s">
        <v>113</v>
      </c>
      <c r="L1007" s="37" t="s">
        <v>110</v>
      </c>
      <c r="M1007" s="53"/>
    </row>
    <row r="1009" spans="5:5" x14ac:dyDescent="0.25">
      <c r="E1009">
        <f>COUNTA(E8:E1007)</f>
        <v>1000</v>
      </c>
    </row>
  </sheetData>
  <mergeCells count="1">
    <mergeCell ref="A1:Q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8"/>
  <sheetViews>
    <sheetView showGridLines="0" tabSelected="1" topLeftCell="A13" zoomScale="78" zoomScaleNormal="78" workbookViewId="0"/>
  </sheetViews>
  <sheetFormatPr defaultRowHeight="14.25" x14ac:dyDescent="0.25"/>
  <cols>
    <col min="3" max="3" width="18.5703125" customWidth="1"/>
  </cols>
  <sheetData>
    <row r="1" spans="1:27" ht="102" customHeight="1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W1" s="95" t="s">
        <v>2654</v>
      </c>
      <c r="X1" s="96"/>
      <c r="Y1" s="96"/>
      <c r="Z1" s="96"/>
      <c r="AA1" s="96"/>
    </row>
    <row r="2" spans="1:27" ht="30.75" customHeight="1" x14ac:dyDescent="0.7">
      <c r="A2" s="90" t="s">
        <v>2645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W2" s="96"/>
      <c r="X2" s="96"/>
      <c r="Y2" s="96"/>
      <c r="Z2" s="96"/>
      <c r="AA2" s="96"/>
    </row>
    <row r="3" spans="1:27" ht="25.5" customHeight="1" x14ac:dyDescent="0.25">
      <c r="A3" s="67" t="s">
        <v>5</v>
      </c>
      <c r="B3" s="68"/>
      <c r="C3" s="68"/>
      <c r="D3" s="68" t="s">
        <v>2642</v>
      </c>
      <c r="E3" s="68"/>
      <c r="F3" s="68"/>
      <c r="G3" s="68" t="s">
        <v>2643</v>
      </c>
      <c r="H3" s="68"/>
      <c r="I3" s="68"/>
      <c r="J3" s="68" t="s">
        <v>2644</v>
      </c>
      <c r="K3" s="68"/>
      <c r="L3" s="68"/>
      <c r="M3" s="68" t="s">
        <v>84</v>
      </c>
      <c r="N3" s="68"/>
      <c r="O3" s="89"/>
      <c r="P3" s="74" t="s">
        <v>2650</v>
      </c>
      <c r="Q3" s="75"/>
      <c r="R3" s="76"/>
      <c r="V3" t="s">
        <v>2653</v>
      </c>
      <c r="W3" s="96"/>
      <c r="X3" s="96"/>
      <c r="Y3" s="96"/>
      <c r="Z3" s="96"/>
      <c r="AA3" s="96"/>
    </row>
    <row r="4" spans="1:27" ht="26.25" customHeight="1" x14ac:dyDescent="0.3">
      <c r="A4" s="69" t="s">
        <v>2667</v>
      </c>
      <c r="B4" s="69"/>
      <c r="C4" s="69"/>
      <c r="D4" s="94">
        <f>COUNTIF(Base!G:G,Relatório!A4)</f>
        <v>136</v>
      </c>
      <c r="E4" s="94"/>
      <c r="F4" s="94"/>
      <c r="G4" s="69">
        <f>SUMIF(Base!G:G,Relatório!A4,Base!H:H)</f>
        <v>163200</v>
      </c>
      <c r="H4" s="69"/>
      <c r="I4" s="69"/>
      <c r="J4" s="70">
        <f>G4/G7</f>
        <v>0.13848112006788291</v>
      </c>
      <c r="K4" s="70"/>
      <c r="L4" s="70"/>
      <c r="M4" s="92">
        <f>IF(AND(D4&gt;=$D$14,$G$4&gt;=D13),8%*D4,0)</f>
        <v>0</v>
      </c>
      <c r="N4" s="92"/>
      <c r="O4" s="92"/>
      <c r="P4" s="71">
        <f>IF(OR(D4&gt;=D14,G4&gt;=D13),5%*G4,"Sem comissão")</f>
        <v>8160</v>
      </c>
      <c r="Q4" s="72"/>
      <c r="R4" s="73"/>
      <c r="W4" s="96"/>
      <c r="X4" s="96"/>
      <c r="Y4" s="96"/>
      <c r="Z4" s="96"/>
      <c r="AA4" s="96"/>
    </row>
    <row r="5" spans="1:27" ht="22.5" customHeight="1" x14ac:dyDescent="0.3">
      <c r="A5" s="69" t="s">
        <v>2665</v>
      </c>
      <c r="B5" s="69"/>
      <c r="C5" s="69"/>
      <c r="D5" s="94">
        <f>COUNTIF(Base!G:G,Relatório!A5)</f>
        <v>227</v>
      </c>
      <c r="E5" s="94"/>
      <c r="F5" s="94"/>
      <c r="G5" s="69">
        <f>SUMIF(Base!G:G,Relatório!A5,Base!H:H)</f>
        <v>340500</v>
      </c>
      <c r="H5" s="69"/>
      <c r="I5" s="69"/>
      <c r="J5" s="83">
        <f>G5/G7</f>
        <v>0.28892660161221895</v>
      </c>
      <c r="K5" s="84"/>
      <c r="L5" s="85"/>
      <c r="M5" s="92">
        <f>IF(AND(D5&gt;=$D$14,$G$4&gt;=D14),8%*D5,0)</f>
        <v>18.16</v>
      </c>
      <c r="N5" s="92"/>
      <c r="O5" s="92"/>
      <c r="P5" s="71">
        <f>IF(OR(D5&gt;=D15,G5&gt;=D14),5%*G5,"Sem comissão")</f>
        <v>17025</v>
      </c>
      <c r="Q5" s="72"/>
      <c r="R5" s="73"/>
      <c r="W5" s="96"/>
      <c r="X5" s="96"/>
      <c r="Y5" s="96"/>
      <c r="Z5" s="96"/>
      <c r="AA5" s="96"/>
    </row>
    <row r="6" spans="1:27" ht="27" customHeight="1" x14ac:dyDescent="0.3">
      <c r="A6" s="69" t="s">
        <v>2666</v>
      </c>
      <c r="B6" s="69"/>
      <c r="C6" s="69"/>
      <c r="D6" s="94">
        <f>COUNTIF(Base!G:G,Relatório!A6)</f>
        <v>637</v>
      </c>
      <c r="E6" s="94"/>
      <c r="F6" s="94"/>
      <c r="G6" s="69">
        <f>SUMIF(Base!G:G,Relatório!A6,Base!H:H)</f>
        <v>674800</v>
      </c>
      <c r="H6" s="69"/>
      <c r="I6" s="69"/>
      <c r="J6" s="83">
        <f>G6/G7</f>
        <v>0.57259227831989823</v>
      </c>
      <c r="K6" s="84"/>
      <c r="L6" s="85"/>
      <c r="M6" s="92">
        <f>IF(AND(D6&gt;=$D$14,$G$4&gt;=D15),8%*D6,0)</f>
        <v>50.96</v>
      </c>
      <c r="N6" s="92"/>
      <c r="O6" s="92"/>
      <c r="P6" s="71">
        <f>IF(OR(D6&gt;=D16,G6&gt;=D15),5%*G6,"Sem comissão")</f>
        <v>33740</v>
      </c>
      <c r="Q6" s="72"/>
      <c r="R6" s="73"/>
      <c r="W6" s="96"/>
      <c r="X6" s="96"/>
      <c r="Y6" s="96"/>
      <c r="Z6" s="96"/>
      <c r="AA6" s="96"/>
    </row>
    <row r="7" spans="1:27" ht="28.5" customHeight="1" x14ac:dyDescent="0.3">
      <c r="A7" s="82" t="s">
        <v>25</v>
      </c>
      <c r="B7" s="82"/>
      <c r="C7" s="82"/>
      <c r="D7" s="94">
        <f>SUM(D4:F6)</f>
        <v>1000</v>
      </c>
      <c r="E7" s="94"/>
      <c r="F7" s="94"/>
      <c r="G7" s="82">
        <f>SUM(G4:I6)</f>
        <v>1178500</v>
      </c>
      <c r="H7" s="82"/>
      <c r="I7" s="82"/>
      <c r="J7" s="100">
        <f>SUM(J4:L6)</f>
        <v>1</v>
      </c>
      <c r="K7" s="100"/>
      <c r="L7" s="100"/>
      <c r="M7" s="93">
        <f>SUM(M4:O6)</f>
        <v>69.12</v>
      </c>
      <c r="N7" s="93"/>
      <c r="O7" s="93"/>
      <c r="P7" s="97">
        <f>SUM(P4:R6)</f>
        <v>58925</v>
      </c>
      <c r="Q7" s="98"/>
      <c r="R7" s="99"/>
    </row>
    <row r="12" spans="1:27" ht="17.25" x14ac:dyDescent="0.25">
      <c r="A12" s="67" t="s">
        <v>2652</v>
      </c>
      <c r="B12" s="68"/>
      <c r="C12" s="68"/>
      <c r="D12" s="67" t="s">
        <v>2651</v>
      </c>
      <c r="E12" s="68"/>
      <c r="F12" s="68"/>
    </row>
    <row r="13" spans="1:27" ht="17.25" x14ac:dyDescent="0.3">
      <c r="A13" s="69" t="s">
        <v>2643</v>
      </c>
      <c r="B13" s="69"/>
      <c r="C13" s="69"/>
      <c r="D13" s="69">
        <v>10000</v>
      </c>
      <c r="E13" s="69"/>
      <c r="F13" s="69"/>
    </row>
    <row r="14" spans="1:27" ht="17.25" x14ac:dyDescent="0.3">
      <c r="A14" s="69" t="s">
        <v>2642</v>
      </c>
      <c r="B14" s="69"/>
      <c r="C14" s="69"/>
      <c r="D14" s="69">
        <v>200</v>
      </c>
      <c r="E14" s="69"/>
      <c r="F14" s="69"/>
    </row>
    <row r="30" spans="1:15" x14ac:dyDescent="0.25">
      <c r="A30" s="77" t="s">
        <v>2646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</row>
    <row r="31" spans="1:15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</row>
    <row r="34" spans="1:15" ht="40.5" hidden="1" x14ac:dyDescent="0.7">
      <c r="A34" s="90" t="s">
        <v>2646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</row>
    <row r="35" spans="1:15" ht="31.5" customHeight="1" x14ac:dyDescent="0.25">
      <c r="A35" s="67" t="s">
        <v>108</v>
      </c>
      <c r="B35" s="68"/>
      <c r="C35" s="68"/>
      <c r="D35" s="68" t="s">
        <v>2642</v>
      </c>
      <c r="E35" s="68"/>
      <c r="F35" s="68"/>
      <c r="G35" s="68" t="s">
        <v>2643</v>
      </c>
      <c r="H35" s="68"/>
      <c r="I35" s="68"/>
      <c r="J35" s="68" t="s">
        <v>2644</v>
      </c>
      <c r="K35" s="68"/>
      <c r="L35" s="68"/>
      <c r="M35" s="68" t="s">
        <v>84</v>
      </c>
      <c r="N35" s="68"/>
      <c r="O35" s="89"/>
    </row>
    <row r="36" spans="1:15" ht="24" customHeight="1" x14ac:dyDescent="0.3">
      <c r="A36" s="69" t="s">
        <v>112</v>
      </c>
      <c r="B36" s="69"/>
      <c r="C36" s="69"/>
      <c r="D36" s="69">
        <f>COUNTIF(Base!K8:K1007,Relatório!A36)</f>
        <v>264</v>
      </c>
      <c r="E36" s="69"/>
      <c r="F36" s="69"/>
      <c r="G36" s="69">
        <f>SUMIF(Base!K8:K1007,Relatório!A36,Base!H8:H1007)</f>
        <v>306900</v>
      </c>
      <c r="H36" s="69"/>
      <c r="I36" s="69"/>
      <c r="J36" s="70">
        <f>G36/G38</f>
        <v>0.26041578277471361</v>
      </c>
      <c r="K36" s="70"/>
      <c r="L36" s="70"/>
      <c r="M36" s="69"/>
      <c r="N36" s="69"/>
      <c r="O36" s="69"/>
    </row>
    <row r="37" spans="1:15" ht="28.5" customHeight="1" x14ac:dyDescent="0.3">
      <c r="A37" s="69" t="s">
        <v>113</v>
      </c>
      <c r="B37" s="69"/>
      <c r="C37" s="69"/>
      <c r="D37" s="69">
        <f>COUNTIF(Base!K9:K1008,Relatório!A37)</f>
        <v>736</v>
      </c>
      <c r="E37" s="69"/>
      <c r="F37" s="69"/>
      <c r="G37" s="69">
        <f>SUMIF(Base!K9:K1008,Relatório!A37,Base!H9:H1008)</f>
        <v>871600</v>
      </c>
      <c r="H37" s="69"/>
      <c r="I37" s="69"/>
      <c r="J37" s="70">
        <f>G37/G38</f>
        <v>0.73958421722528633</v>
      </c>
      <c r="K37" s="70"/>
      <c r="L37" s="70"/>
      <c r="M37" s="69"/>
      <c r="N37" s="69"/>
      <c r="O37" s="69"/>
    </row>
    <row r="38" spans="1:15" ht="26.25" customHeight="1" x14ac:dyDescent="0.3">
      <c r="A38" s="82" t="s">
        <v>25</v>
      </c>
      <c r="B38" s="82"/>
      <c r="C38" s="82"/>
      <c r="D38" s="69">
        <f>SUM(D36,D37)</f>
        <v>1000</v>
      </c>
      <c r="E38" s="69"/>
      <c r="F38" s="69"/>
      <c r="G38" s="69">
        <f>SUM(G36,G37)</f>
        <v>1178500</v>
      </c>
      <c r="H38" s="69"/>
      <c r="I38" s="69"/>
      <c r="J38" s="70">
        <f>SUM(J36,J37)</f>
        <v>1</v>
      </c>
      <c r="K38" s="70"/>
      <c r="L38" s="70"/>
      <c r="M38" s="82"/>
      <c r="N38" s="82"/>
      <c r="O38" s="82"/>
    </row>
    <row r="54" spans="3:17" ht="40.5" x14ac:dyDescent="0.7">
      <c r="C54" s="90" t="s">
        <v>2647</v>
      </c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</row>
    <row r="55" spans="3:17" ht="38.25" customHeight="1" x14ac:dyDescent="0.25">
      <c r="C55" s="67" t="s">
        <v>2648</v>
      </c>
      <c r="D55" s="68"/>
      <c r="E55" s="68"/>
      <c r="F55" s="68" t="s">
        <v>2642</v>
      </c>
      <c r="G55" s="68"/>
      <c r="H55" s="68"/>
      <c r="I55" s="68" t="s">
        <v>2643</v>
      </c>
      <c r="J55" s="68"/>
      <c r="K55" s="68"/>
      <c r="L55" s="68" t="s">
        <v>2644</v>
      </c>
      <c r="M55" s="68"/>
      <c r="N55" s="68"/>
      <c r="O55" s="75" t="s">
        <v>84</v>
      </c>
      <c r="P55" s="75"/>
      <c r="Q55" s="76"/>
    </row>
    <row r="56" spans="3:17" ht="28.5" customHeight="1" x14ac:dyDescent="0.3">
      <c r="C56" s="69" t="s">
        <v>109</v>
      </c>
      <c r="D56" s="69"/>
      <c r="E56" s="69"/>
      <c r="F56" s="79">
        <f>COUNTIF(Base!L8:L1007,Relatório!C56)</f>
        <v>264</v>
      </c>
      <c r="G56" s="80"/>
      <c r="H56" s="81"/>
      <c r="I56" s="79">
        <f>SUMIF(Base!L8:L1007,Relatório!C56,Base!H8:H1007)</f>
        <v>306900</v>
      </c>
      <c r="J56" s="80"/>
      <c r="K56" s="81"/>
      <c r="L56" s="70">
        <f>I56/I60</f>
        <v>0.26041578277471361</v>
      </c>
      <c r="M56" s="70"/>
      <c r="N56" s="70"/>
      <c r="O56" s="79"/>
      <c r="P56" s="80"/>
      <c r="Q56" s="81"/>
    </row>
    <row r="57" spans="3:17" ht="27" customHeight="1" x14ac:dyDescent="0.3">
      <c r="C57" s="69" t="s">
        <v>110</v>
      </c>
      <c r="D57" s="69"/>
      <c r="E57" s="69"/>
      <c r="F57" s="79">
        <f>COUNTIF(Base!L9:L1008,Relatório!C57)</f>
        <v>244</v>
      </c>
      <c r="G57" s="80"/>
      <c r="H57" s="81"/>
      <c r="I57" s="79">
        <f>SUMIF(Base!L9:L1008,Relatório!C57,Base!H9:H1008)</f>
        <v>289600</v>
      </c>
      <c r="J57" s="80"/>
      <c r="K57" s="81"/>
      <c r="L57" s="70">
        <f>I57/I60</f>
        <v>0.24573610521849809</v>
      </c>
      <c r="M57" s="70"/>
      <c r="N57" s="70"/>
      <c r="O57" s="79"/>
      <c r="P57" s="80"/>
      <c r="Q57" s="81"/>
    </row>
    <row r="58" spans="3:17" ht="24.75" customHeight="1" x14ac:dyDescent="0.3">
      <c r="C58" s="79" t="s">
        <v>111</v>
      </c>
      <c r="D58" s="80"/>
      <c r="E58" s="81"/>
      <c r="F58" s="79">
        <f>COUNTIF(Base!L10:L1009,Relatório!C58)</f>
        <v>245</v>
      </c>
      <c r="G58" s="80"/>
      <c r="H58" s="81"/>
      <c r="I58" s="79">
        <f>SUMIF(Base!L10:L1009,Relatório!C58,Base!H10:H1009)</f>
        <v>294200</v>
      </c>
      <c r="J58" s="80"/>
      <c r="K58" s="81"/>
      <c r="L58" s="70">
        <f>I58/I60</f>
        <v>0.24963937208315656</v>
      </c>
      <c r="M58" s="70"/>
      <c r="N58" s="70"/>
      <c r="O58" s="79"/>
      <c r="P58" s="80"/>
      <c r="Q58" s="81"/>
    </row>
    <row r="59" spans="3:17" ht="27.75" customHeight="1" x14ac:dyDescent="0.3">
      <c r="C59" s="69" t="s">
        <v>2649</v>
      </c>
      <c r="D59" s="69"/>
      <c r="E59" s="69"/>
      <c r="F59" s="79">
        <f>COUNTIF(Base!L11:L1010,Relatório!C59)</f>
        <v>247</v>
      </c>
      <c r="G59" s="80"/>
      <c r="H59" s="81"/>
      <c r="I59" s="79">
        <f>SUMIF(Base!L11:L1010,Relatório!C59,Base!H11:H1010)</f>
        <v>287800</v>
      </c>
      <c r="J59" s="80"/>
      <c r="K59" s="81"/>
      <c r="L59" s="70">
        <f>I59/I60</f>
        <v>0.24420873992363173</v>
      </c>
      <c r="M59" s="70"/>
      <c r="N59" s="70"/>
      <c r="O59" s="79"/>
      <c r="P59" s="80"/>
      <c r="Q59" s="81"/>
    </row>
    <row r="60" spans="3:17" ht="30.75" customHeight="1" x14ac:dyDescent="0.3">
      <c r="C60" s="82" t="s">
        <v>25</v>
      </c>
      <c r="D60" s="82"/>
      <c r="E60" s="82"/>
      <c r="F60" s="79">
        <f>SUM(F56:H59)</f>
        <v>1000</v>
      </c>
      <c r="G60" s="80"/>
      <c r="H60" s="81"/>
      <c r="I60" s="79">
        <f>SUM(I56:K59)</f>
        <v>1178500</v>
      </c>
      <c r="J60" s="80"/>
      <c r="K60" s="81"/>
      <c r="L60" s="83">
        <f>SUM(L56:N59)</f>
        <v>1</v>
      </c>
      <c r="M60" s="84"/>
      <c r="N60" s="85"/>
      <c r="O60" s="86"/>
      <c r="P60" s="87"/>
      <c r="Q60" s="88"/>
    </row>
    <row r="68" spans="7:7" x14ac:dyDescent="0.25">
      <c r="G68" t="s">
        <v>2668</v>
      </c>
    </row>
  </sheetData>
  <mergeCells count="91">
    <mergeCell ref="W1:AA6"/>
    <mergeCell ref="P7:R7"/>
    <mergeCell ref="J3:L3"/>
    <mergeCell ref="M3:O3"/>
    <mergeCell ref="A4:C4"/>
    <mergeCell ref="A5:C5"/>
    <mergeCell ref="A6:C6"/>
    <mergeCell ref="A2:O2"/>
    <mergeCell ref="G4:I4"/>
    <mergeCell ref="G5:I5"/>
    <mergeCell ref="G6:I6"/>
    <mergeCell ref="G7:I7"/>
    <mergeCell ref="J4:L4"/>
    <mergeCell ref="J5:L5"/>
    <mergeCell ref="J6:L6"/>
    <mergeCell ref="J7:L7"/>
    <mergeCell ref="A34:O34"/>
    <mergeCell ref="M4:O4"/>
    <mergeCell ref="M5:O5"/>
    <mergeCell ref="M6:O6"/>
    <mergeCell ref="M7:O7"/>
    <mergeCell ref="A7:C7"/>
    <mergeCell ref="A12:C12"/>
    <mergeCell ref="A13:C13"/>
    <mergeCell ref="A14:C14"/>
    <mergeCell ref="D12:F12"/>
    <mergeCell ref="D13:F13"/>
    <mergeCell ref="D14:F14"/>
    <mergeCell ref="D4:F4"/>
    <mergeCell ref="D5:F5"/>
    <mergeCell ref="D6:F6"/>
    <mergeCell ref="D7:F7"/>
    <mergeCell ref="C56:E56"/>
    <mergeCell ref="F56:H56"/>
    <mergeCell ref="I56:K56"/>
    <mergeCell ref="L56:N56"/>
    <mergeCell ref="A35:C35"/>
    <mergeCell ref="D35:F35"/>
    <mergeCell ref="G35:I35"/>
    <mergeCell ref="J35:L35"/>
    <mergeCell ref="M35:O35"/>
    <mergeCell ref="C54:Q54"/>
    <mergeCell ref="G38:I38"/>
    <mergeCell ref="J38:L38"/>
    <mergeCell ref="A38:C38"/>
    <mergeCell ref="D38:F38"/>
    <mergeCell ref="M38:O38"/>
    <mergeCell ref="A36:C36"/>
    <mergeCell ref="C57:E57"/>
    <mergeCell ref="F57:H57"/>
    <mergeCell ref="I57:K57"/>
    <mergeCell ref="L57:N57"/>
    <mergeCell ref="C59:E59"/>
    <mergeCell ref="F59:H59"/>
    <mergeCell ref="I59:K59"/>
    <mergeCell ref="L59:N59"/>
    <mergeCell ref="C58:E58"/>
    <mergeCell ref="F58:H58"/>
    <mergeCell ref="I58:K58"/>
    <mergeCell ref="L58:N58"/>
    <mergeCell ref="C60:E60"/>
    <mergeCell ref="F60:H60"/>
    <mergeCell ref="I60:K60"/>
    <mergeCell ref="L60:N60"/>
    <mergeCell ref="O60:Q60"/>
    <mergeCell ref="O59:Q59"/>
    <mergeCell ref="O58:Q58"/>
    <mergeCell ref="O57:Q57"/>
    <mergeCell ref="O56:Q56"/>
    <mergeCell ref="O55:Q55"/>
    <mergeCell ref="P6:R6"/>
    <mergeCell ref="P5:R5"/>
    <mergeCell ref="P4:R4"/>
    <mergeCell ref="P3:R3"/>
    <mergeCell ref="A30:O31"/>
    <mergeCell ref="G3:I3"/>
    <mergeCell ref="A3:C3"/>
    <mergeCell ref="D3:F3"/>
    <mergeCell ref="C55:E55"/>
    <mergeCell ref="F55:H55"/>
    <mergeCell ref="I55:K55"/>
    <mergeCell ref="L55:N55"/>
    <mergeCell ref="D36:F36"/>
    <mergeCell ref="G36:I36"/>
    <mergeCell ref="J36:L36"/>
    <mergeCell ref="M36:O36"/>
    <mergeCell ref="A37:C37"/>
    <mergeCell ref="D37:F37"/>
    <mergeCell ref="G37:I37"/>
    <mergeCell ref="J37:L37"/>
    <mergeCell ref="M37:O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4.25" x14ac:dyDescent="0.25"/>
  <sheetData>
    <row r="1" ht="71.2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I16" sqref="I16"/>
    </sheetView>
  </sheetViews>
  <sheetFormatPr defaultRowHeight="14.25" x14ac:dyDescent="0.25"/>
  <cols>
    <col min="1" max="1" width="18.28515625" customWidth="1"/>
    <col min="2" max="2" width="22.140625" customWidth="1"/>
    <col min="5" max="5" width="18.28515625" bestFit="1" customWidth="1"/>
    <col min="6" max="6" width="22.140625" bestFit="1" customWidth="1"/>
    <col min="8" max="8" width="18.28515625" customWidth="1"/>
    <col min="9" max="9" width="22.140625" bestFit="1" customWidth="1"/>
  </cols>
  <sheetData>
    <row r="1" spans="1:9" x14ac:dyDescent="0.25">
      <c r="A1" s="58" t="s">
        <v>114</v>
      </c>
      <c r="B1" t="s">
        <v>111</v>
      </c>
      <c r="E1" s="58" t="s">
        <v>114</v>
      </c>
      <c r="F1" t="s">
        <v>111</v>
      </c>
      <c r="H1" s="58" t="s">
        <v>114</v>
      </c>
      <c r="I1" t="s">
        <v>111</v>
      </c>
    </row>
    <row r="3" spans="1:9" x14ac:dyDescent="0.25">
      <c r="A3" s="58" t="s">
        <v>2655</v>
      </c>
      <c r="B3" t="s">
        <v>2664</v>
      </c>
      <c r="E3" s="58" t="s">
        <v>2655</v>
      </c>
      <c r="F3" t="s">
        <v>2664</v>
      </c>
      <c r="H3" s="58" t="s">
        <v>2655</v>
      </c>
      <c r="I3" t="s">
        <v>2664</v>
      </c>
    </row>
    <row r="4" spans="1:9" x14ac:dyDescent="0.25">
      <c r="A4" s="59" t="s">
        <v>2665</v>
      </c>
      <c r="B4" s="63">
        <v>12000</v>
      </c>
      <c r="E4" s="59" t="s">
        <v>2666</v>
      </c>
      <c r="F4" s="63">
        <v>12600</v>
      </c>
      <c r="H4" s="59" t="s">
        <v>2667</v>
      </c>
      <c r="I4" s="63">
        <v>2400</v>
      </c>
    </row>
    <row r="5" spans="1:9" x14ac:dyDescent="0.25">
      <c r="A5" s="59" t="s">
        <v>2656</v>
      </c>
      <c r="B5" s="63">
        <v>12000</v>
      </c>
      <c r="E5" s="59" t="s">
        <v>2656</v>
      </c>
      <c r="F5" s="63">
        <v>12600</v>
      </c>
      <c r="H5" s="59" t="s">
        <v>2656</v>
      </c>
      <c r="I5" s="63">
        <v>2400</v>
      </c>
    </row>
    <row r="12" spans="1:9" x14ac:dyDescent="0.25">
      <c r="A12" s="58" t="s">
        <v>114</v>
      </c>
      <c r="B12" t="s">
        <v>109</v>
      </c>
      <c r="E12" s="58" t="s">
        <v>114</v>
      </c>
      <c r="F12" t="s">
        <v>109</v>
      </c>
      <c r="H12" s="58" t="s">
        <v>114</v>
      </c>
      <c r="I12" t="s">
        <v>109</v>
      </c>
    </row>
    <row r="14" spans="1:9" x14ac:dyDescent="0.25">
      <c r="A14" s="58" t="s">
        <v>2655</v>
      </c>
      <c r="B14" t="s">
        <v>2664</v>
      </c>
      <c r="E14" s="58" t="s">
        <v>2655</v>
      </c>
      <c r="F14" t="s">
        <v>2664</v>
      </c>
      <c r="H14" s="58" t="s">
        <v>2655</v>
      </c>
      <c r="I14" t="s">
        <v>2664</v>
      </c>
    </row>
    <row r="15" spans="1:9" x14ac:dyDescent="0.25">
      <c r="A15" s="59" t="s">
        <v>2665</v>
      </c>
      <c r="B15" s="63">
        <v>7500</v>
      </c>
      <c r="E15" s="59" t="s">
        <v>2666</v>
      </c>
      <c r="F15" s="63">
        <v>19000</v>
      </c>
      <c r="H15" s="59" t="s">
        <v>2667</v>
      </c>
      <c r="I15" s="63">
        <v>2400</v>
      </c>
    </row>
    <row r="16" spans="1:9" x14ac:dyDescent="0.25">
      <c r="A16" s="59" t="s">
        <v>2656</v>
      </c>
      <c r="B16" s="63">
        <v>7500</v>
      </c>
      <c r="E16" s="59" t="s">
        <v>2656</v>
      </c>
      <c r="F16" s="63">
        <v>19000</v>
      </c>
      <c r="H16" s="59" t="s">
        <v>2656</v>
      </c>
      <c r="I16" s="63">
        <v>2400</v>
      </c>
    </row>
    <row r="24" spans="1:9" x14ac:dyDescent="0.25">
      <c r="A24" s="58" t="s">
        <v>114</v>
      </c>
      <c r="B24" t="s">
        <v>110</v>
      </c>
      <c r="E24" s="58" t="s">
        <v>114</v>
      </c>
      <c r="F24" t="s">
        <v>110</v>
      </c>
      <c r="H24" s="58" t="s">
        <v>114</v>
      </c>
      <c r="I24" t="s">
        <v>110</v>
      </c>
    </row>
    <row r="26" spans="1:9" x14ac:dyDescent="0.25">
      <c r="A26" s="58" t="s">
        <v>2655</v>
      </c>
      <c r="B26" t="s">
        <v>2664</v>
      </c>
      <c r="E26" s="58" t="s">
        <v>2655</v>
      </c>
      <c r="F26" t="s">
        <v>2664</v>
      </c>
      <c r="H26" s="58" t="s">
        <v>2655</v>
      </c>
      <c r="I26" t="s">
        <v>2664</v>
      </c>
    </row>
    <row r="27" spans="1:9" x14ac:dyDescent="0.25">
      <c r="A27" s="59" t="s">
        <v>2665</v>
      </c>
      <c r="B27" s="63">
        <v>1500</v>
      </c>
      <c r="E27" s="59" t="s">
        <v>2666</v>
      </c>
      <c r="F27" s="63">
        <v>15600</v>
      </c>
      <c r="H27" s="59" t="s">
        <v>2666</v>
      </c>
      <c r="I27" s="63">
        <v>15600</v>
      </c>
    </row>
    <row r="28" spans="1:9" x14ac:dyDescent="0.25">
      <c r="A28" s="59" t="s">
        <v>2656</v>
      </c>
      <c r="B28" s="63">
        <v>1500</v>
      </c>
      <c r="E28" s="59" t="s">
        <v>2656</v>
      </c>
      <c r="F28" s="63">
        <v>15600</v>
      </c>
      <c r="H28" s="59" t="s">
        <v>2656</v>
      </c>
      <c r="I28" s="63">
        <v>15600</v>
      </c>
    </row>
    <row r="33" spans="1:9" x14ac:dyDescent="0.25">
      <c r="A33" s="58" t="s">
        <v>114</v>
      </c>
      <c r="B33" t="s">
        <v>2649</v>
      </c>
      <c r="E33" s="58" t="s">
        <v>114</v>
      </c>
      <c r="F33" t="s">
        <v>2649</v>
      </c>
      <c r="H33" s="58" t="s">
        <v>114</v>
      </c>
      <c r="I33" t="s">
        <v>2649</v>
      </c>
    </row>
    <row r="35" spans="1:9" x14ac:dyDescent="0.25">
      <c r="A35" s="58" t="s">
        <v>2655</v>
      </c>
      <c r="B35" t="s">
        <v>2664</v>
      </c>
      <c r="E35" s="58" t="s">
        <v>2655</v>
      </c>
      <c r="F35" t="s">
        <v>2664</v>
      </c>
      <c r="H35" s="58" t="s">
        <v>2655</v>
      </c>
      <c r="I35" t="s">
        <v>2664</v>
      </c>
    </row>
    <row r="36" spans="1:9" x14ac:dyDescent="0.25">
      <c r="A36" s="59" t="s">
        <v>2665</v>
      </c>
      <c r="B36" s="63">
        <v>7500</v>
      </c>
      <c r="E36" s="59" t="s">
        <v>2666</v>
      </c>
      <c r="F36" s="63">
        <v>19700</v>
      </c>
      <c r="H36" s="59" t="s">
        <v>2666</v>
      </c>
      <c r="I36" s="63">
        <v>19700</v>
      </c>
    </row>
    <row r="37" spans="1:9" x14ac:dyDescent="0.25">
      <c r="A37" s="59" t="s">
        <v>2656</v>
      </c>
      <c r="B37" s="63">
        <v>7500</v>
      </c>
      <c r="E37" s="59" t="s">
        <v>2656</v>
      </c>
      <c r="F37" s="63">
        <v>19700</v>
      </c>
      <c r="H37" s="59" t="s">
        <v>2656</v>
      </c>
      <c r="I37" s="63">
        <v>19700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opLeftCell="D19" zoomScale="85" zoomScaleNormal="85" workbookViewId="0">
      <selection activeCell="T38" sqref="T38"/>
    </sheetView>
  </sheetViews>
  <sheetFormatPr defaultRowHeight="14.25" x14ac:dyDescent="0.25"/>
  <cols>
    <col min="1" max="1" width="22.28515625" customWidth="1"/>
    <col min="2" max="2" width="21.42578125" customWidth="1"/>
    <col min="3" max="3" width="10.7109375" customWidth="1"/>
    <col min="4" max="4" width="5.5703125" customWidth="1"/>
    <col min="5" max="5" width="5.140625" customWidth="1"/>
    <col min="6" max="9" width="6.140625" customWidth="1"/>
    <col min="10" max="10" width="5.140625" customWidth="1"/>
    <col min="11" max="11" width="6.140625" customWidth="1"/>
    <col min="12" max="13" width="5.140625" customWidth="1"/>
    <col min="14" max="14" width="10.7109375" bestFit="1" customWidth="1"/>
    <col min="17" max="17" width="18.85546875" customWidth="1"/>
    <col min="18" max="18" width="22.28515625" customWidth="1"/>
    <col min="19" max="19" width="8.5703125" customWidth="1"/>
    <col min="20" max="20" width="8.7109375" customWidth="1"/>
    <col min="21" max="21" width="18.85546875" customWidth="1"/>
    <col min="22" max="22" width="22.28515625" customWidth="1"/>
    <col min="23" max="23" width="12.28515625" customWidth="1"/>
    <col min="24" max="24" width="8.5703125" customWidth="1"/>
    <col min="25" max="26" width="10.7109375" customWidth="1"/>
    <col min="27" max="27" width="8.5703125" customWidth="1"/>
    <col min="28" max="28" width="6" customWidth="1"/>
    <col min="29" max="29" width="13.140625" customWidth="1"/>
    <col min="30" max="30" width="7.42578125" customWidth="1"/>
    <col min="31" max="31" width="12" bestFit="1" customWidth="1"/>
    <col min="32" max="32" width="9.7109375" bestFit="1" customWidth="1"/>
    <col min="33" max="33" width="8" customWidth="1"/>
    <col min="34" max="34" width="7.42578125" customWidth="1"/>
    <col min="35" max="35" width="12.5703125" bestFit="1" customWidth="1"/>
    <col min="36" max="36" width="7.85546875" customWidth="1"/>
    <col min="37" max="38" width="6" customWidth="1"/>
    <col min="39" max="39" width="10.7109375" bestFit="1" customWidth="1"/>
  </cols>
  <sheetData>
    <row r="1" spans="1:3" x14ac:dyDescent="0.25">
      <c r="A1" s="58" t="s">
        <v>114</v>
      </c>
      <c r="B1" t="s">
        <v>111</v>
      </c>
    </row>
    <row r="3" spans="1:3" x14ac:dyDescent="0.25">
      <c r="A3" s="58" t="s">
        <v>2664</v>
      </c>
      <c r="B3" s="58" t="s">
        <v>2669</v>
      </c>
    </row>
    <row r="4" spans="1:3" x14ac:dyDescent="0.25">
      <c r="A4" s="58" t="s">
        <v>2655</v>
      </c>
      <c r="B4" t="s">
        <v>2670</v>
      </c>
      <c r="C4" t="s">
        <v>2656</v>
      </c>
    </row>
    <row r="5" spans="1:3" x14ac:dyDescent="0.25">
      <c r="A5" s="59" t="s">
        <v>2665</v>
      </c>
      <c r="B5" s="64">
        <v>12000</v>
      </c>
      <c r="C5" s="64">
        <v>12000</v>
      </c>
    </row>
    <row r="6" spans="1:3" x14ac:dyDescent="0.25">
      <c r="A6" s="59" t="s">
        <v>2656</v>
      </c>
      <c r="B6" s="64">
        <v>12000</v>
      </c>
      <c r="C6" s="64">
        <v>12000</v>
      </c>
    </row>
    <row r="22" spans="1:22" ht="17.25" x14ac:dyDescent="0.3">
      <c r="A22" s="102" t="s">
        <v>2673</v>
      </c>
      <c r="B22" s="102"/>
    </row>
    <row r="25" spans="1:22" x14ac:dyDescent="0.25">
      <c r="A25" s="58" t="s">
        <v>114</v>
      </c>
      <c r="B25" t="s">
        <v>109</v>
      </c>
      <c r="U25" s="58" t="s">
        <v>1126</v>
      </c>
      <c r="V25" t="s">
        <v>2670</v>
      </c>
    </row>
    <row r="27" spans="1:22" x14ac:dyDescent="0.25">
      <c r="A27" s="58" t="s">
        <v>2664</v>
      </c>
      <c r="B27" s="58" t="s">
        <v>2669</v>
      </c>
      <c r="Q27" s="58" t="s">
        <v>2655</v>
      </c>
      <c r="R27" t="s">
        <v>2664</v>
      </c>
      <c r="U27" s="58" t="s">
        <v>2655</v>
      </c>
      <c r="V27" t="s">
        <v>2664</v>
      </c>
    </row>
    <row r="28" spans="1:22" x14ac:dyDescent="0.25">
      <c r="A28" s="58" t="s">
        <v>2655</v>
      </c>
      <c r="B28" t="s">
        <v>2670</v>
      </c>
      <c r="C28" t="s">
        <v>2656</v>
      </c>
      <c r="Q28" s="59" t="s">
        <v>1198</v>
      </c>
      <c r="R28" s="64">
        <v>5000</v>
      </c>
      <c r="U28" s="59" t="s">
        <v>113</v>
      </c>
      <c r="V28" s="65">
        <v>80900</v>
      </c>
    </row>
    <row r="29" spans="1:22" x14ac:dyDescent="0.25">
      <c r="A29" s="59" t="s">
        <v>2665</v>
      </c>
      <c r="B29" s="64">
        <v>7500</v>
      </c>
      <c r="C29" s="64">
        <v>7500</v>
      </c>
      <c r="Q29" s="59" t="s">
        <v>1161</v>
      </c>
      <c r="R29" s="64">
        <v>5400</v>
      </c>
      <c r="U29" s="59" t="s">
        <v>112</v>
      </c>
      <c r="V29" s="65">
        <v>28900</v>
      </c>
    </row>
    <row r="30" spans="1:22" x14ac:dyDescent="0.25">
      <c r="A30" s="59" t="s">
        <v>2656</v>
      </c>
      <c r="B30" s="64">
        <v>7500</v>
      </c>
      <c r="C30" s="64">
        <v>7500</v>
      </c>
      <c r="Q30" s="59" t="s">
        <v>1187</v>
      </c>
      <c r="R30" s="64">
        <v>5800</v>
      </c>
      <c r="U30" s="59" t="s">
        <v>2656</v>
      </c>
      <c r="V30" s="65">
        <v>109800</v>
      </c>
    </row>
    <row r="31" spans="1:22" x14ac:dyDescent="0.25">
      <c r="J31" t="s">
        <v>2671</v>
      </c>
      <c r="Q31" s="59" t="s">
        <v>1262</v>
      </c>
      <c r="R31" s="64">
        <v>6300</v>
      </c>
    </row>
    <row r="32" spans="1:22" x14ac:dyDescent="0.25">
      <c r="Q32" s="59" t="s">
        <v>1158</v>
      </c>
      <c r="R32" s="64">
        <v>7300</v>
      </c>
    </row>
    <row r="33" spans="17:18" x14ac:dyDescent="0.25">
      <c r="Q33" s="59" t="s">
        <v>1143</v>
      </c>
      <c r="R33" s="64">
        <v>7600</v>
      </c>
    </row>
    <row r="34" spans="17:18" x14ac:dyDescent="0.25">
      <c r="Q34" s="59" t="s">
        <v>1240</v>
      </c>
      <c r="R34" s="64">
        <v>7900</v>
      </c>
    </row>
    <row r="35" spans="17:18" x14ac:dyDescent="0.25">
      <c r="Q35" s="59" t="s">
        <v>1342</v>
      </c>
      <c r="R35" s="64">
        <v>8100</v>
      </c>
    </row>
    <row r="36" spans="17:18" x14ac:dyDescent="0.25">
      <c r="Q36" s="59" t="s">
        <v>1137</v>
      </c>
      <c r="R36" s="64">
        <v>8300</v>
      </c>
    </row>
    <row r="37" spans="17:18" x14ac:dyDescent="0.25">
      <c r="Q37" s="59" t="s">
        <v>1192</v>
      </c>
      <c r="R37" s="64">
        <v>8400</v>
      </c>
    </row>
    <row r="38" spans="17:18" x14ac:dyDescent="0.25">
      <c r="Q38" s="59" t="s">
        <v>2656</v>
      </c>
      <c r="R38" s="65">
        <v>70100</v>
      </c>
    </row>
    <row r="55" spans="1:3" x14ac:dyDescent="0.25">
      <c r="A55" s="58" t="s">
        <v>114</v>
      </c>
      <c r="B55" t="s">
        <v>111</v>
      </c>
    </row>
    <row r="57" spans="1:3" x14ac:dyDescent="0.25">
      <c r="A57" s="58" t="s">
        <v>2664</v>
      </c>
      <c r="B57" s="58" t="s">
        <v>2669</v>
      </c>
    </row>
    <row r="58" spans="1:3" x14ac:dyDescent="0.25">
      <c r="A58" s="58" t="s">
        <v>2655</v>
      </c>
      <c r="B58" t="s">
        <v>2670</v>
      </c>
      <c r="C58" t="s">
        <v>2656</v>
      </c>
    </row>
    <row r="59" spans="1:3" x14ac:dyDescent="0.25">
      <c r="A59" s="59" t="s">
        <v>2665</v>
      </c>
      <c r="B59" s="64">
        <v>12000</v>
      </c>
      <c r="C59" s="64">
        <v>12000</v>
      </c>
    </row>
    <row r="60" spans="1:3" x14ac:dyDescent="0.25">
      <c r="A60" s="59" t="s">
        <v>2656</v>
      </c>
      <c r="B60" s="64">
        <v>12000</v>
      </c>
      <c r="C60" s="64">
        <v>12000</v>
      </c>
    </row>
    <row r="66" spans="2:7" ht="16.5" x14ac:dyDescent="0.3">
      <c r="B66" s="101" t="s">
        <v>2672</v>
      </c>
      <c r="C66" s="101"/>
      <c r="D66" s="101"/>
      <c r="E66" s="101"/>
      <c r="F66" s="101"/>
      <c r="G66" s="101"/>
    </row>
  </sheetData>
  <mergeCells count="2">
    <mergeCell ref="B66:G66"/>
    <mergeCell ref="A22:B22"/>
  </mergeCells>
  <pageMargins left="0.511811024" right="0.511811024" top="0.78740157499999996" bottom="0.78740157499999996" header="0.31496062000000002" footer="0.31496062000000002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opLeftCell="A422" workbookViewId="0">
      <selection activeCell="H1" sqref="H1"/>
    </sheetView>
  </sheetViews>
  <sheetFormatPr defaultRowHeight="14.25" x14ac:dyDescent="0.25"/>
  <cols>
    <col min="1" max="1" width="14.28515625" customWidth="1"/>
    <col min="2" max="2" width="29.5703125" customWidth="1"/>
    <col min="3" max="3" width="34.85546875" customWidth="1"/>
    <col min="4" max="4" width="21.42578125" customWidth="1"/>
    <col min="5" max="5" width="23.140625" customWidth="1"/>
    <col min="6" max="6" width="24.5703125" customWidth="1"/>
    <col min="7" max="7" width="14.85546875" customWidth="1"/>
    <col min="8" max="8" width="22.5703125" customWidth="1"/>
    <col min="9" max="9" width="13.42578125" customWidth="1"/>
  </cols>
  <sheetData>
    <row r="1" spans="1:8" ht="16.5" x14ac:dyDescent="0.25">
      <c r="A1" s="50" t="s">
        <v>1129</v>
      </c>
      <c r="B1" s="50" t="s">
        <v>33</v>
      </c>
      <c r="C1" s="50" t="s">
        <v>1130</v>
      </c>
      <c r="D1" s="50" t="s">
        <v>1131</v>
      </c>
      <c r="E1" s="50" t="s">
        <v>1132</v>
      </c>
      <c r="F1" s="50" t="s">
        <v>1133</v>
      </c>
      <c r="G1" s="50" t="s">
        <v>1134</v>
      </c>
      <c r="H1" s="50" t="s">
        <v>84</v>
      </c>
    </row>
    <row r="2" spans="1:8" ht="16.5" x14ac:dyDescent="0.25">
      <c r="A2" s="50">
        <v>1</v>
      </c>
      <c r="B2" s="50" t="s">
        <v>1136</v>
      </c>
      <c r="C2" s="50">
        <v>6</v>
      </c>
      <c r="D2" s="50" t="s">
        <v>1137</v>
      </c>
      <c r="E2" s="50">
        <v>800</v>
      </c>
      <c r="F2" s="50">
        <v>10</v>
      </c>
      <c r="G2" s="50">
        <v>4320</v>
      </c>
    </row>
    <row r="3" spans="1:8" ht="16.5" x14ac:dyDescent="0.25">
      <c r="A3" s="50">
        <v>2</v>
      </c>
      <c r="B3" s="50" t="s">
        <v>1139</v>
      </c>
      <c r="C3" s="50">
        <v>2</v>
      </c>
      <c r="D3" s="50" t="s">
        <v>1140</v>
      </c>
      <c r="E3" s="50">
        <v>1500</v>
      </c>
      <c r="F3" s="50">
        <v>0</v>
      </c>
      <c r="G3" s="50">
        <v>3000</v>
      </c>
    </row>
    <row r="4" spans="1:8" ht="16.5" x14ac:dyDescent="0.25">
      <c r="A4" s="50">
        <v>3</v>
      </c>
      <c r="B4" s="50" t="s">
        <v>1142</v>
      </c>
      <c r="C4" s="50">
        <v>13</v>
      </c>
      <c r="D4" s="50" t="s">
        <v>1143</v>
      </c>
      <c r="E4" s="50">
        <v>800</v>
      </c>
      <c r="F4" s="50">
        <v>10</v>
      </c>
      <c r="G4" s="50">
        <v>9360</v>
      </c>
    </row>
    <row r="5" spans="1:8" ht="16.5" x14ac:dyDescent="0.25">
      <c r="A5" s="50">
        <v>4</v>
      </c>
      <c r="B5" s="50" t="s">
        <v>1145</v>
      </c>
      <c r="C5" s="50">
        <v>16</v>
      </c>
      <c r="D5" s="50" t="s">
        <v>1146</v>
      </c>
      <c r="E5" s="50">
        <v>1200</v>
      </c>
      <c r="F5" s="50">
        <v>10</v>
      </c>
      <c r="G5" s="51">
        <v>17280</v>
      </c>
    </row>
    <row r="6" spans="1:8" ht="16.5" x14ac:dyDescent="0.25">
      <c r="A6" s="50">
        <v>5</v>
      </c>
      <c r="B6" s="50" t="s">
        <v>1148</v>
      </c>
      <c r="C6" s="50">
        <v>11</v>
      </c>
      <c r="D6" s="50" t="s">
        <v>1149</v>
      </c>
      <c r="E6" s="50">
        <v>800</v>
      </c>
      <c r="F6" s="50">
        <v>10</v>
      </c>
      <c r="G6" s="50">
        <v>7920</v>
      </c>
    </row>
    <row r="7" spans="1:8" ht="16.5" x14ac:dyDescent="0.25">
      <c r="A7" s="50">
        <v>6</v>
      </c>
      <c r="B7" s="50" t="s">
        <v>1151</v>
      </c>
      <c r="C7" s="50">
        <v>13</v>
      </c>
      <c r="D7" s="50" t="s">
        <v>1152</v>
      </c>
      <c r="E7" s="50">
        <v>1200</v>
      </c>
      <c r="F7" s="50">
        <v>0</v>
      </c>
      <c r="G7" s="50">
        <v>15600</v>
      </c>
    </row>
    <row r="8" spans="1:8" ht="16.5" x14ac:dyDescent="0.25">
      <c r="A8" s="50">
        <v>7</v>
      </c>
      <c r="B8" s="50" t="s">
        <v>1154</v>
      </c>
      <c r="C8" s="50">
        <v>17</v>
      </c>
      <c r="D8" s="50" t="s">
        <v>1155</v>
      </c>
      <c r="E8" s="50">
        <v>800</v>
      </c>
      <c r="F8" s="50">
        <v>15</v>
      </c>
      <c r="G8" s="50">
        <v>11560</v>
      </c>
    </row>
    <row r="9" spans="1:8" ht="16.5" x14ac:dyDescent="0.25">
      <c r="A9" s="50">
        <v>8</v>
      </c>
      <c r="B9" s="50" t="s">
        <v>1157</v>
      </c>
      <c r="C9" s="50">
        <v>5</v>
      </c>
      <c r="D9" s="50" t="s">
        <v>1158</v>
      </c>
      <c r="E9" s="50">
        <v>800</v>
      </c>
      <c r="F9" s="50">
        <v>15</v>
      </c>
      <c r="G9" s="50">
        <v>3400</v>
      </c>
    </row>
    <row r="10" spans="1:8" ht="16.5" x14ac:dyDescent="0.25">
      <c r="A10" s="50">
        <v>9</v>
      </c>
      <c r="B10" s="50" t="s">
        <v>1160</v>
      </c>
      <c r="C10" s="50">
        <v>8</v>
      </c>
      <c r="D10" s="50" t="s">
        <v>1161</v>
      </c>
      <c r="E10" s="50">
        <v>1500</v>
      </c>
      <c r="F10" s="50">
        <v>15</v>
      </c>
      <c r="G10" s="50">
        <v>10200</v>
      </c>
    </row>
    <row r="11" spans="1:8" ht="16.5" x14ac:dyDescent="0.25">
      <c r="A11" s="50">
        <v>10</v>
      </c>
      <c r="B11" s="50" t="s">
        <v>1163</v>
      </c>
      <c r="C11" s="50">
        <v>13</v>
      </c>
      <c r="D11" s="50" t="s">
        <v>1143</v>
      </c>
      <c r="E11" s="50">
        <v>800</v>
      </c>
      <c r="F11" s="50">
        <v>5</v>
      </c>
      <c r="G11" s="50">
        <v>9880</v>
      </c>
    </row>
    <row r="12" spans="1:8" ht="16.5" x14ac:dyDescent="0.25">
      <c r="A12" s="50">
        <v>11</v>
      </c>
      <c r="B12" s="50" t="s">
        <v>1165</v>
      </c>
      <c r="C12" s="50">
        <v>13</v>
      </c>
      <c r="D12" s="50" t="s">
        <v>1166</v>
      </c>
      <c r="E12" s="50">
        <v>800</v>
      </c>
      <c r="F12" s="50">
        <v>0</v>
      </c>
      <c r="G12" s="50">
        <v>10400</v>
      </c>
    </row>
    <row r="13" spans="1:8" ht="16.5" x14ac:dyDescent="0.25">
      <c r="A13" s="50">
        <v>12</v>
      </c>
      <c r="B13" s="50" t="s">
        <v>1168</v>
      </c>
      <c r="C13" s="50">
        <v>14</v>
      </c>
      <c r="D13" s="50" t="s">
        <v>1152</v>
      </c>
      <c r="E13" s="50">
        <v>1200</v>
      </c>
      <c r="F13" s="50">
        <v>0</v>
      </c>
      <c r="G13" s="50">
        <v>16800</v>
      </c>
    </row>
    <row r="14" spans="1:8" ht="16.5" x14ac:dyDescent="0.25">
      <c r="A14" s="50">
        <v>13</v>
      </c>
      <c r="B14" s="50" t="s">
        <v>1170</v>
      </c>
      <c r="C14" s="50">
        <v>4</v>
      </c>
      <c r="D14" s="50" t="s">
        <v>1171</v>
      </c>
      <c r="E14" s="50">
        <v>1200</v>
      </c>
      <c r="F14" s="50">
        <v>15</v>
      </c>
      <c r="G14" s="50">
        <v>4080</v>
      </c>
    </row>
    <row r="15" spans="1:8" ht="16.5" x14ac:dyDescent="0.25">
      <c r="A15" s="50">
        <v>14</v>
      </c>
      <c r="B15" s="50" t="s">
        <v>1173</v>
      </c>
      <c r="C15" s="50">
        <v>4</v>
      </c>
      <c r="D15" s="50" t="s">
        <v>1174</v>
      </c>
      <c r="E15" s="50">
        <v>800</v>
      </c>
      <c r="F15" s="50">
        <v>10</v>
      </c>
      <c r="G15" s="50">
        <v>2880</v>
      </c>
    </row>
    <row r="16" spans="1:8" ht="16.5" x14ac:dyDescent="0.25">
      <c r="A16" s="50">
        <v>15</v>
      </c>
      <c r="B16" s="50" t="s">
        <v>1176</v>
      </c>
      <c r="C16" s="50">
        <v>9</v>
      </c>
      <c r="D16" s="50" t="s">
        <v>1174</v>
      </c>
      <c r="E16" s="50">
        <v>1200</v>
      </c>
      <c r="F16" s="50">
        <v>10</v>
      </c>
      <c r="G16" s="50">
        <v>9720</v>
      </c>
    </row>
    <row r="17" spans="1:7" ht="16.5" x14ac:dyDescent="0.25">
      <c r="A17" s="50">
        <v>16</v>
      </c>
      <c r="B17" s="50" t="s">
        <v>1178</v>
      </c>
      <c r="C17" s="50">
        <v>10</v>
      </c>
      <c r="D17" s="50" t="s">
        <v>1140</v>
      </c>
      <c r="E17" s="50">
        <v>800</v>
      </c>
      <c r="F17" s="50">
        <v>10</v>
      </c>
      <c r="G17" s="50">
        <v>7200</v>
      </c>
    </row>
    <row r="18" spans="1:7" ht="16.5" x14ac:dyDescent="0.25">
      <c r="A18" s="50">
        <v>17</v>
      </c>
      <c r="B18" s="50" t="s">
        <v>1180</v>
      </c>
      <c r="C18" s="50">
        <v>3</v>
      </c>
      <c r="D18" s="50" t="s">
        <v>1152</v>
      </c>
      <c r="E18" s="50">
        <v>1500</v>
      </c>
      <c r="F18" s="50">
        <v>0</v>
      </c>
      <c r="G18" s="50">
        <v>4500</v>
      </c>
    </row>
    <row r="19" spans="1:7" ht="16.5" x14ac:dyDescent="0.25">
      <c r="A19" s="50">
        <v>18</v>
      </c>
      <c r="B19" s="50" t="s">
        <v>1182</v>
      </c>
      <c r="C19" s="50">
        <v>8</v>
      </c>
      <c r="D19" s="50" t="s">
        <v>1140</v>
      </c>
      <c r="E19" s="50">
        <v>800</v>
      </c>
      <c r="F19" s="50">
        <v>10</v>
      </c>
      <c r="G19" s="50">
        <v>5760</v>
      </c>
    </row>
    <row r="20" spans="1:7" ht="16.5" x14ac:dyDescent="0.25">
      <c r="A20" s="50">
        <v>19</v>
      </c>
      <c r="B20" s="50" t="s">
        <v>1184</v>
      </c>
      <c r="C20" s="50">
        <v>20</v>
      </c>
      <c r="D20" s="50" t="s">
        <v>1155</v>
      </c>
      <c r="E20" s="50">
        <v>1500</v>
      </c>
      <c r="F20" s="50">
        <v>15</v>
      </c>
      <c r="G20" s="50">
        <v>25500</v>
      </c>
    </row>
    <row r="21" spans="1:7" ht="16.5" x14ac:dyDescent="0.25">
      <c r="A21" s="50">
        <v>20</v>
      </c>
      <c r="B21" s="50" t="s">
        <v>1186</v>
      </c>
      <c r="C21" s="50">
        <v>18</v>
      </c>
      <c r="D21" s="50" t="s">
        <v>1187</v>
      </c>
      <c r="E21" s="50">
        <v>1200</v>
      </c>
      <c r="F21" s="50">
        <v>15</v>
      </c>
      <c r="G21" s="50">
        <v>18360</v>
      </c>
    </row>
    <row r="22" spans="1:7" ht="16.5" x14ac:dyDescent="0.25">
      <c r="A22" s="50">
        <v>21</v>
      </c>
      <c r="B22" s="50" t="s">
        <v>1189</v>
      </c>
      <c r="C22" s="50">
        <v>3</v>
      </c>
      <c r="D22" s="50" t="s">
        <v>1137</v>
      </c>
      <c r="E22" s="50">
        <v>1500</v>
      </c>
      <c r="F22" s="50">
        <v>5</v>
      </c>
      <c r="G22" s="50">
        <v>4275</v>
      </c>
    </row>
    <row r="23" spans="1:7" ht="16.5" x14ac:dyDescent="0.25">
      <c r="A23" s="50">
        <v>22</v>
      </c>
      <c r="B23" s="50" t="s">
        <v>1191</v>
      </c>
      <c r="C23" s="50">
        <v>6</v>
      </c>
      <c r="D23" s="50" t="s">
        <v>1192</v>
      </c>
      <c r="E23" s="50">
        <v>1200</v>
      </c>
      <c r="F23" s="50">
        <v>10</v>
      </c>
      <c r="G23" s="50">
        <v>6480</v>
      </c>
    </row>
    <row r="24" spans="1:7" ht="16.5" x14ac:dyDescent="0.25">
      <c r="A24" s="50">
        <v>23</v>
      </c>
      <c r="B24" s="50" t="s">
        <v>1194</v>
      </c>
      <c r="C24" s="50">
        <v>6</v>
      </c>
      <c r="D24" s="50" t="s">
        <v>1143</v>
      </c>
      <c r="E24" s="50">
        <v>800</v>
      </c>
      <c r="F24" s="50">
        <v>15</v>
      </c>
      <c r="G24" s="50">
        <v>4080</v>
      </c>
    </row>
    <row r="25" spans="1:7" ht="16.5" x14ac:dyDescent="0.25">
      <c r="A25" s="50">
        <v>24</v>
      </c>
      <c r="B25" s="50" t="s">
        <v>1195</v>
      </c>
      <c r="C25" s="50">
        <v>7</v>
      </c>
      <c r="D25" s="50" t="s">
        <v>1161</v>
      </c>
      <c r="E25" s="50">
        <v>1500</v>
      </c>
      <c r="F25" s="50">
        <v>10</v>
      </c>
      <c r="G25" s="50">
        <v>9450</v>
      </c>
    </row>
    <row r="26" spans="1:7" ht="16.5" x14ac:dyDescent="0.25">
      <c r="A26" s="50">
        <v>25</v>
      </c>
      <c r="B26" s="50" t="s">
        <v>1197</v>
      </c>
      <c r="C26" s="50">
        <v>16</v>
      </c>
      <c r="D26" s="50" t="s">
        <v>1198</v>
      </c>
      <c r="E26" s="50">
        <v>1500</v>
      </c>
      <c r="F26" s="50">
        <v>0</v>
      </c>
      <c r="G26" s="50">
        <v>24000</v>
      </c>
    </row>
    <row r="27" spans="1:7" ht="16.5" x14ac:dyDescent="0.25">
      <c r="A27" s="50">
        <v>26</v>
      </c>
      <c r="B27" s="50" t="s">
        <v>1200</v>
      </c>
      <c r="C27" s="50">
        <v>9</v>
      </c>
      <c r="D27" s="50" t="s">
        <v>1201</v>
      </c>
      <c r="E27" s="50">
        <v>1500</v>
      </c>
      <c r="F27" s="50">
        <v>10</v>
      </c>
      <c r="G27" s="50">
        <v>12150</v>
      </c>
    </row>
    <row r="28" spans="1:7" ht="16.5" x14ac:dyDescent="0.25">
      <c r="A28" s="50">
        <v>27</v>
      </c>
      <c r="B28" s="50" t="s">
        <v>1203</v>
      </c>
      <c r="C28" s="50">
        <v>20</v>
      </c>
      <c r="D28" s="50" t="s">
        <v>1140</v>
      </c>
      <c r="E28" s="50">
        <v>800</v>
      </c>
      <c r="F28" s="50">
        <v>10</v>
      </c>
      <c r="G28" s="50">
        <v>14400</v>
      </c>
    </row>
    <row r="29" spans="1:7" ht="16.5" x14ac:dyDescent="0.25">
      <c r="A29" s="50">
        <v>28</v>
      </c>
      <c r="B29" s="50" t="s">
        <v>1205</v>
      </c>
      <c r="C29" s="50">
        <v>12</v>
      </c>
      <c r="D29" s="50" t="s">
        <v>1158</v>
      </c>
      <c r="E29" s="50">
        <v>800</v>
      </c>
      <c r="F29" s="50">
        <v>5</v>
      </c>
      <c r="G29" s="50">
        <v>9120</v>
      </c>
    </row>
    <row r="30" spans="1:7" ht="16.5" x14ac:dyDescent="0.25">
      <c r="A30" s="50">
        <v>29</v>
      </c>
      <c r="B30" s="50" t="s">
        <v>1207</v>
      </c>
      <c r="C30" s="50">
        <v>9</v>
      </c>
      <c r="D30" s="50" t="s">
        <v>1149</v>
      </c>
      <c r="E30" s="50">
        <v>800</v>
      </c>
      <c r="F30" s="50">
        <v>5</v>
      </c>
      <c r="G30" s="50">
        <v>6840</v>
      </c>
    </row>
    <row r="31" spans="1:7" ht="16.5" x14ac:dyDescent="0.25">
      <c r="A31" s="50">
        <v>30</v>
      </c>
      <c r="B31" s="50" t="s">
        <v>1209</v>
      </c>
      <c r="C31" s="50">
        <v>11</v>
      </c>
      <c r="D31" s="50" t="s">
        <v>1146</v>
      </c>
      <c r="E31" s="50">
        <v>1500</v>
      </c>
      <c r="F31" s="50">
        <v>0</v>
      </c>
      <c r="G31" s="50">
        <v>16500</v>
      </c>
    </row>
    <row r="32" spans="1:7" ht="16.5" x14ac:dyDescent="0.25">
      <c r="A32" s="50">
        <v>31</v>
      </c>
      <c r="B32" s="50" t="s">
        <v>1211</v>
      </c>
      <c r="C32" s="50">
        <v>18</v>
      </c>
      <c r="D32" s="50" t="s">
        <v>1137</v>
      </c>
      <c r="E32" s="50">
        <v>1200</v>
      </c>
      <c r="F32" s="50">
        <v>0</v>
      </c>
      <c r="G32" s="50">
        <v>21600</v>
      </c>
    </row>
    <row r="33" spans="1:7" ht="16.5" x14ac:dyDescent="0.25">
      <c r="A33" s="50">
        <v>32</v>
      </c>
      <c r="B33" s="50" t="s">
        <v>1213</v>
      </c>
      <c r="C33" s="50">
        <v>18</v>
      </c>
      <c r="D33" s="50" t="s">
        <v>1187</v>
      </c>
      <c r="E33" s="50">
        <v>1500</v>
      </c>
      <c r="F33" s="50">
        <v>0</v>
      </c>
      <c r="G33" s="50">
        <v>27000</v>
      </c>
    </row>
    <row r="34" spans="1:7" ht="16.5" x14ac:dyDescent="0.25">
      <c r="A34" s="50">
        <v>33</v>
      </c>
      <c r="B34" s="50" t="s">
        <v>1215</v>
      </c>
      <c r="C34" s="50">
        <v>10</v>
      </c>
      <c r="D34" s="50" t="s">
        <v>1140</v>
      </c>
      <c r="E34" s="50">
        <v>1500</v>
      </c>
      <c r="F34" s="50">
        <v>10</v>
      </c>
      <c r="G34" s="50">
        <v>13500</v>
      </c>
    </row>
    <row r="35" spans="1:7" ht="16.5" x14ac:dyDescent="0.25">
      <c r="A35" s="50">
        <v>34</v>
      </c>
      <c r="B35" s="50" t="s">
        <v>1217</v>
      </c>
      <c r="C35" s="50">
        <v>5</v>
      </c>
      <c r="D35" s="50" t="s">
        <v>1218</v>
      </c>
      <c r="E35" s="50">
        <v>1200</v>
      </c>
      <c r="F35" s="50">
        <v>15</v>
      </c>
      <c r="G35" s="50">
        <v>5100</v>
      </c>
    </row>
    <row r="36" spans="1:7" ht="16.5" x14ac:dyDescent="0.25">
      <c r="A36" s="50">
        <v>35</v>
      </c>
      <c r="B36" s="50" t="s">
        <v>1220</v>
      </c>
      <c r="C36" s="50">
        <v>4</v>
      </c>
      <c r="D36" s="50" t="s">
        <v>1146</v>
      </c>
      <c r="E36" s="50">
        <v>1200</v>
      </c>
      <c r="F36" s="50">
        <v>5</v>
      </c>
      <c r="G36" s="50">
        <v>4560</v>
      </c>
    </row>
    <row r="37" spans="1:7" ht="16.5" x14ac:dyDescent="0.25">
      <c r="A37" s="50">
        <v>36</v>
      </c>
      <c r="B37" s="50" t="s">
        <v>1222</v>
      </c>
      <c r="C37" s="50">
        <v>4</v>
      </c>
      <c r="D37" s="50" t="s">
        <v>1143</v>
      </c>
      <c r="E37" s="50">
        <v>1500</v>
      </c>
      <c r="F37" s="50">
        <v>10</v>
      </c>
      <c r="G37" s="50">
        <v>5400</v>
      </c>
    </row>
    <row r="38" spans="1:7" ht="16.5" x14ac:dyDescent="0.25">
      <c r="A38" s="50">
        <v>37</v>
      </c>
      <c r="B38" s="50" t="s">
        <v>1224</v>
      </c>
      <c r="C38" s="50">
        <v>7</v>
      </c>
      <c r="D38" s="50" t="s">
        <v>1174</v>
      </c>
      <c r="E38" s="50">
        <v>1500</v>
      </c>
      <c r="F38" s="50">
        <v>5</v>
      </c>
      <c r="G38" s="50">
        <v>9975</v>
      </c>
    </row>
    <row r="39" spans="1:7" ht="16.5" x14ac:dyDescent="0.25">
      <c r="A39" s="50">
        <v>38</v>
      </c>
      <c r="B39" s="50" t="s">
        <v>1226</v>
      </c>
      <c r="C39" s="50">
        <v>2</v>
      </c>
      <c r="D39" s="50" t="s">
        <v>1201</v>
      </c>
      <c r="E39" s="50">
        <v>800</v>
      </c>
      <c r="F39" s="50">
        <v>0</v>
      </c>
      <c r="G39" s="50">
        <v>1600</v>
      </c>
    </row>
    <row r="40" spans="1:7" ht="16.5" x14ac:dyDescent="0.25">
      <c r="A40" s="50">
        <v>39</v>
      </c>
      <c r="B40" s="50" t="s">
        <v>1228</v>
      </c>
      <c r="C40" s="50">
        <v>12</v>
      </c>
      <c r="D40" s="50" t="s">
        <v>1229</v>
      </c>
      <c r="E40" s="50">
        <v>800</v>
      </c>
      <c r="F40" s="50">
        <v>5</v>
      </c>
      <c r="G40" s="50">
        <v>9120</v>
      </c>
    </row>
    <row r="41" spans="1:7" ht="16.5" x14ac:dyDescent="0.25">
      <c r="A41" s="50">
        <v>40</v>
      </c>
      <c r="B41" s="50" t="s">
        <v>1231</v>
      </c>
      <c r="C41" s="50">
        <v>6</v>
      </c>
      <c r="D41" s="50" t="s">
        <v>1137</v>
      </c>
      <c r="E41" s="50">
        <v>1500</v>
      </c>
      <c r="F41" s="50">
        <v>5</v>
      </c>
      <c r="G41" s="50">
        <v>8550</v>
      </c>
    </row>
    <row r="42" spans="1:7" ht="16.5" x14ac:dyDescent="0.25">
      <c r="A42" s="50">
        <v>41</v>
      </c>
      <c r="B42" s="50" t="s">
        <v>1233</v>
      </c>
      <c r="C42" s="50">
        <v>4</v>
      </c>
      <c r="D42" s="50" t="s">
        <v>1187</v>
      </c>
      <c r="E42" s="50">
        <v>1200</v>
      </c>
      <c r="F42" s="50">
        <v>5</v>
      </c>
      <c r="G42" s="50">
        <v>4560</v>
      </c>
    </row>
    <row r="43" spans="1:7" ht="16.5" x14ac:dyDescent="0.25">
      <c r="A43" s="50">
        <v>42</v>
      </c>
      <c r="B43" s="50" t="s">
        <v>1235</v>
      </c>
      <c r="C43" s="50">
        <v>8</v>
      </c>
      <c r="D43" s="50" t="s">
        <v>1161</v>
      </c>
      <c r="E43" s="50">
        <v>800</v>
      </c>
      <c r="F43" s="50">
        <v>0</v>
      </c>
      <c r="G43" s="50">
        <v>6400</v>
      </c>
    </row>
    <row r="44" spans="1:7" ht="16.5" x14ac:dyDescent="0.25">
      <c r="A44" s="50">
        <v>43</v>
      </c>
      <c r="B44" s="50" t="s">
        <v>1237</v>
      </c>
      <c r="C44" s="50">
        <v>4</v>
      </c>
      <c r="D44" s="50" t="s">
        <v>1146</v>
      </c>
      <c r="E44" s="50">
        <v>1200</v>
      </c>
      <c r="F44" s="50">
        <v>10</v>
      </c>
      <c r="G44" s="50">
        <v>4320</v>
      </c>
    </row>
    <row r="45" spans="1:7" ht="16.5" x14ac:dyDescent="0.25">
      <c r="A45" s="50">
        <v>44</v>
      </c>
      <c r="B45" s="50" t="s">
        <v>1239</v>
      </c>
      <c r="C45" s="50">
        <v>2</v>
      </c>
      <c r="D45" s="50" t="s">
        <v>1240</v>
      </c>
      <c r="E45" s="50">
        <v>1500</v>
      </c>
      <c r="F45" s="50">
        <v>15</v>
      </c>
      <c r="G45" s="50">
        <v>2550</v>
      </c>
    </row>
    <row r="46" spans="1:7" ht="16.5" x14ac:dyDescent="0.25">
      <c r="A46" s="50">
        <v>45</v>
      </c>
      <c r="B46" s="50" t="s">
        <v>1242</v>
      </c>
      <c r="C46" s="50">
        <v>3</v>
      </c>
      <c r="D46" s="50" t="s">
        <v>1158</v>
      </c>
      <c r="E46" s="50">
        <v>800</v>
      </c>
      <c r="F46" s="50">
        <v>15</v>
      </c>
      <c r="G46" s="50">
        <v>2040</v>
      </c>
    </row>
    <row r="47" spans="1:7" ht="16.5" x14ac:dyDescent="0.25">
      <c r="A47" s="50">
        <v>46</v>
      </c>
      <c r="B47" s="50" t="s">
        <v>1244</v>
      </c>
      <c r="C47" s="50">
        <v>15</v>
      </c>
      <c r="D47" s="50" t="s">
        <v>1229</v>
      </c>
      <c r="E47" s="50">
        <v>800</v>
      </c>
      <c r="F47" s="50">
        <v>5</v>
      </c>
      <c r="G47" s="50">
        <v>11400</v>
      </c>
    </row>
    <row r="48" spans="1:7" ht="16.5" x14ac:dyDescent="0.25">
      <c r="A48" s="50">
        <v>47</v>
      </c>
      <c r="B48" s="50" t="s">
        <v>1246</v>
      </c>
      <c r="C48" s="50">
        <v>15</v>
      </c>
      <c r="D48" s="50" t="s">
        <v>1152</v>
      </c>
      <c r="E48" s="50">
        <v>1500</v>
      </c>
      <c r="F48" s="50">
        <v>10</v>
      </c>
      <c r="G48" s="50">
        <v>20250</v>
      </c>
    </row>
    <row r="49" spans="1:7" ht="16.5" x14ac:dyDescent="0.25">
      <c r="A49" s="50">
        <v>48</v>
      </c>
      <c r="B49" s="50" t="s">
        <v>1248</v>
      </c>
      <c r="C49" s="50">
        <v>17</v>
      </c>
      <c r="D49" s="50" t="s">
        <v>1174</v>
      </c>
      <c r="E49" s="50">
        <v>1200</v>
      </c>
      <c r="F49" s="50">
        <v>5</v>
      </c>
      <c r="G49" s="50">
        <v>19380</v>
      </c>
    </row>
    <row r="50" spans="1:7" ht="16.5" x14ac:dyDescent="0.25">
      <c r="A50" s="50">
        <v>49</v>
      </c>
      <c r="B50" s="50" t="s">
        <v>1250</v>
      </c>
      <c r="C50" s="50">
        <v>3</v>
      </c>
      <c r="D50" s="50" t="s">
        <v>1143</v>
      </c>
      <c r="E50" s="50">
        <v>800</v>
      </c>
      <c r="F50" s="50">
        <v>15</v>
      </c>
      <c r="G50" s="50">
        <v>2040</v>
      </c>
    </row>
    <row r="51" spans="1:7" ht="16.5" x14ac:dyDescent="0.25">
      <c r="A51" s="50">
        <v>50</v>
      </c>
      <c r="B51" s="50" t="s">
        <v>1252</v>
      </c>
      <c r="C51" s="50">
        <v>10</v>
      </c>
      <c r="D51" s="50" t="s">
        <v>1198</v>
      </c>
      <c r="E51" s="50">
        <v>1200</v>
      </c>
      <c r="F51" s="50">
        <v>10</v>
      </c>
      <c r="G51" s="50">
        <v>10800</v>
      </c>
    </row>
    <row r="52" spans="1:7" ht="16.5" x14ac:dyDescent="0.25">
      <c r="A52" s="50">
        <v>51</v>
      </c>
      <c r="B52" s="50" t="s">
        <v>1254</v>
      </c>
      <c r="C52" s="50">
        <v>6</v>
      </c>
      <c r="D52" s="50" t="s">
        <v>1201</v>
      </c>
      <c r="E52" s="50">
        <v>800</v>
      </c>
      <c r="F52" s="50">
        <v>10</v>
      </c>
      <c r="G52" s="50">
        <v>4320</v>
      </c>
    </row>
    <row r="53" spans="1:7" ht="16.5" x14ac:dyDescent="0.25">
      <c r="A53" s="50">
        <v>52</v>
      </c>
      <c r="B53" s="50" t="s">
        <v>1256</v>
      </c>
      <c r="C53" s="50">
        <v>15</v>
      </c>
      <c r="D53" s="50" t="s">
        <v>1149</v>
      </c>
      <c r="E53" s="50">
        <v>1500</v>
      </c>
      <c r="F53" s="50">
        <v>15</v>
      </c>
      <c r="G53" s="50">
        <v>19125</v>
      </c>
    </row>
    <row r="54" spans="1:7" ht="16.5" x14ac:dyDescent="0.25">
      <c r="A54" s="50">
        <v>53</v>
      </c>
      <c r="B54" s="50" t="s">
        <v>1257</v>
      </c>
      <c r="C54" s="50">
        <v>12</v>
      </c>
      <c r="D54" s="50" t="s">
        <v>1137</v>
      </c>
      <c r="E54" s="50">
        <v>1500</v>
      </c>
      <c r="F54" s="50">
        <v>10</v>
      </c>
      <c r="G54" s="50">
        <v>16200</v>
      </c>
    </row>
    <row r="55" spans="1:7" ht="16.5" x14ac:dyDescent="0.25">
      <c r="A55" s="50">
        <v>54</v>
      </c>
      <c r="B55" s="50" t="s">
        <v>1259</v>
      </c>
      <c r="C55" s="50">
        <v>13</v>
      </c>
      <c r="D55" s="50" t="s">
        <v>1187</v>
      </c>
      <c r="E55" s="50">
        <v>1200</v>
      </c>
      <c r="F55" s="50">
        <v>5</v>
      </c>
      <c r="G55" s="50">
        <v>14820</v>
      </c>
    </row>
    <row r="56" spans="1:7" ht="16.5" x14ac:dyDescent="0.25">
      <c r="A56" s="50">
        <v>55</v>
      </c>
      <c r="B56" s="50" t="s">
        <v>1261</v>
      </c>
      <c r="C56" s="50">
        <v>5</v>
      </c>
      <c r="D56" s="50" t="s">
        <v>1262</v>
      </c>
      <c r="E56" s="50">
        <v>800</v>
      </c>
      <c r="F56" s="50">
        <v>0</v>
      </c>
      <c r="G56" s="50">
        <v>4000</v>
      </c>
    </row>
    <row r="57" spans="1:7" ht="16.5" x14ac:dyDescent="0.25">
      <c r="A57" s="50">
        <v>56</v>
      </c>
      <c r="B57" s="50" t="s">
        <v>1264</v>
      </c>
      <c r="C57" s="50">
        <v>16</v>
      </c>
      <c r="D57" s="50" t="s">
        <v>1149</v>
      </c>
      <c r="E57" s="50">
        <v>800</v>
      </c>
      <c r="F57" s="50">
        <v>5</v>
      </c>
      <c r="G57" s="50">
        <v>12160</v>
      </c>
    </row>
    <row r="58" spans="1:7" ht="16.5" x14ac:dyDescent="0.25">
      <c r="A58" s="50">
        <v>57</v>
      </c>
      <c r="B58" s="50" t="s">
        <v>1266</v>
      </c>
      <c r="C58" s="50">
        <v>19</v>
      </c>
      <c r="D58" s="50" t="s">
        <v>1146</v>
      </c>
      <c r="E58" s="50">
        <v>1200</v>
      </c>
      <c r="F58" s="50">
        <v>15</v>
      </c>
      <c r="G58" s="50">
        <v>19380</v>
      </c>
    </row>
    <row r="59" spans="1:7" ht="16.5" x14ac:dyDescent="0.25">
      <c r="A59" s="50">
        <v>58</v>
      </c>
      <c r="B59" s="50" t="s">
        <v>1268</v>
      </c>
      <c r="C59" s="50">
        <v>20</v>
      </c>
      <c r="D59" s="50" t="s">
        <v>1187</v>
      </c>
      <c r="E59" s="50">
        <v>1500</v>
      </c>
      <c r="F59" s="50">
        <v>15</v>
      </c>
      <c r="G59" s="50">
        <v>25500</v>
      </c>
    </row>
    <row r="60" spans="1:7" ht="16.5" x14ac:dyDescent="0.25">
      <c r="A60" s="50">
        <v>59</v>
      </c>
      <c r="B60" s="50" t="s">
        <v>1269</v>
      </c>
      <c r="C60" s="50">
        <v>4</v>
      </c>
      <c r="D60" s="50" t="s">
        <v>1149</v>
      </c>
      <c r="E60" s="50">
        <v>800</v>
      </c>
      <c r="F60" s="50">
        <v>0</v>
      </c>
      <c r="G60" s="50">
        <v>3200</v>
      </c>
    </row>
    <row r="61" spans="1:7" ht="16.5" x14ac:dyDescent="0.25">
      <c r="A61" s="50">
        <v>60</v>
      </c>
      <c r="B61" s="50" t="s">
        <v>1271</v>
      </c>
      <c r="C61" s="50">
        <v>3</v>
      </c>
      <c r="D61" s="50" t="s">
        <v>1229</v>
      </c>
      <c r="E61" s="50">
        <v>800</v>
      </c>
      <c r="F61" s="50">
        <v>0</v>
      </c>
      <c r="G61" s="50">
        <v>2400</v>
      </c>
    </row>
    <row r="62" spans="1:7" ht="16.5" x14ac:dyDescent="0.25">
      <c r="A62" s="50">
        <v>61</v>
      </c>
      <c r="B62" s="50" t="s">
        <v>1273</v>
      </c>
      <c r="C62" s="50">
        <v>19</v>
      </c>
      <c r="D62" s="50" t="s">
        <v>1140</v>
      </c>
      <c r="E62" s="50">
        <v>1200</v>
      </c>
      <c r="F62" s="50">
        <v>0</v>
      </c>
      <c r="G62" s="50">
        <v>22800</v>
      </c>
    </row>
    <row r="63" spans="1:7" ht="16.5" x14ac:dyDescent="0.25">
      <c r="A63" s="50">
        <v>62</v>
      </c>
      <c r="B63" s="50" t="s">
        <v>1275</v>
      </c>
      <c r="C63" s="50">
        <v>14</v>
      </c>
      <c r="D63" s="50" t="s">
        <v>1143</v>
      </c>
      <c r="E63" s="50">
        <v>1500</v>
      </c>
      <c r="F63" s="50">
        <v>0</v>
      </c>
      <c r="G63" s="50">
        <v>21000</v>
      </c>
    </row>
    <row r="64" spans="1:7" ht="16.5" x14ac:dyDescent="0.25">
      <c r="A64" s="50">
        <v>63</v>
      </c>
      <c r="B64" s="50" t="s">
        <v>1277</v>
      </c>
      <c r="C64" s="50">
        <v>7</v>
      </c>
      <c r="D64" s="50" t="s">
        <v>1143</v>
      </c>
      <c r="E64" s="50">
        <v>1200</v>
      </c>
      <c r="F64" s="50">
        <v>10</v>
      </c>
      <c r="G64" s="50">
        <v>7560</v>
      </c>
    </row>
    <row r="65" spans="1:7" ht="16.5" x14ac:dyDescent="0.25">
      <c r="A65" s="50">
        <v>64</v>
      </c>
      <c r="B65" s="50" t="s">
        <v>1278</v>
      </c>
      <c r="C65" s="50">
        <v>15</v>
      </c>
      <c r="D65" s="50" t="s">
        <v>1143</v>
      </c>
      <c r="E65" s="50">
        <v>1200</v>
      </c>
      <c r="F65" s="50">
        <v>0</v>
      </c>
      <c r="G65" s="50">
        <v>18000</v>
      </c>
    </row>
    <row r="66" spans="1:7" ht="16.5" x14ac:dyDescent="0.25">
      <c r="A66" s="50">
        <v>65</v>
      </c>
      <c r="B66" s="50" t="s">
        <v>1280</v>
      </c>
      <c r="C66" s="50">
        <v>9</v>
      </c>
      <c r="D66" s="50" t="s">
        <v>1218</v>
      </c>
      <c r="E66" s="50">
        <v>1500</v>
      </c>
      <c r="F66" s="50">
        <v>10</v>
      </c>
      <c r="G66" s="50">
        <v>12150</v>
      </c>
    </row>
    <row r="67" spans="1:7" ht="16.5" x14ac:dyDescent="0.25">
      <c r="A67" s="50">
        <v>66</v>
      </c>
      <c r="B67" s="50" t="s">
        <v>1282</v>
      </c>
      <c r="C67" s="50">
        <v>8</v>
      </c>
      <c r="D67" s="50" t="s">
        <v>1155</v>
      </c>
      <c r="E67" s="50">
        <v>1500</v>
      </c>
      <c r="F67" s="50">
        <v>5</v>
      </c>
      <c r="G67" s="50">
        <v>11400</v>
      </c>
    </row>
    <row r="68" spans="1:7" ht="16.5" x14ac:dyDescent="0.25">
      <c r="A68" s="50">
        <v>67</v>
      </c>
      <c r="B68" s="50" t="s">
        <v>1284</v>
      </c>
      <c r="C68" s="50">
        <v>13</v>
      </c>
      <c r="D68" s="50" t="s">
        <v>1140</v>
      </c>
      <c r="E68" s="50">
        <v>800</v>
      </c>
      <c r="F68" s="50">
        <v>15</v>
      </c>
      <c r="G68" s="50">
        <v>8840</v>
      </c>
    </row>
    <row r="69" spans="1:7" ht="16.5" x14ac:dyDescent="0.25">
      <c r="A69" s="50">
        <v>68</v>
      </c>
      <c r="B69" s="50" t="s">
        <v>1286</v>
      </c>
      <c r="C69" s="50">
        <v>1</v>
      </c>
      <c r="D69" s="50" t="s">
        <v>1262</v>
      </c>
      <c r="E69" s="50">
        <v>800</v>
      </c>
      <c r="F69" s="50">
        <v>15</v>
      </c>
      <c r="G69" s="50">
        <v>680</v>
      </c>
    </row>
    <row r="70" spans="1:7" ht="16.5" x14ac:dyDescent="0.25">
      <c r="A70" s="50">
        <v>69</v>
      </c>
      <c r="B70" s="50" t="s">
        <v>1288</v>
      </c>
      <c r="C70" s="50">
        <v>9</v>
      </c>
      <c r="D70" s="50" t="s">
        <v>1262</v>
      </c>
      <c r="E70" s="50">
        <v>800</v>
      </c>
      <c r="F70" s="50">
        <v>5</v>
      </c>
      <c r="G70" s="50">
        <v>6840</v>
      </c>
    </row>
    <row r="71" spans="1:7" ht="16.5" x14ac:dyDescent="0.25">
      <c r="A71" s="50">
        <v>70</v>
      </c>
      <c r="B71" s="50" t="s">
        <v>1290</v>
      </c>
      <c r="C71" s="50">
        <v>17</v>
      </c>
      <c r="D71" s="50" t="s">
        <v>1137</v>
      </c>
      <c r="E71" s="50">
        <v>1200</v>
      </c>
      <c r="F71" s="50">
        <v>15</v>
      </c>
      <c r="G71" s="50">
        <v>17340</v>
      </c>
    </row>
    <row r="72" spans="1:7" ht="16.5" x14ac:dyDescent="0.25">
      <c r="A72" s="50">
        <v>71</v>
      </c>
      <c r="B72" s="50" t="s">
        <v>1292</v>
      </c>
      <c r="C72" s="50">
        <v>2</v>
      </c>
      <c r="D72" s="50" t="s">
        <v>1240</v>
      </c>
      <c r="E72" s="50">
        <v>800</v>
      </c>
      <c r="F72" s="50">
        <v>0</v>
      </c>
      <c r="G72" s="50">
        <v>1600</v>
      </c>
    </row>
    <row r="73" spans="1:7" ht="16.5" x14ac:dyDescent="0.25">
      <c r="A73" s="50">
        <v>72</v>
      </c>
      <c r="B73" s="50" t="s">
        <v>1294</v>
      </c>
      <c r="C73" s="50">
        <v>18</v>
      </c>
      <c r="D73" s="50" t="s">
        <v>1155</v>
      </c>
      <c r="E73" s="50">
        <v>800</v>
      </c>
      <c r="F73" s="50">
        <v>5</v>
      </c>
      <c r="G73" s="50">
        <v>13680</v>
      </c>
    </row>
    <row r="74" spans="1:7" ht="16.5" x14ac:dyDescent="0.25">
      <c r="A74" s="50">
        <v>73</v>
      </c>
      <c r="B74" s="50" t="s">
        <v>1296</v>
      </c>
      <c r="C74" s="50">
        <v>3</v>
      </c>
      <c r="D74" s="50" t="s">
        <v>1218</v>
      </c>
      <c r="E74" s="50">
        <v>1500</v>
      </c>
      <c r="F74" s="50">
        <v>15</v>
      </c>
      <c r="G74" s="50">
        <v>3825</v>
      </c>
    </row>
    <row r="75" spans="1:7" ht="16.5" x14ac:dyDescent="0.25">
      <c r="A75" s="50">
        <v>74</v>
      </c>
      <c r="B75" s="50" t="s">
        <v>1298</v>
      </c>
      <c r="C75" s="50">
        <v>12</v>
      </c>
      <c r="D75" s="50" t="s">
        <v>1155</v>
      </c>
      <c r="E75" s="50">
        <v>800</v>
      </c>
      <c r="F75" s="50">
        <v>15</v>
      </c>
      <c r="G75" s="50">
        <v>8160</v>
      </c>
    </row>
    <row r="76" spans="1:7" ht="16.5" x14ac:dyDescent="0.25">
      <c r="A76" s="50">
        <v>75</v>
      </c>
      <c r="B76" s="50" t="s">
        <v>1300</v>
      </c>
      <c r="C76" s="50">
        <v>9</v>
      </c>
      <c r="D76" s="50" t="s">
        <v>1143</v>
      </c>
      <c r="E76" s="50">
        <v>1200</v>
      </c>
      <c r="F76" s="50">
        <v>5</v>
      </c>
      <c r="G76" s="50">
        <v>10260</v>
      </c>
    </row>
    <row r="77" spans="1:7" ht="16.5" x14ac:dyDescent="0.25">
      <c r="A77" s="50">
        <v>76</v>
      </c>
      <c r="B77" s="50" t="s">
        <v>1302</v>
      </c>
      <c r="C77" s="50">
        <v>12</v>
      </c>
      <c r="D77" s="50" t="s">
        <v>1140</v>
      </c>
      <c r="E77" s="50">
        <v>800</v>
      </c>
      <c r="F77" s="50">
        <v>15</v>
      </c>
      <c r="G77" s="50">
        <v>8160</v>
      </c>
    </row>
    <row r="78" spans="1:7" ht="16.5" x14ac:dyDescent="0.25">
      <c r="A78" s="50">
        <v>77</v>
      </c>
      <c r="B78" s="50" t="s">
        <v>1304</v>
      </c>
      <c r="C78" s="50">
        <v>6</v>
      </c>
      <c r="D78" s="50" t="s">
        <v>1198</v>
      </c>
      <c r="E78" s="50">
        <v>1500</v>
      </c>
      <c r="F78" s="50">
        <v>5</v>
      </c>
      <c r="G78" s="50">
        <v>8550</v>
      </c>
    </row>
    <row r="79" spans="1:7" ht="16.5" x14ac:dyDescent="0.25">
      <c r="A79" s="50">
        <v>78</v>
      </c>
      <c r="B79" s="50" t="s">
        <v>1306</v>
      </c>
      <c r="C79" s="50">
        <v>16</v>
      </c>
      <c r="D79" s="50" t="s">
        <v>1171</v>
      </c>
      <c r="E79" s="50">
        <v>1200</v>
      </c>
      <c r="F79" s="50">
        <v>15</v>
      </c>
      <c r="G79" s="50">
        <v>16320</v>
      </c>
    </row>
    <row r="80" spans="1:7" ht="16.5" x14ac:dyDescent="0.25">
      <c r="A80" s="50">
        <v>79</v>
      </c>
      <c r="B80" s="50" t="s">
        <v>1308</v>
      </c>
      <c r="C80" s="50">
        <v>19</v>
      </c>
      <c r="D80" s="50" t="s">
        <v>1198</v>
      </c>
      <c r="E80" s="50">
        <v>1200</v>
      </c>
      <c r="F80" s="50">
        <v>0</v>
      </c>
      <c r="G80" s="50">
        <v>22800</v>
      </c>
    </row>
    <row r="81" spans="1:7" ht="16.5" x14ac:dyDescent="0.25">
      <c r="A81" s="50">
        <v>80</v>
      </c>
      <c r="B81" s="50" t="s">
        <v>1310</v>
      </c>
      <c r="C81" s="50">
        <v>5</v>
      </c>
      <c r="D81" s="50" t="s">
        <v>1137</v>
      </c>
      <c r="E81" s="50">
        <v>800</v>
      </c>
      <c r="F81" s="50">
        <v>15</v>
      </c>
      <c r="G81" s="50">
        <v>3400</v>
      </c>
    </row>
    <row r="82" spans="1:7" ht="16.5" x14ac:dyDescent="0.25">
      <c r="A82" s="50">
        <v>81</v>
      </c>
      <c r="B82" s="50" t="s">
        <v>1312</v>
      </c>
      <c r="C82" s="50">
        <v>10</v>
      </c>
      <c r="D82" s="50" t="s">
        <v>1158</v>
      </c>
      <c r="E82" s="50">
        <v>1500</v>
      </c>
      <c r="F82" s="50">
        <v>15</v>
      </c>
      <c r="G82" s="50">
        <v>12750</v>
      </c>
    </row>
    <row r="83" spans="1:7" ht="16.5" x14ac:dyDescent="0.25">
      <c r="A83" s="50">
        <v>82</v>
      </c>
      <c r="B83" s="50" t="s">
        <v>1314</v>
      </c>
      <c r="C83" s="50">
        <v>7</v>
      </c>
      <c r="D83" s="50" t="s">
        <v>1240</v>
      </c>
      <c r="E83" s="50">
        <v>1200</v>
      </c>
      <c r="F83" s="50">
        <v>0</v>
      </c>
      <c r="G83" s="50">
        <v>8400</v>
      </c>
    </row>
    <row r="84" spans="1:7" ht="16.5" x14ac:dyDescent="0.25">
      <c r="A84" s="50">
        <v>83</v>
      </c>
      <c r="B84" s="50" t="s">
        <v>1316</v>
      </c>
      <c r="C84" s="50">
        <v>5</v>
      </c>
      <c r="D84" s="50" t="s">
        <v>1171</v>
      </c>
      <c r="E84" s="50">
        <v>1200</v>
      </c>
      <c r="F84" s="50">
        <v>5</v>
      </c>
      <c r="G84" s="50">
        <v>5700</v>
      </c>
    </row>
    <row r="85" spans="1:7" ht="16.5" x14ac:dyDescent="0.25">
      <c r="A85" s="50">
        <v>84</v>
      </c>
      <c r="B85" s="50" t="s">
        <v>1318</v>
      </c>
      <c r="C85" s="50">
        <v>8</v>
      </c>
      <c r="D85" s="50" t="s">
        <v>1187</v>
      </c>
      <c r="E85" s="50">
        <v>1200</v>
      </c>
      <c r="F85" s="50">
        <v>5</v>
      </c>
      <c r="G85" s="50">
        <v>9120</v>
      </c>
    </row>
    <row r="86" spans="1:7" ht="16.5" x14ac:dyDescent="0.25">
      <c r="A86" s="50">
        <v>85</v>
      </c>
      <c r="B86" s="50" t="s">
        <v>1320</v>
      </c>
      <c r="C86" s="50">
        <v>9</v>
      </c>
      <c r="D86" s="50" t="s">
        <v>1198</v>
      </c>
      <c r="E86" s="50">
        <v>800</v>
      </c>
      <c r="F86" s="50">
        <v>5</v>
      </c>
      <c r="G86" s="50">
        <v>6840</v>
      </c>
    </row>
    <row r="87" spans="1:7" ht="16.5" x14ac:dyDescent="0.25">
      <c r="A87" s="50">
        <v>86</v>
      </c>
      <c r="B87" s="50" t="s">
        <v>1322</v>
      </c>
      <c r="C87" s="50">
        <v>18</v>
      </c>
      <c r="D87" s="50" t="s">
        <v>1146</v>
      </c>
      <c r="E87" s="50">
        <v>800</v>
      </c>
      <c r="F87" s="50">
        <v>5</v>
      </c>
      <c r="G87" s="50">
        <v>13680</v>
      </c>
    </row>
    <row r="88" spans="1:7" ht="16.5" x14ac:dyDescent="0.25">
      <c r="A88" s="50">
        <v>87</v>
      </c>
      <c r="B88" s="50" t="s">
        <v>1324</v>
      </c>
      <c r="C88" s="50">
        <v>19</v>
      </c>
      <c r="D88" s="50" t="s">
        <v>1240</v>
      </c>
      <c r="E88" s="50">
        <v>1200</v>
      </c>
      <c r="F88" s="50">
        <v>15</v>
      </c>
      <c r="G88" s="50">
        <v>19380</v>
      </c>
    </row>
    <row r="89" spans="1:7" ht="16.5" x14ac:dyDescent="0.25">
      <c r="A89" s="50">
        <v>88</v>
      </c>
      <c r="B89" s="50" t="s">
        <v>1326</v>
      </c>
      <c r="C89" s="50">
        <v>5</v>
      </c>
      <c r="D89" s="50" t="s">
        <v>1140</v>
      </c>
      <c r="E89" s="50">
        <v>1200</v>
      </c>
      <c r="F89" s="50">
        <v>15</v>
      </c>
      <c r="G89" s="50">
        <v>5100</v>
      </c>
    </row>
    <row r="90" spans="1:7" ht="16.5" x14ac:dyDescent="0.25">
      <c r="A90" s="50">
        <v>89</v>
      </c>
      <c r="B90" s="50" t="s">
        <v>1328</v>
      </c>
      <c r="C90" s="50">
        <v>13</v>
      </c>
      <c r="D90" s="50" t="s">
        <v>1192</v>
      </c>
      <c r="E90" s="50">
        <v>800</v>
      </c>
      <c r="F90" s="50">
        <v>15</v>
      </c>
      <c r="G90" s="50">
        <v>8840</v>
      </c>
    </row>
    <row r="91" spans="1:7" ht="16.5" x14ac:dyDescent="0.25">
      <c r="A91" s="50">
        <v>90</v>
      </c>
      <c r="B91" s="50" t="s">
        <v>1330</v>
      </c>
      <c r="C91" s="50">
        <v>11</v>
      </c>
      <c r="D91" s="50" t="s">
        <v>1262</v>
      </c>
      <c r="E91" s="50">
        <v>1200</v>
      </c>
      <c r="F91" s="50">
        <v>15</v>
      </c>
      <c r="G91" s="50">
        <v>11220</v>
      </c>
    </row>
    <row r="92" spans="1:7" ht="16.5" x14ac:dyDescent="0.25">
      <c r="A92" s="50">
        <v>91</v>
      </c>
      <c r="B92" s="50" t="s">
        <v>1332</v>
      </c>
      <c r="C92" s="50">
        <v>10</v>
      </c>
      <c r="D92" s="50" t="s">
        <v>1146</v>
      </c>
      <c r="E92" s="50">
        <v>800</v>
      </c>
      <c r="F92" s="50">
        <v>15</v>
      </c>
      <c r="G92" s="50">
        <v>6800</v>
      </c>
    </row>
    <row r="93" spans="1:7" ht="16.5" x14ac:dyDescent="0.25">
      <c r="A93" s="50">
        <v>92</v>
      </c>
      <c r="B93" s="50" t="s">
        <v>1334</v>
      </c>
      <c r="C93" s="50">
        <v>19</v>
      </c>
      <c r="D93" s="50" t="s">
        <v>1158</v>
      </c>
      <c r="E93" s="50">
        <v>800</v>
      </c>
      <c r="F93" s="50">
        <v>15</v>
      </c>
      <c r="G93" s="50">
        <v>12920</v>
      </c>
    </row>
    <row r="94" spans="1:7" ht="16.5" x14ac:dyDescent="0.25">
      <c r="A94" s="50">
        <v>93</v>
      </c>
      <c r="B94" s="50" t="s">
        <v>1336</v>
      </c>
      <c r="C94" s="50">
        <v>17</v>
      </c>
      <c r="D94" s="50" t="s">
        <v>1240</v>
      </c>
      <c r="E94" s="50">
        <v>1500</v>
      </c>
      <c r="F94" s="50">
        <v>5</v>
      </c>
      <c r="G94" s="50">
        <v>24225</v>
      </c>
    </row>
    <row r="95" spans="1:7" ht="16.5" x14ac:dyDescent="0.25">
      <c r="A95" s="50">
        <v>94</v>
      </c>
      <c r="B95" s="50" t="s">
        <v>1338</v>
      </c>
      <c r="C95" s="50">
        <v>4</v>
      </c>
      <c r="D95" s="50" t="s">
        <v>1240</v>
      </c>
      <c r="E95" s="50">
        <v>800</v>
      </c>
      <c r="F95" s="50">
        <v>5</v>
      </c>
      <c r="G95" s="50">
        <v>3040</v>
      </c>
    </row>
    <row r="96" spans="1:7" ht="16.5" x14ac:dyDescent="0.25">
      <c r="A96" s="50">
        <v>95</v>
      </c>
      <c r="B96" s="50" t="s">
        <v>1339</v>
      </c>
      <c r="C96" s="50">
        <v>5</v>
      </c>
      <c r="D96" s="50" t="s">
        <v>1201</v>
      </c>
      <c r="E96" s="50">
        <v>1200</v>
      </c>
      <c r="F96" s="50">
        <v>15</v>
      </c>
      <c r="G96" s="50">
        <v>5100</v>
      </c>
    </row>
    <row r="97" spans="1:7" ht="16.5" x14ac:dyDescent="0.25">
      <c r="A97" s="50">
        <v>96</v>
      </c>
      <c r="B97" s="50" t="s">
        <v>1341</v>
      </c>
      <c r="C97" s="50">
        <v>8</v>
      </c>
      <c r="D97" s="50" t="s">
        <v>1342</v>
      </c>
      <c r="E97" s="50">
        <v>1200</v>
      </c>
      <c r="F97" s="50">
        <v>0</v>
      </c>
      <c r="G97" s="50">
        <v>9600</v>
      </c>
    </row>
    <row r="98" spans="1:7" ht="16.5" x14ac:dyDescent="0.25">
      <c r="A98" s="50">
        <v>97</v>
      </c>
      <c r="B98" s="50" t="s">
        <v>1344</v>
      </c>
      <c r="C98" s="50">
        <v>11</v>
      </c>
      <c r="D98" s="50" t="s">
        <v>1198</v>
      </c>
      <c r="E98" s="50">
        <v>1200</v>
      </c>
      <c r="F98" s="50">
        <v>5</v>
      </c>
      <c r="G98" s="50">
        <v>12540</v>
      </c>
    </row>
    <row r="99" spans="1:7" ht="16.5" x14ac:dyDescent="0.25">
      <c r="A99" s="50">
        <v>98</v>
      </c>
      <c r="B99" s="50" t="s">
        <v>1346</v>
      </c>
      <c r="C99" s="50">
        <v>14</v>
      </c>
      <c r="D99" s="50" t="s">
        <v>1166</v>
      </c>
      <c r="E99" s="50">
        <v>800</v>
      </c>
      <c r="F99" s="50">
        <v>10</v>
      </c>
      <c r="G99" s="50">
        <v>10080</v>
      </c>
    </row>
    <row r="100" spans="1:7" ht="16.5" x14ac:dyDescent="0.25">
      <c r="A100" s="50">
        <v>99</v>
      </c>
      <c r="B100" s="50" t="s">
        <v>1348</v>
      </c>
      <c r="C100" s="50">
        <v>10</v>
      </c>
      <c r="D100" s="50" t="s">
        <v>1149</v>
      </c>
      <c r="E100" s="50">
        <v>1200</v>
      </c>
      <c r="F100" s="50">
        <v>5</v>
      </c>
      <c r="G100" s="50">
        <v>11400</v>
      </c>
    </row>
    <row r="101" spans="1:7" ht="16.5" x14ac:dyDescent="0.25">
      <c r="A101" s="50">
        <v>100</v>
      </c>
      <c r="B101" s="50" t="s">
        <v>1350</v>
      </c>
      <c r="C101" s="50">
        <v>1</v>
      </c>
      <c r="D101" s="50" t="s">
        <v>1229</v>
      </c>
      <c r="E101" s="50">
        <v>1200</v>
      </c>
      <c r="F101" s="50">
        <v>10</v>
      </c>
      <c r="G101" s="50">
        <v>1080</v>
      </c>
    </row>
    <row r="102" spans="1:7" ht="16.5" x14ac:dyDescent="0.25">
      <c r="A102" s="50">
        <v>101</v>
      </c>
      <c r="B102" s="50" t="s">
        <v>1352</v>
      </c>
      <c r="C102" s="50">
        <v>16</v>
      </c>
      <c r="D102" s="50" t="s">
        <v>1149</v>
      </c>
      <c r="E102" s="50">
        <v>1500</v>
      </c>
      <c r="F102" s="50">
        <v>10</v>
      </c>
      <c r="G102" s="50">
        <v>21600</v>
      </c>
    </row>
    <row r="103" spans="1:7" ht="16.5" x14ac:dyDescent="0.25">
      <c r="A103" s="50">
        <v>102</v>
      </c>
      <c r="B103" s="50" t="s">
        <v>1354</v>
      </c>
      <c r="C103" s="50">
        <v>10</v>
      </c>
      <c r="D103" s="50" t="s">
        <v>1140</v>
      </c>
      <c r="E103" s="50">
        <v>1500</v>
      </c>
      <c r="F103" s="50">
        <v>5</v>
      </c>
      <c r="G103" s="50">
        <v>14250</v>
      </c>
    </row>
    <row r="104" spans="1:7" ht="16.5" x14ac:dyDescent="0.25">
      <c r="A104" s="50">
        <v>103</v>
      </c>
      <c r="B104" s="50" t="s">
        <v>1355</v>
      </c>
      <c r="C104" s="50">
        <v>14</v>
      </c>
      <c r="D104" s="50" t="s">
        <v>1174</v>
      </c>
      <c r="E104" s="50">
        <v>1200</v>
      </c>
      <c r="F104" s="50">
        <v>10</v>
      </c>
      <c r="G104" s="50">
        <v>15120</v>
      </c>
    </row>
    <row r="105" spans="1:7" ht="16.5" x14ac:dyDescent="0.25">
      <c r="A105" s="50">
        <v>104</v>
      </c>
      <c r="B105" s="50" t="s">
        <v>1356</v>
      </c>
      <c r="C105" s="50">
        <v>19</v>
      </c>
      <c r="D105" s="50" t="s">
        <v>1161</v>
      </c>
      <c r="E105" s="50">
        <v>1200</v>
      </c>
      <c r="F105" s="50">
        <v>15</v>
      </c>
      <c r="G105" s="50">
        <v>19380</v>
      </c>
    </row>
    <row r="106" spans="1:7" ht="16.5" x14ac:dyDescent="0.25">
      <c r="A106" s="50">
        <v>105</v>
      </c>
      <c r="B106" s="50" t="s">
        <v>1357</v>
      </c>
      <c r="C106" s="50">
        <v>16</v>
      </c>
      <c r="D106" s="50" t="s">
        <v>1152</v>
      </c>
      <c r="E106" s="50">
        <v>800</v>
      </c>
      <c r="F106" s="50">
        <v>0</v>
      </c>
      <c r="G106" s="50">
        <v>12800</v>
      </c>
    </row>
    <row r="107" spans="1:7" ht="16.5" x14ac:dyDescent="0.25">
      <c r="A107" s="50">
        <v>106</v>
      </c>
      <c r="B107" s="50" t="s">
        <v>1359</v>
      </c>
      <c r="C107" s="50">
        <v>16</v>
      </c>
      <c r="D107" s="50" t="s">
        <v>1155</v>
      </c>
      <c r="E107" s="50">
        <v>800</v>
      </c>
      <c r="F107" s="50">
        <v>10</v>
      </c>
      <c r="G107" s="50">
        <v>11520</v>
      </c>
    </row>
    <row r="108" spans="1:7" ht="16.5" x14ac:dyDescent="0.25">
      <c r="A108" s="50">
        <v>107</v>
      </c>
      <c r="B108" s="50" t="s">
        <v>1361</v>
      </c>
      <c r="C108" s="50">
        <v>5</v>
      </c>
      <c r="D108" s="50" t="s">
        <v>1342</v>
      </c>
      <c r="E108" s="50">
        <v>1200</v>
      </c>
      <c r="F108" s="50">
        <v>10</v>
      </c>
      <c r="G108" s="50">
        <v>5400</v>
      </c>
    </row>
    <row r="109" spans="1:7" ht="16.5" x14ac:dyDescent="0.25">
      <c r="A109" s="50">
        <v>108</v>
      </c>
      <c r="B109" s="50" t="s">
        <v>1362</v>
      </c>
      <c r="C109" s="50">
        <v>19</v>
      </c>
      <c r="D109" s="50" t="s">
        <v>1187</v>
      </c>
      <c r="E109" s="50">
        <v>1500</v>
      </c>
      <c r="F109" s="50">
        <v>10</v>
      </c>
      <c r="G109" s="50">
        <v>25650</v>
      </c>
    </row>
    <row r="110" spans="1:7" ht="16.5" x14ac:dyDescent="0.25">
      <c r="A110" s="50">
        <v>109</v>
      </c>
      <c r="B110" s="50" t="s">
        <v>1364</v>
      </c>
      <c r="C110" s="50">
        <v>16</v>
      </c>
      <c r="D110" s="50" t="s">
        <v>1143</v>
      </c>
      <c r="E110" s="50">
        <v>1500</v>
      </c>
      <c r="F110" s="50">
        <v>10</v>
      </c>
      <c r="G110" s="50">
        <v>21600</v>
      </c>
    </row>
    <row r="111" spans="1:7" ht="16.5" x14ac:dyDescent="0.25">
      <c r="A111" s="50">
        <v>110</v>
      </c>
      <c r="B111" s="50" t="s">
        <v>1366</v>
      </c>
      <c r="C111" s="50">
        <v>13</v>
      </c>
      <c r="D111" s="50" t="s">
        <v>1187</v>
      </c>
      <c r="E111" s="50">
        <v>800</v>
      </c>
      <c r="F111" s="50">
        <v>10</v>
      </c>
      <c r="G111" s="50">
        <v>9360</v>
      </c>
    </row>
    <row r="112" spans="1:7" ht="16.5" x14ac:dyDescent="0.25">
      <c r="A112" s="50">
        <v>111</v>
      </c>
      <c r="B112" s="50" t="s">
        <v>1368</v>
      </c>
      <c r="C112" s="50">
        <v>12</v>
      </c>
      <c r="D112" s="50" t="s">
        <v>1201</v>
      </c>
      <c r="E112" s="50">
        <v>1500</v>
      </c>
      <c r="F112" s="50">
        <v>5</v>
      </c>
      <c r="G112" s="50">
        <v>17100</v>
      </c>
    </row>
    <row r="113" spans="1:7" ht="16.5" x14ac:dyDescent="0.25">
      <c r="A113" s="50">
        <v>112</v>
      </c>
      <c r="B113" s="50" t="s">
        <v>1370</v>
      </c>
      <c r="C113" s="50">
        <v>20</v>
      </c>
      <c r="D113" s="50" t="s">
        <v>1201</v>
      </c>
      <c r="E113" s="50">
        <v>1200</v>
      </c>
      <c r="F113" s="50">
        <v>5</v>
      </c>
      <c r="G113" s="50">
        <v>22800</v>
      </c>
    </row>
    <row r="114" spans="1:7" ht="16.5" x14ac:dyDescent="0.25">
      <c r="A114" s="50">
        <v>113</v>
      </c>
      <c r="B114" s="50" t="s">
        <v>1372</v>
      </c>
      <c r="C114" s="50">
        <v>3</v>
      </c>
      <c r="D114" s="50" t="s">
        <v>1143</v>
      </c>
      <c r="E114" s="50">
        <v>1500</v>
      </c>
      <c r="F114" s="50">
        <v>15</v>
      </c>
      <c r="G114" s="50">
        <v>3825</v>
      </c>
    </row>
    <row r="115" spans="1:7" ht="16.5" x14ac:dyDescent="0.25">
      <c r="A115" s="50">
        <v>114</v>
      </c>
      <c r="B115" s="50" t="s">
        <v>1374</v>
      </c>
      <c r="C115" s="50">
        <v>10</v>
      </c>
      <c r="D115" s="50" t="s">
        <v>1262</v>
      </c>
      <c r="E115" s="50">
        <v>800</v>
      </c>
      <c r="F115" s="50">
        <v>15</v>
      </c>
      <c r="G115" s="50">
        <v>6800</v>
      </c>
    </row>
    <row r="116" spans="1:7" ht="16.5" x14ac:dyDescent="0.25">
      <c r="A116" s="50">
        <v>115</v>
      </c>
      <c r="B116" s="50" t="s">
        <v>1376</v>
      </c>
      <c r="C116" s="50">
        <v>9</v>
      </c>
      <c r="D116" s="50" t="s">
        <v>1174</v>
      </c>
      <c r="E116" s="50">
        <v>1500</v>
      </c>
      <c r="F116" s="50">
        <v>0</v>
      </c>
      <c r="G116" s="50">
        <v>13500</v>
      </c>
    </row>
    <row r="117" spans="1:7" ht="16.5" x14ac:dyDescent="0.25">
      <c r="A117" s="50">
        <v>116</v>
      </c>
      <c r="B117" s="50" t="s">
        <v>1377</v>
      </c>
      <c r="C117" s="50">
        <v>18</v>
      </c>
      <c r="D117" s="50" t="s">
        <v>1187</v>
      </c>
      <c r="E117" s="50">
        <v>800</v>
      </c>
      <c r="F117" s="50">
        <v>0</v>
      </c>
      <c r="G117" s="50">
        <v>14400</v>
      </c>
    </row>
    <row r="118" spans="1:7" ht="16.5" x14ac:dyDescent="0.25">
      <c r="A118" s="50">
        <v>117</v>
      </c>
      <c r="B118" s="50" t="s">
        <v>1379</v>
      </c>
      <c r="C118" s="50">
        <v>8</v>
      </c>
      <c r="D118" s="50" t="s">
        <v>1161</v>
      </c>
      <c r="E118" s="50">
        <v>800</v>
      </c>
      <c r="F118" s="50">
        <v>10</v>
      </c>
      <c r="G118" s="50">
        <v>5760</v>
      </c>
    </row>
    <row r="119" spans="1:7" ht="16.5" x14ac:dyDescent="0.25">
      <c r="A119" s="50">
        <v>118</v>
      </c>
      <c r="B119" s="50" t="s">
        <v>1381</v>
      </c>
      <c r="C119" s="50">
        <v>4</v>
      </c>
      <c r="D119" s="50" t="s">
        <v>1149</v>
      </c>
      <c r="E119" s="50">
        <v>800</v>
      </c>
      <c r="F119" s="50">
        <v>5</v>
      </c>
      <c r="G119" s="50">
        <v>3040</v>
      </c>
    </row>
    <row r="120" spans="1:7" ht="16.5" x14ac:dyDescent="0.25">
      <c r="A120" s="50">
        <v>119</v>
      </c>
      <c r="B120" s="50" t="s">
        <v>1382</v>
      </c>
      <c r="C120" s="50">
        <v>7</v>
      </c>
      <c r="D120" s="50" t="s">
        <v>1229</v>
      </c>
      <c r="E120" s="50">
        <v>1500</v>
      </c>
      <c r="F120" s="50">
        <v>0</v>
      </c>
      <c r="G120" s="50">
        <v>10500</v>
      </c>
    </row>
    <row r="121" spans="1:7" ht="16.5" x14ac:dyDescent="0.25">
      <c r="A121" s="50">
        <v>120</v>
      </c>
      <c r="B121" s="50" t="s">
        <v>1384</v>
      </c>
      <c r="C121" s="50">
        <v>12</v>
      </c>
      <c r="D121" s="50" t="s">
        <v>1158</v>
      </c>
      <c r="E121" s="50">
        <v>1500</v>
      </c>
      <c r="F121" s="50">
        <v>15</v>
      </c>
      <c r="G121" s="50">
        <v>15300</v>
      </c>
    </row>
    <row r="122" spans="1:7" ht="16.5" x14ac:dyDescent="0.25">
      <c r="A122" s="50">
        <v>121</v>
      </c>
      <c r="B122" s="50" t="s">
        <v>1385</v>
      </c>
      <c r="C122" s="50">
        <v>17</v>
      </c>
      <c r="D122" s="50" t="s">
        <v>1166</v>
      </c>
      <c r="E122" s="50">
        <v>1500</v>
      </c>
      <c r="F122" s="50">
        <v>10</v>
      </c>
      <c r="G122" s="50">
        <v>22950</v>
      </c>
    </row>
    <row r="123" spans="1:7" ht="16.5" x14ac:dyDescent="0.25">
      <c r="A123" s="50">
        <v>122</v>
      </c>
      <c r="B123" s="50" t="s">
        <v>1387</v>
      </c>
      <c r="C123" s="50">
        <v>19</v>
      </c>
      <c r="D123" s="50" t="s">
        <v>1174</v>
      </c>
      <c r="E123" s="50">
        <v>1500</v>
      </c>
      <c r="F123" s="50">
        <v>15</v>
      </c>
      <c r="G123" s="50">
        <v>24225</v>
      </c>
    </row>
    <row r="124" spans="1:7" ht="16.5" x14ac:dyDescent="0.25">
      <c r="A124" s="50">
        <v>123</v>
      </c>
      <c r="B124" s="50" t="s">
        <v>1389</v>
      </c>
      <c r="C124" s="50">
        <v>13</v>
      </c>
      <c r="D124" s="50" t="s">
        <v>1229</v>
      </c>
      <c r="E124" s="50">
        <v>1500</v>
      </c>
      <c r="F124" s="50">
        <v>10</v>
      </c>
      <c r="G124" s="50">
        <v>17550</v>
      </c>
    </row>
    <row r="125" spans="1:7" ht="16.5" x14ac:dyDescent="0.25">
      <c r="A125" s="50">
        <v>124</v>
      </c>
      <c r="B125" s="50" t="s">
        <v>1391</v>
      </c>
      <c r="C125" s="50">
        <v>14</v>
      </c>
      <c r="D125" s="50" t="s">
        <v>1174</v>
      </c>
      <c r="E125" s="50">
        <v>1500</v>
      </c>
      <c r="F125" s="50">
        <v>5</v>
      </c>
      <c r="G125" s="50">
        <v>19950</v>
      </c>
    </row>
    <row r="126" spans="1:7" ht="16.5" x14ac:dyDescent="0.25">
      <c r="A126" s="50">
        <v>125</v>
      </c>
      <c r="B126" s="50" t="s">
        <v>1393</v>
      </c>
      <c r="C126" s="50">
        <v>18</v>
      </c>
      <c r="D126" s="50" t="s">
        <v>1187</v>
      </c>
      <c r="E126" s="50">
        <v>1200</v>
      </c>
      <c r="F126" s="50">
        <v>5</v>
      </c>
      <c r="G126" s="50">
        <v>20520</v>
      </c>
    </row>
    <row r="127" spans="1:7" ht="16.5" x14ac:dyDescent="0.25">
      <c r="A127" s="50">
        <v>126</v>
      </c>
      <c r="B127" s="50" t="s">
        <v>1395</v>
      </c>
      <c r="C127" s="50">
        <v>12</v>
      </c>
      <c r="D127" s="50" t="s">
        <v>1143</v>
      </c>
      <c r="E127" s="50">
        <v>800</v>
      </c>
      <c r="F127" s="50">
        <v>10</v>
      </c>
      <c r="G127" s="50">
        <v>8640</v>
      </c>
    </row>
    <row r="128" spans="1:7" ht="16.5" x14ac:dyDescent="0.25">
      <c r="A128" s="50">
        <v>127</v>
      </c>
      <c r="B128" s="50" t="s">
        <v>1397</v>
      </c>
      <c r="C128" s="50">
        <v>19</v>
      </c>
      <c r="D128" s="50" t="s">
        <v>1152</v>
      </c>
      <c r="E128" s="50">
        <v>800</v>
      </c>
      <c r="F128" s="50">
        <v>0</v>
      </c>
      <c r="G128" s="50">
        <v>15200</v>
      </c>
    </row>
    <row r="129" spans="1:7" ht="16.5" x14ac:dyDescent="0.25">
      <c r="A129" s="50">
        <v>128</v>
      </c>
      <c r="B129" s="50" t="s">
        <v>1398</v>
      </c>
      <c r="C129" s="50">
        <v>16</v>
      </c>
      <c r="D129" s="50" t="s">
        <v>1174</v>
      </c>
      <c r="E129" s="50">
        <v>1500</v>
      </c>
      <c r="F129" s="50">
        <v>10</v>
      </c>
      <c r="G129" s="50">
        <v>21600</v>
      </c>
    </row>
    <row r="130" spans="1:7" ht="16.5" x14ac:dyDescent="0.25">
      <c r="A130" s="50">
        <v>129</v>
      </c>
      <c r="B130" s="50" t="s">
        <v>1400</v>
      </c>
      <c r="C130" s="50">
        <v>5</v>
      </c>
      <c r="D130" s="50" t="s">
        <v>1187</v>
      </c>
      <c r="E130" s="50">
        <v>1500</v>
      </c>
      <c r="F130" s="50">
        <v>5</v>
      </c>
      <c r="G130" s="50">
        <v>7125</v>
      </c>
    </row>
    <row r="131" spans="1:7" ht="16.5" x14ac:dyDescent="0.25">
      <c r="A131" s="50">
        <v>130</v>
      </c>
      <c r="B131" s="50" t="s">
        <v>1402</v>
      </c>
      <c r="C131" s="50">
        <v>13</v>
      </c>
      <c r="D131" s="50" t="s">
        <v>1155</v>
      </c>
      <c r="E131" s="50">
        <v>1200</v>
      </c>
      <c r="F131" s="50">
        <v>0</v>
      </c>
      <c r="G131" s="50">
        <v>15600</v>
      </c>
    </row>
    <row r="132" spans="1:7" ht="16.5" x14ac:dyDescent="0.25">
      <c r="A132" s="50">
        <v>131</v>
      </c>
      <c r="B132" s="50" t="s">
        <v>1403</v>
      </c>
      <c r="C132" s="50">
        <v>13</v>
      </c>
      <c r="D132" s="50" t="s">
        <v>1161</v>
      </c>
      <c r="E132" s="50">
        <v>800</v>
      </c>
      <c r="F132" s="50">
        <v>5</v>
      </c>
      <c r="G132" s="50">
        <v>9880</v>
      </c>
    </row>
    <row r="133" spans="1:7" ht="16.5" x14ac:dyDescent="0.25">
      <c r="A133" s="50">
        <v>132</v>
      </c>
      <c r="B133" s="50" t="s">
        <v>1405</v>
      </c>
      <c r="C133" s="50">
        <v>8</v>
      </c>
      <c r="D133" s="50" t="s">
        <v>1143</v>
      </c>
      <c r="E133" s="50">
        <v>1500</v>
      </c>
      <c r="F133" s="50">
        <v>10</v>
      </c>
      <c r="G133" s="50">
        <v>10800</v>
      </c>
    </row>
    <row r="134" spans="1:7" ht="16.5" x14ac:dyDescent="0.25">
      <c r="A134" s="50">
        <v>133</v>
      </c>
      <c r="B134" s="50" t="s">
        <v>1407</v>
      </c>
      <c r="C134" s="50">
        <v>1</v>
      </c>
      <c r="D134" s="50" t="s">
        <v>1262</v>
      </c>
      <c r="E134" s="50">
        <v>1500</v>
      </c>
      <c r="F134" s="50">
        <v>0</v>
      </c>
      <c r="G134" s="50">
        <v>1500</v>
      </c>
    </row>
    <row r="135" spans="1:7" ht="16.5" x14ac:dyDescent="0.25">
      <c r="A135" s="50">
        <v>134</v>
      </c>
      <c r="B135" s="50" t="s">
        <v>1409</v>
      </c>
      <c r="C135" s="50">
        <v>17</v>
      </c>
      <c r="D135" s="50" t="s">
        <v>1171</v>
      </c>
      <c r="E135" s="50">
        <v>1500</v>
      </c>
      <c r="F135" s="50">
        <v>0</v>
      </c>
      <c r="G135" s="50">
        <v>25500</v>
      </c>
    </row>
    <row r="136" spans="1:7" ht="16.5" x14ac:dyDescent="0.25">
      <c r="A136" s="50">
        <v>135</v>
      </c>
      <c r="B136" s="50" t="s">
        <v>1411</v>
      </c>
      <c r="C136" s="50">
        <v>17</v>
      </c>
      <c r="D136" s="50" t="s">
        <v>1137</v>
      </c>
      <c r="E136" s="50">
        <v>800</v>
      </c>
      <c r="F136" s="50">
        <v>0</v>
      </c>
      <c r="G136" s="50">
        <v>13600</v>
      </c>
    </row>
    <row r="137" spans="1:7" ht="16.5" x14ac:dyDescent="0.25">
      <c r="A137" s="50">
        <v>136</v>
      </c>
      <c r="B137" s="50" t="s">
        <v>1413</v>
      </c>
      <c r="C137" s="50">
        <v>16</v>
      </c>
      <c r="D137" s="50" t="s">
        <v>1146</v>
      </c>
      <c r="E137" s="50">
        <v>1500</v>
      </c>
      <c r="F137" s="50">
        <v>10</v>
      </c>
      <c r="G137" s="50">
        <v>21600</v>
      </c>
    </row>
    <row r="138" spans="1:7" ht="16.5" x14ac:dyDescent="0.25">
      <c r="A138" s="50">
        <v>137</v>
      </c>
      <c r="B138" s="50" t="s">
        <v>1415</v>
      </c>
      <c r="C138" s="50">
        <v>11</v>
      </c>
      <c r="D138" s="50" t="s">
        <v>1174</v>
      </c>
      <c r="E138" s="50">
        <v>1500</v>
      </c>
      <c r="F138" s="50">
        <v>10</v>
      </c>
      <c r="G138" s="50">
        <v>14850</v>
      </c>
    </row>
    <row r="139" spans="1:7" ht="16.5" x14ac:dyDescent="0.25">
      <c r="A139" s="50">
        <v>138</v>
      </c>
      <c r="B139" s="50" t="s">
        <v>1417</v>
      </c>
      <c r="C139" s="50">
        <v>9</v>
      </c>
      <c r="D139" s="50" t="s">
        <v>1161</v>
      </c>
      <c r="E139" s="50">
        <v>1500</v>
      </c>
      <c r="F139" s="50">
        <v>15</v>
      </c>
      <c r="G139" s="50">
        <v>11475</v>
      </c>
    </row>
    <row r="140" spans="1:7" ht="16.5" x14ac:dyDescent="0.25">
      <c r="A140" s="50">
        <v>139</v>
      </c>
      <c r="B140" s="50" t="s">
        <v>1419</v>
      </c>
      <c r="C140" s="50">
        <v>10</v>
      </c>
      <c r="D140" s="50" t="s">
        <v>1149</v>
      </c>
      <c r="E140" s="50">
        <v>1200</v>
      </c>
      <c r="F140" s="50">
        <v>15</v>
      </c>
      <c r="G140" s="50">
        <v>10200</v>
      </c>
    </row>
    <row r="141" spans="1:7" ht="16.5" x14ac:dyDescent="0.25">
      <c r="A141" s="50">
        <v>140</v>
      </c>
      <c r="B141" s="50" t="s">
        <v>1420</v>
      </c>
      <c r="C141" s="50">
        <v>5</v>
      </c>
      <c r="D141" s="50" t="s">
        <v>1171</v>
      </c>
      <c r="E141" s="50">
        <v>800</v>
      </c>
      <c r="F141" s="50">
        <v>10</v>
      </c>
      <c r="G141" s="50">
        <v>3600</v>
      </c>
    </row>
    <row r="142" spans="1:7" ht="16.5" x14ac:dyDescent="0.25">
      <c r="A142" s="50">
        <v>141</v>
      </c>
      <c r="B142" s="50" t="s">
        <v>1422</v>
      </c>
      <c r="C142" s="50">
        <v>15</v>
      </c>
      <c r="D142" s="50" t="s">
        <v>1155</v>
      </c>
      <c r="E142" s="50">
        <v>1200</v>
      </c>
      <c r="F142" s="50">
        <v>10</v>
      </c>
      <c r="G142" s="50">
        <v>16200</v>
      </c>
    </row>
    <row r="143" spans="1:7" ht="16.5" x14ac:dyDescent="0.25">
      <c r="A143" s="50">
        <v>142</v>
      </c>
      <c r="B143" s="50" t="s">
        <v>1424</v>
      </c>
      <c r="C143" s="50">
        <v>16</v>
      </c>
      <c r="D143" s="50" t="s">
        <v>1218</v>
      </c>
      <c r="E143" s="50">
        <v>1500</v>
      </c>
      <c r="F143" s="50">
        <v>15</v>
      </c>
      <c r="G143" s="50">
        <v>20400</v>
      </c>
    </row>
    <row r="144" spans="1:7" ht="16.5" x14ac:dyDescent="0.25">
      <c r="A144" s="50">
        <v>143</v>
      </c>
      <c r="B144" s="50" t="s">
        <v>1425</v>
      </c>
      <c r="C144" s="50">
        <v>5</v>
      </c>
      <c r="D144" s="50" t="s">
        <v>1158</v>
      </c>
      <c r="E144" s="50">
        <v>1500</v>
      </c>
      <c r="F144" s="50">
        <v>15</v>
      </c>
      <c r="G144" s="50">
        <v>6375</v>
      </c>
    </row>
    <row r="145" spans="1:7" ht="16.5" x14ac:dyDescent="0.25">
      <c r="A145" s="50">
        <v>144</v>
      </c>
      <c r="B145" s="50" t="s">
        <v>1427</v>
      </c>
      <c r="C145" s="50">
        <v>12</v>
      </c>
      <c r="D145" s="50" t="s">
        <v>1198</v>
      </c>
      <c r="E145" s="50">
        <v>1500</v>
      </c>
      <c r="F145" s="50">
        <v>15</v>
      </c>
      <c r="G145" s="50">
        <v>15300</v>
      </c>
    </row>
    <row r="146" spans="1:7" ht="16.5" x14ac:dyDescent="0.25">
      <c r="A146" s="50">
        <v>145</v>
      </c>
      <c r="B146" s="50" t="s">
        <v>1428</v>
      </c>
      <c r="C146" s="50">
        <v>2</v>
      </c>
      <c r="D146" s="50" t="s">
        <v>1161</v>
      </c>
      <c r="E146" s="50">
        <v>1200</v>
      </c>
      <c r="F146" s="50">
        <v>15</v>
      </c>
      <c r="G146" s="50">
        <v>2040</v>
      </c>
    </row>
    <row r="147" spans="1:7" ht="16.5" x14ac:dyDescent="0.25">
      <c r="A147" s="50">
        <v>146</v>
      </c>
      <c r="B147" s="50" t="s">
        <v>1430</v>
      </c>
      <c r="C147" s="50">
        <v>15</v>
      </c>
      <c r="D147" s="50" t="s">
        <v>1155</v>
      </c>
      <c r="E147" s="50">
        <v>1500</v>
      </c>
      <c r="F147" s="50">
        <v>15</v>
      </c>
      <c r="G147" s="50">
        <v>19125</v>
      </c>
    </row>
    <row r="148" spans="1:7" ht="16.5" x14ac:dyDescent="0.25">
      <c r="A148" s="50">
        <v>147</v>
      </c>
      <c r="B148" s="50" t="s">
        <v>1431</v>
      </c>
      <c r="C148" s="50">
        <v>4</v>
      </c>
      <c r="D148" s="50" t="s">
        <v>1192</v>
      </c>
      <c r="E148" s="50">
        <v>800</v>
      </c>
      <c r="F148" s="50">
        <v>10</v>
      </c>
      <c r="G148" s="50">
        <v>2880</v>
      </c>
    </row>
    <row r="149" spans="1:7" ht="16.5" x14ac:dyDescent="0.25">
      <c r="A149" s="50">
        <v>148</v>
      </c>
      <c r="B149" s="50" t="s">
        <v>1433</v>
      </c>
      <c r="C149" s="50">
        <v>7</v>
      </c>
      <c r="D149" s="50" t="s">
        <v>1171</v>
      </c>
      <c r="E149" s="50">
        <v>1200</v>
      </c>
      <c r="F149" s="50">
        <v>10</v>
      </c>
      <c r="G149" s="50">
        <v>7560</v>
      </c>
    </row>
    <row r="150" spans="1:7" ht="16.5" x14ac:dyDescent="0.25">
      <c r="A150" s="50">
        <v>149</v>
      </c>
      <c r="B150" s="50" t="s">
        <v>1435</v>
      </c>
      <c r="C150" s="50">
        <v>1</v>
      </c>
      <c r="D150" s="50" t="s">
        <v>1262</v>
      </c>
      <c r="E150" s="50">
        <v>1200</v>
      </c>
      <c r="F150" s="50">
        <v>15</v>
      </c>
      <c r="G150" s="50">
        <v>1020</v>
      </c>
    </row>
    <row r="151" spans="1:7" ht="16.5" x14ac:dyDescent="0.25">
      <c r="A151" s="50">
        <v>150</v>
      </c>
      <c r="B151" s="50" t="s">
        <v>1437</v>
      </c>
      <c r="C151" s="50">
        <v>20</v>
      </c>
      <c r="D151" s="50" t="s">
        <v>1140</v>
      </c>
      <c r="E151" s="50">
        <v>1200</v>
      </c>
      <c r="F151" s="50">
        <v>10</v>
      </c>
      <c r="G151" s="50">
        <v>21600</v>
      </c>
    </row>
    <row r="152" spans="1:7" ht="16.5" x14ac:dyDescent="0.25">
      <c r="A152" s="50">
        <v>151</v>
      </c>
      <c r="B152" s="50" t="s">
        <v>1439</v>
      </c>
      <c r="C152" s="50">
        <v>17</v>
      </c>
      <c r="D152" s="50" t="s">
        <v>1198</v>
      </c>
      <c r="E152" s="50">
        <v>1200</v>
      </c>
      <c r="F152" s="50">
        <v>0</v>
      </c>
      <c r="G152" s="50">
        <v>20400</v>
      </c>
    </row>
    <row r="153" spans="1:7" ht="16.5" x14ac:dyDescent="0.25">
      <c r="A153" s="50">
        <v>152</v>
      </c>
      <c r="B153" s="50" t="s">
        <v>1441</v>
      </c>
      <c r="C153" s="50">
        <v>18</v>
      </c>
      <c r="D153" s="50" t="s">
        <v>1174</v>
      </c>
      <c r="E153" s="50">
        <v>1200</v>
      </c>
      <c r="F153" s="50">
        <v>5</v>
      </c>
      <c r="G153" s="50">
        <v>20520</v>
      </c>
    </row>
    <row r="154" spans="1:7" ht="16.5" x14ac:dyDescent="0.25">
      <c r="A154" s="50">
        <v>153</v>
      </c>
      <c r="B154" s="50" t="s">
        <v>1443</v>
      </c>
      <c r="C154" s="50">
        <v>1</v>
      </c>
      <c r="D154" s="50" t="s">
        <v>1198</v>
      </c>
      <c r="E154" s="50">
        <v>800</v>
      </c>
      <c r="F154" s="50">
        <v>5</v>
      </c>
      <c r="G154" s="50">
        <v>760</v>
      </c>
    </row>
    <row r="155" spans="1:7" ht="16.5" x14ac:dyDescent="0.25">
      <c r="A155" s="50">
        <v>154</v>
      </c>
      <c r="B155" s="50" t="s">
        <v>1445</v>
      </c>
      <c r="C155" s="50">
        <v>16</v>
      </c>
      <c r="D155" s="50" t="s">
        <v>1143</v>
      </c>
      <c r="E155" s="50">
        <v>800</v>
      </c>
      <c r="F155" s="50">
        <v>5</v>
      </c>
      <c r="G155" s="50">
        <v>12160</v>
      </c>
    </row>
    <row r="156" spans="1:7" ht="16.5" x14ac:dyDescent="0.25">
      <c r="A156" s="50">
        <v>155</v>
      </c>
      <c r="B156" s="50" t="s">
        <v>1447</v>
      </c>
      <c r="C156" s="50">
        <v>5</v>
      </c>
      <c r="D156" s="50" t="s">
        <v>1218</v>
      </c>
      <c r="E156" s="50">
        <v>800</v>
      </c>
      <c r="F156" s="50">
        <v>15</v>
      </c>
      <c r="G156" s="50">
        <v>3400</v>
      </c>
    </row>
    <row r="157" spans="1:7" ht="16.5" x14ac:dyDescent="0.25">
      <c r="A157" s="50">
        <v>156</v>
      </c>
      <c r="B157" s="50" t="s">
        <v>1449</v>
      </c>
      <c r="C157" s="50">
        <v>2</v>
      </c>
      <c r="D157" s="50" t="s">
        <v>1240</v>
      </c>
      <c r="E157" s="50">
        <v>1200</v>
      </c>
      <c r="F157" s="50">
        <v>10</v>
      </c>
      <c r="G157" s="50">
        <v>2160</v>
      </c>
    </row>
    <row r="158" spans="1:7" ht="16.5" x14ac:dyDescent="0.25">
      <c r="A158" s="50">
        <v>157</v>
      </c>
      <c r="B158" s="50" t="s">
        <v>1451</v>
      </c>
      <c r="C158" s="50">
        <v>19</v>
      </c>
      <c r="D158" s="50" t="s">
        <v>1140</v>
      </c>
      <c r="E158" s="50">
        <v>1500</v>
      </c>
      <c r="F158" s="50">
        <v>10</v>
      </c>
      <c r="G158" s="50">
        <v>25650</v>
      </c>
    </row>
    <row r="159" spans="1:7" ht="16.5" x14ac:dyDescent="0.25">
      <c r="A159" s="50">
        <v>158</v>
      </c>
      <c r="B159" s="50" t="s">
        <v>1452</v>
      </c>
      <c r="C159" s="50">
        <v>20</v>
      </c>
      <c r="D159" s="50" t="s">
        <v>1229</v>
      </c>
      <c r="E159" s="50">
        <v>1500</v>
      </c>
      <c r="F159" s="50">
        <v>15</v>
      </c>
      <c r="G159" s="50">
        <v>25500</v>
      </c>
    </row>
    <row r="160" spans="1:7" ht="16.5" x14ac:dyDescent="0.25">
      <c r="A160" s="50">
        <v>159</v>
      </c>
      <c r="B160" s="50" t="s">
        <v>1454</v>
      </c>
      <c r="C160" s="50">
        <v>10</v>
      </c>
      <c r="D160" s="50" t="s">
        <v>1140</v>
      </c>
      <c r="E160" s="50">
        <v>1500</v>
      </c>
      <c r="F160" s="50">
        <v>10</v>
      </c>
      <c r="G160" s="50">
        <v>13500</v>
      </c>
    </row>
    <row r="161" spans="1:7" ht="16.5" x14ac:dyDescent="0.25">
      <c r="A161" s="50">
        <v>160</v>
      </c>
      <c r="B161" s="50" t="s">
        <v>1456</v>
      </c>
      <c r="C161" s="50">
        <v>9</v>
      </c>
      <c r="D161" s="50" t="s">
        <v>1137</v>
      </c>
      <c r="E161" s="50">
        <v>800</v>
      </c>
      <c r="F161" s="50">
        <v>0</v>
      </c>
      <c r="G161" s="50">
        <v>7200</v>
      </c>
    </row>
    <row r="162" spans="1:7" ht="16.5" x14ac:dyDescent="0.25">
      <c r="A162" s="50">
        <v>161</v>
      </c>
      <c r="B162" s="50" t="s">
        <v>1458</v>
      </c>
      <c r="C162" s="50">
        <v>8</v>
      </c>
      <c r="D162" s="50" t="s">
        <v>1240</v>
      </c>
      <c r="E162" s="50">
        <v>1200</v>
      </c>
      <c r="F162" s="50">
        <v>5</v>
      </c>
      <c r="G162" s="50">
        <v>9120</v>
      </c>
    </row>
    <row r="163" spans="1:7" ht="16.5" x14ac:dyDescent="0.25">
      <c r="A163" s="50">
        <v>162</v>
      </c>
      <c r="B163" s="50" t="s">
        <v>1459</v>
      </c>
      <c r="C163" s="50">
        <v>19</v>
      </c>
      <c r="D163" s="50" t="s">
        <v>1229</v>
      </c>
      <c r="E163" s="50">
        <v>1500</v>
      </c>
      <c r="F163" s="50">
        <v>10</v>
      </c>
      <c r="G163" s="50">
        <v>25650</v>
      </c>
    </row>
    <row r="164" spans="1:7" ht="16.5" x14ac:dyDescent="0.25">
      <c r="A164" s="50">
        <v>163</v>
      </c>
      <c r="B164" s="50" t="s">
        <v>1460</v>
      </c>
      <c r="C164" s="50">
        <v>16</v>
      </c>
      <c r="D164" s="50" t="s">
        <v>1201</v>
      </c>
      <c r="E164" s="50">
        <v>1500</v>
      </c>
      <c r="F164" s="50">
        <v>15</v>
      </c>
      <c r="G164" s="50">
        <v>20400</v>
      </c>
    </row>
    <row r="165" spans="1:7" ht="16.5" x14ac:dyDescent="0.25">
      <c r="A165" s="50">
        <v>164</v>
      </c>
      <c r="B165" s="50" t="s">
        <v>1462</v>
      </c>
      <c r="C165" s="50">
        <v>14</v>
      </c>
      <c r="D165" s="50" t="s">
        <v>1152</v>
      </c>
      <c r="E165" s="50">
        <v>1500</v>
      </c>
      <c r="F165" s="50">
        <v>10</v>
      </c>
      <c r="G165" s="50">
        <v>18900</v>
      </c>
    </row>
    <row r="166" spans="1:7" ht="16.5" x14ac:dyDescent="0.25">
      <c r="A166" s="50">
        <v>165</v>
      </c>
      <c r="B166" s="50" t="s">
        <v>1464</v>
      </c>
      <c r="C166" s="50">
        <v>11</v>
      </c>
      <c r="D166" s="50" t="s">
        <v>1192</v>
      </c>
      <c r="E166" s="50">
        <v>1500</v>
      </c>
      <c r="F166" s="50">
        <v>10</v>
      </c>
      <c r="G166" s="50">
        <v>14850</v>
      </c>
    </row>
    <row r="167" spans="1:7" ht="16.5" x14ac:dyDescent="0.25">
      <c r="A167" s="50">
        <v>166</v>
      </c>
      <c r="B167" s="50" t="s">
        <v>1466</v>
      </c>
      <c r="C167" s="50">
        <v>10</v>
      </c>
      <c r="D167" s="50" t="s">
        <v>1143</v>
      </c>
      <c r="E167" s="50">
        <v>1500</v>
      </c>
      <c r="F167" s="50">
        <v>0</v>
      </c>
      <c r="G167" s="50">
        <v>15000</v>
      </c>
    </row>
    <row r="168" spans="1:7" ht="16.5" x14ac:dyDescent="0.25">
      <c r="A168" s="50">
        <v>167</v>
      </c>
      <c r="B168" s="50" t="s">
        <v>1468</v>
      </c>
      <c r="C168" s="50">
        <v>2</v>
      </c>
      <c r="D168" s="50" t="s">
        <v>1137</v>
      </c>
      <c r="E168" s="50">
        <v>1500</v>
      </c>
      <c r="F168" s="50">
        <v>15</v>
      </c>
      <c r="G168" s="50">
        <v>2550</v>
      </c>
    </row>
    <row r="169" spans="1:7" ht="16.5" x14ac:dyDescent="0.25">
      <c r="A169" s="50">
        <v>168</v>
      </c>
      <c r="B169" s="50" t="s">
        <v>1469</v>
      </c>
      <c r="C169" s="50">
        <v>3</v>
      </c>
      <c r="D169" s="50" t="s">
        <v>1146</v>
      </c>
      <c r="E169" s="50">
        <v>1200</v>
      </c>
      <c r="F169" s="50">
        <v>0</v>
      </c>
      <c r="G169" s="50">
        <v>3600</v>
      </c>
    </row>
    <row r="170" spans="1:7" ht="16.5" x14ac:dyDescent="0.25">
      <c r="A170" s="50">
        <v>169</v>
      </c>
      <c r="B170" s="50" t="s">
        <v>1471</v>
      </c>
      <c r="C170" s="50">
        <v>12</v>
      </c>
      <c r="D170" s="50" t="s">
        <v>1158</v>
      </c>
      <c r="E170" s="50">
        <v>1200</v>
      </c>
      <c r="F170" s="50">
        <v>15</v>
      </c>
      <c r="G170" s="50">
        <v>12240</v>
      </c>
    </row>
    <row r="171" spans="1:7" ht="16.5" x14ac:dyDescent="0.25">
      <c r="A171" s="50">
        <v>170</v>
      </c>
      <c r="B171" s="50" t="s">
        <v>1473</v>
      </c>
      <c r="C171" s="50">
        <v>18</v>
      </c>
      <c r="D171" s="50" t="s">
        <v>1229</v>
      </c>
      <c r="E171" s="50">
        <v>800</v>
      </c>
      <c r="F171" s="50">
        <v>15</v>
      </c>
      <c r="G171" s="50">
        <v>12240</v>
      </c>
    </row>
    <row r="172" spans="1:7" ht="16.5" x14ac:dyDescent="0.25">
      <c r="A172" s="50">
        <v>171</v>
      </c>
      <c r="B172" s="50" t="s">
        <v>1475</v>
      </c>
      <c r="C172" s="50">
        <v>5</v>
      </c>
      <c r="D172" s="50" t="s">
        <v>1152</v>
      </c>
      <c r="E172" s="50">
        <v>800</v>
      </c>
      <c r="F172" s="50">
        <v>5</v>
      </c>
      <c r="G172" s="50">
        <v>3800</v>
      </c>
    </row>
    <row r="173" spans="1:7" ht="16.5" x14ac:dyDescent="0.25">
      <c r="A173" s="50">
        <v>172</v>
      </c>
      <c r="B173" s="50" t="s">
        <v>1477</v>
      </c>
      <c r="C173" s="50">
        <v>4</v>
      </c>
      <c r="D173" s="50" t="s">
        <v>1218</v>
      </c>
      <c r="E173" s="50">
        <v>1500</v>
      </c>
      <c r="F173" s="50">
        <v>0</v>
      </c>
      <c r="G173" s="50">
        <v>6000</v>
      </c>
    </row>
    <row r="174" spans="1:7" ht="16.5" x14ac:dyDescent="0.25">
      <c r="A174" s="50">
        <v>173</v>
      </c>
      <c r="B174" s="50" t="s">
        <v>1479</v>
      </c>
      <c r="C174" s="50">
        <v>6</v>
      </c>
      <c r="D174" s="50" t="s">
        <v>1137</v>
      </c>
      <c r="E174" s="50">
        <v>1500</v>
      </c>
      <c r="F174" s="50">
        <v>15</v>
      </c>
      <c r="G174" s="50">
        <v>7650</v>
      </c>
    </row>
    <row r="175" spans="1:7" ht="16.5" x14ac:dyDescent="0.25">
      <c r="A175" s="50">
        <v>174</v>
      </c>
      <c r="B175" s="50" t="s">
        <v>1480</v>
      </c>
      <c r="C175" s="50">
        <v>15</v>
      </c>
      <c r="D175" s="50" t="s">
        <v>1137</v>
      </c>
      <c r="E175" s="50">
        <v>1500</v>
      </c>
      <c r="F175" s="50">
        <v>10</v>
      </c>
      <c r="G175" s="50">
        <v>20250</v>
      </c>
    </row>
    <row r="176" spans="1:7" ht="16.5" x14ac:dyDescent="0.25">
      <c r="A176" s="50">
        <v>175</v>
      </c>
      <c r="B176" s="50" t="s">
        <v>1481</v>
      </c>
      <c r="C176" s="50">
        <v>5</v>
      </c>
      <c r="D176" s="50" t="s">
        <v>1218</v>
      </c>
      <c r="E176" s="50">
        <v>1200</v>
      </c>
      <c r="F176" s="50">
        <v>5</v>
      </c>
      <c r="G176" s="50">
        <v>5700</v>
      </c>
    </row>
    <row r="177" spans="1:7" ht="16.5" x14ac:dyDescent="0.25">
      <c r="A177" s="50">
        <v>176</v>
      </c>
      <c r="B177" s="50" t="s">
        <v>1483</v>
      </c>
      <c r="C177" s="50">
        <v>2</v>
      </c>
      <c r="D177" s="50" t="s">
        <v>1161</v>
      </c>
      <c r="E177" s="50">
        <v>800</v>
      </c>
      <c r="F177" s="50">
        <v>15</v>
      </c>
      <c r="G177" s="50">
        <v>1360</v>
      </c>
    </row>
    <row r="178" spans="1:7" ht="16.5" x14ac:dyDescent="0.25">
      <c r="A178" s="50">
        <v>177</v>
      </c>
      <c r="B178" s="50" t="s">
        <v>1485</v>
      </c>
      <c r="C178" s="50">
        <v>3</v>
      </c>
      <c r="D178" s="50" t="s">
        <v>1229</v>
      </c>
      <c r="E178" s="50">
        <v>1200</v>
      </c>
      <c r="F178" s="50">
        <v>0</v>
      </c>
      <c r="G178" s="50">
        <v>3600</v>
      </c>
    </row>
    <row r="179" spans="1:7" ht="16.5" x14ac:dyDescent="0.25">
      <c r="A179" s="50">
        <v>178</v>
      </c>
      <c r="B179" s="50" t="s">
        <v>1487</v>
      </c>
      <c r="C179" s="50">
        <v>7</v>
      </c>
      <c r="D179" s="50" t="s">
        <v>1149</v>
      </c>
      <c r="E179" s="50">
        <v>1500</v>
      </c>
      <c r="F179" s="50">
        <v>5</v>
      </c>
      <c r="G179" s="50">
        <v>9975</v>
      </c>
    </row>
    <row r="180" spans="1:7" ht="16.5" x14ac:dyDescent="0.25">
      <c r="A180" s="50">
        <v>179</v>
      </c>
      <c r="B180" s="50" t="s">
        <v>1489</v>
      </c>
      <c r="C180" s="50">
        <v>9</v>
      </c>
      <c r="D180" s="50" t="s">
        <v>1187</v>
      </c>
      <c r="E180" s="50">
        <v>800</v>
      </c>
      <c r="F180" s="50">
        <v>15</v>
      </c>
      <c r="G180" s="50">
        <v>6120</v>
      </c>
    </row>
    <row r="181" spans="1:7" ht="16.5" x14ac:dyDescent="0.25">
      <c r="A181" s="50">
        <v>180</v>
      </c>
      <c r="B181" s="50" t="s">
        <v>1491</v>
      </c>
      <c r="C181" s="50">
        <v>13</v>
      </c>
      <c r="D181" s="50" t="s">
        <v>1152</v>
      </c>
      <c r="E181" s="50">
        <v>1500</v>
      </c>
      <c r="F181" s="50">
        <v>15</v>
      </c>
      <c r="G181" s="50">
        <v>16575</v>
      </c>
    </row>
    <row r="182" spans="1:7" ht="16.5" x14ac:dyDescent="0.25">
      <c r="A182" s="50">
        <v>181</v>
      </c>
      <c r="B182" s="50" t="s">
        <v>1492</v>
      </c>
      <c r="C182" s="50">
        <v>11</v>
      </c>
      <c r="D182" s="50" t="s">
        <v>1174</v>
      </c>
      <c r="E182" s="50">
        <v>1200</v>
      </c>
      <c r="F182" s="50">
        <v>15</v>
      </c>
      <c r="G182" s="50">
        <v>11220</v>
      </c>
    </row>
    <row r="183" spans="1:7" ht="16.5" x14ac:dyDescent="0.25">
      <c r="A183" s="50">
        <v>182</v>
      </c>
      <c r="B183" s="50" t="s">
        <v>1494</v>
      </c>
      <c r="C183" s="50">
        <v>15</v>
      </c>
      <c r="D183" s="50" t="s">
        <v>1143</v>
      </c>
      <c r="E183" s="50">
        <v>1500</v>
      </c>
      <c r="F183" s="50">
        <v>10</v>
      </c>
      <c r="G183" s="50">
        <v>20250</v>
      </c>
    </row>
    <row r="184" spans="1:7" ht="16.5" x14ac:dyDescent="0.25">
      <c r="A184" s="50">
        <v>183</v>
      </c>
      <c r="B184" s="50" t="s">
        <v>1495</v>
      </c>
      <c r="C184" s="50">
        <v>15</v>
      </c>
      <c r="D184" s="50" t="s">
        <v>1149</v>
      </c>
      <c r="E184" s="50">
        <v>1200</v>
      </c>
      <c r="F184" s="50">
        <v>0</v>
      </c>
      <c r="G184" s="50">
        <v>18000</v>
      </c>
    </row>
    <row r="185" spans="1:7" ht="16.5" x14ac:dyDescent="0.25">
      <c r="A185" s="50">
        <v>184</v>
      </c>
      <c r="B185" s="50" t="s">
        <v>1497</v>
      </c>
      <c r="C185" s="50">
        <v>10</v>
      </c>
      <c r="D185" s="50" t="s">
        <v>1262</v>
      </c>
      <c r="E185" s="50">
        <v>1500</v>
      </c>
      <c r="F185" s="50">
        <v>0</v>
      </c>
      <c r="G185" s="50">
        <v>15000</v>
      </c>
    </row>
    <row r="186" spans="1:7" ht="16.5" x14ac:dyDescent="0.25">
      <c r="A186" s="50">
        <v>185</v>
      </c>
      <c r="B186" s="50" t="s">
        <v>1498</v>
      </c>
      <c r="C186" s="50">
        <v>8</v>
      </c>
      <c r="D186" s="50" t="s">
        <v>1198</v>
      </c>
      <c r="E186" s="50">
        <v>800</v>
      </c>
      <c r="F186" s="50">
        <v>5</v>
      </c>
      <c r="G186" s="50">
        <v>6080</v>
      </c>
    </row>
    <row r="187" spans="1:7" ht="16.5" x14ac:dyDescent="0.25">
      <c r="A187" s="50">
        <v>186</v>
      </c>
      <c r="B187" s="50" t="s">
        <v>1499</v>
      </c>
      <c r="C187" s="50">
        <v>20</v>
      </c>
      <c r="D187" s="50" t="s">
        <v>1143</v>
      </c>
      <c r="E187" s="50">
        <v>1200</v>
      </c>
      <c r="F187" s="50">
        <v>10</v>
      </c>
      <c r="G187" s="50">
        <v>21600</v>
      </c>
    </row>
    <row r="188" spans="1:7" ht="16.5" x14ac:dyDescent="0.25">
      <c r="A188" s="50">
        <v>187</v>
      </c>
      <c r="B188" s="50" t="s">
        <v>1501</v>
      </c>
      <c r="C188" s="50">
        <v>6</v>
      </c>
      <c r="D188" s="50" t="s">
        <v>1140</v>
      </c>
      <c r="E188" s="50">
        <v>800</v>
      </c>
      <c r="F188" s="50">
        <v>15</v>
      </c>
      <c r="G188" s="50">
        <v>4080</v>
      </c>
    </row>
    <row r="189" spans="1:7" ht="16.5" x14ac:dyDescent="0.25">
      <c r="A189" s="50">
        <v>188</v>
      </c>
      <c r="B189" s="50" t="s">
        <v>1502</v>
      </c>
      <c r="C189" s="50">
        <v>1</v>
      </c>
      <c r="D189" s="50" t="s">
        <v>1146</v>
      </c>
      <c r="E189" s="50">
        <v>1200</v>
      </c>
      <c r="F189" s="50">
        <v>5</v>
      </c>
      <c r="G189" s="50">
        <v>1140</v>
      </c>
    </row>
    <row r="190" spans="1:7" ht="16.5" x14ac:dyDescent="0.25">
      <c r="A190" s="50">
        <v>189</v>
      </c>
      <c r="B190" s="50" t="s">
        <v>1504</v>
      </c>
      <c r="C190" s="50">
        <v>6</v>
      </c>
      <c r="D190" s="50" t="s">
        <v>1137</v>
      </c>
      <c r="E190" s="50">
        <v>1500</v>
      </c>
      <c r="F190" s="50">
        <v>15</v>
      </c>
      <c r="G190" s="50">
        <v>7650</v>
      </c>
    </row>
    <row r="191" spans="1:7" ht="16.5" x14ac:dyDescent="0.25">
      <c r="A191" s="50">
        <v>190</v>
      </c>
      <c r="B191" s="50" t="s">
        <v>1505</v>
      </c>
      <c r="C191" s="50">
        <v>6</v>
      </c>
      <c r="D191" s="50" t="s">
        <v>1171</v>
      </c>
      <c r="E191" s="50">
        <v>1200</v>
      </c>
      <c r="F191" s="50">
        <v>15</v>
      </c>
      <c r="G191" s="50">
        <v>6120</v>
      </c>
    </row>
    <row r="192" spans="1:7" ht="16.5" x14ac:dyDescent="0.25">
      <c r="A192" s="50">
        <v>191</v>
      </c>
      <c r="B192" s="50" t="s">
        <v>1507</v>
      </c>
      <c r="C192" s="50">
        <v>7</v>
      </c>
      <c r="D192" s="50" t="s">
        <v>1187</v>
      </c>
      <c r="E192" s="50">
        <v>800</v>
      </c>
      <c r="F192" s="50">
        <v>10</v>
      </c>
      <c r="G192" s="50">
        <v>5040</v>
      </c>
    </row>
    <row r="193" spans="1:7" ht="16.5" x14ac:dyDescent="0.25">
      <c r="A193" s="50">
        <v>192</v>
      </c>
      <c r="B193" s="50" t="s">
        <v>1509</v>
      </c>
      <c r="C193" s="50">
        <v>8</v>
      </c>
      <c r="D193" s="50" t="s">
        <v>1187</v>
      </c>
      <c r="E193" s="50">
        <v>1200</v>
      </c>
      <c r="F193" s="50">
        <v>5</v>
      </c>
      <c r="G193" s="50">
        <v>9120</v>
      </c>
    </row>
    <row r="194" spans="1:7" ht="16.5" x14ac:dyDescent="0.25">
      <c r="A194" s="50">
        <v>193</v>
      </c>
      <c r="B194" s="50" t="s">
        <v>1511</v>
      </c>
      <c r="C194" s="50">
        <v>11</v>
      </c>
      <c r="D194" s="50" t="s">
        <v>1229</v>
      </c>
      <c r="E194" s="50">
        <v>1500</v>
      </c>
      <c r="F194" s="50">
        <v>5</v>
      </c>
      <c r="G194" s="50">
        <v>15675</v>
      </c>
    </row>
    <row r="195" spans="1:7" ht="16.5" x14ac:dyDescent="0.25">
      <c r="A195" s="50">
        <v>194</v>
      </c>
      <c r="B195" s="50" t="s">
        <v>1513</v>
      </c>
      <c r="C195" s="50">
        <v>20</v>
      </c>
      <c r="D195" s="50" t="s">
        <v>1155</v>
      </c>
      <c r="E195" s="50">
        <v>800</v>
      </c>
      <c r="F195" s="50">
        <v>15</v>
      </c>
      <c r="G195" s="50">
        <v>13600</v>
      </c>
    </row>
    <row r="196" spans="1:7" ht="16.5" x14ac:dyDescent="0.25">
      <c r="A196" s="50">
        <v>195</v>
      </c>
      <c r="B196" s="50" t="s">
        <v>1514</v>
      </c>
      <c r="C196" s="50">
        <v>12</v>
      </c>
      <c r="D196" s="50" t="s">
        <v>1149</v>
      </c>
      <c r="E196" s="50">
        <v>1200</v>
      </c>
      <c r="F196" s="50">
        <v>10</v>
      </c>
      <c r="G196" s="50">
        <v>12960</v>
      </c>
    </row>
    <row r="197" spans="1:7" ht="16.5" x14ac:dyDescent="0.25">
      <c r="A197" s="50">
        <v>196</v>
      </c>
      <c r="B197" s="50" t="s">
        <v>1515</v>
      </c>
      <c r="C197" s="50">
        <v>14</v>
      </c>
      <c r="D197" s="50" t="s">
        <v>1152</v>
      </c>
      <c r="E197" s="50">
        <v>1500</v>
      </c>
      <c r="F197" s="50">
        <v>10</v>
      </c>
      <c r="G197" s="50">
        <v>18900</v>
      </c>
    </row>
    <row r="198" spans="1:7" ht="16.5" x14ac:dyDescent="0.25">
      <c r="A198" s="50">
        <v>197</v>
      </c>
      <c r="B198" s="50" t="s">
        <v>1517</v>
      </c>
      <c r="C198" s="50">
        <v>4</v>
      </c>
      <c r="D198" s="50" t="s">
        <v>1342</v>
      </c>
      <c r="E198" s="50">
        <v>1500</v>
      </c>
      <c r="F198" s="50">
        <v>15</v>
      </c>
      <c r="G198" s="50">
        <v>5100</v>
      </c>
    </row>
    <row r="199" spans="1:7" ht="16.5" x14ac:dyDescent="0.25">
      <c r="A199" s="50">
        <v>198</v>
      </c>
      <c r="B199" s="50" t="s">
        <v>1518</v>
      </c>
      <c r="C199" s="50">
        <v>6</v>
      </c>
      <c r="D199" s="50" t="s">
        <v>1161</v>
      </c>
      <c r="E199" s="50">
        <v>1500</v>
      </c>
      <c r="F199" s="50">
        <v>15</v>
      </c>
      <c r="G199" s="50">
        <v>7650</v>
      </c>
    </row>
    <row r="200" spans="1:7" ht="16.5" x14ac:dyDescent="0.25">
      <c r="A200" s="50">
        <v>199</v>
      </c>
      <c r="B200" s="50" t="s">
        <v>1520</v>
      </c>
      <c r="C200" s="50">
        <v>15</v>
      </c>
      <c r="D200" s="50" t="s">
        <v>1342</v>
      </c>
      <c r="E200" s="50">
        <v>1200</v>
      </c>
      <c r="F200" s="50">
        <v>10</v>
      </c>
      <c r="G200" s="50">
        <v>16200</v>
      </c>
    </row>
    <row r="201" spans="1:7" ht="16.5" x14ac:dyDescent="0.25">
      <c r="A201" s="50">
        <v>200</v>
      </c>
      <c r="B201" s="50" t="s">
        <v>1522</v>
      </c>
      <c r="C201" s="50">
        <v>4</v>
      </c>
      <c r="D201" s="50" t="s">
        <v>1143</v>
      </c>
      <c r="E201" s="50">
        <v>1200</v>
      </c>
      <c r="F201" s="50">
        <v>15</v>
      </c>
      <c r="G201" s="50">
        <v>4080</v>
      </c>
    </row>
    <row r="202" spans="1:7" ht="16.5" x14ac:dyDescent="0.25">
      <c r="A202" s="50">
        <v>201</v>
      </c>
      <c r="B202" s="50" t="s">
        <v>1524</v>
      </c>
      <c r="C202" s="50">
        <v>18</v>
      </c>
      <c r="D202" s="50" t="s">
        <v>1171</v>
      </c>
      <c r="E202" s="50">
        <v>800</v>
      </c>
      <c r="F202" s="50">
        <v>10</v>
      </c>
      <c r="G202" s="50">
        <v>12960</v>
      </c>
    </row>
    <row r="203" spans="1:7" ht="16.5" x14ac:dyDescent="0.25">
      <c r="A203" s="50">
        <v>202</v>
      </c>
      <c r="B203" s="50" t="s">
        <v>1525</v>
      </c>
      <c r="C203" s="50">
        <v>18</v>
      </c>
      <c r="D203" s="50" t="s">
        <v>1152</v>
      </c>
      <c r="E203" s="50">
        <v>800</v>
      </c>
      <c r="F203" s="50">
        <v>15</v>
      </c>
      <c r="G203" s="50">
        <v>12240</v>
      </c>
    </row>
    <row r="204" spans="1:7" ht="16.5" x14ac:dyDescent="0.25">
      <c r="A204" s="50">
        <v>203</v>
      </c>
      <c r="B204" s="50" t="s">
        <v>1526</v>
      </c>
      <c r="C204" s="50">
        <v>11</v>
      </c>
      <c r="D204" s="50" t="s">
        <v>1140</v>
      </c>
      <c r="E204" s="50">
        <v>800</v>
      </c>
      <c r="F204" s="50">
        <v>10</v>
      </c>
      <c r="G204" s="50">
        <v>7920</v>
      </c>
    </row>
    <row r="205" spans="1:7" ht="16.5" x14ac:dyDescent="0.25">
      <c r="A205" s="50">
        <v>204</v>
      </c>
      <c r="B205" s="50" t="s">
        <v>1528</v>
      </c>
      <c r="C205" s="50">
        <v>9</v>
      </c>
      <c r="D205" s="50" t="s">
        <v>1146</v>
      </c>
      <c r="E205" s="50">
        <v>1500</v>
      </c>
      <c r="F205" s="50">
        <v>10</v>
      </c>
      <c r="G205" s="50">
        <v>12150</v>
      </c>
    </row>
    <row r="206" spans="1:7" ht="16.5" x14ac:dyDescent="0.25">
      <c r="A206" s="50">
        <v>205</v>
      </c>
      <c r="B206" s="50" t="s">
        <v>1530</v>
      </c>
      <c r="C206" s="50">
        <v>14</v>
      </c>
      <c r="D206" s="50" t="s">
        <v>1146</v>
      </c>
      <c r="E206" s="50">
        <v>1500</v>
      </c>
      <c r="F206" s="50">
        <v>15</v>
      </c>
      <c r="G206" s="50">
        <v>17850</v>
      </c>
    </row>
    <row r="207" spans="1:7" ht="16.5" x14ac:dyDescent="0.25">
      <c r="A207" s="50">
        <v>206</v>
      </c>
      <c r="B207" s="50" t="s">
        <v>1532</v>
      </c>
      <c r="C207" s="50">
        <v>2</v>
      </c>
      <c r="D207" s="50" t="s">
        <v>1140</v>
      </c>
      <c r="E207" s="50">
        <v>800</v>
      </c>
      <c r="F207" s="50">
        <v>5</v>
      </c>
      <c r="G207" s="50">
        <v>1520</v>
      </c>
    </row>
    <row r="208" spans="1:7" ht="16.5" x14ac:dyDescent="0.25">
      <c r="A208" s="50">
        <v>207</v>
      </c>
      <c r="B208" s="50" t="s">
        <v>1533</v>
      </c>
      <c r="C208" s="50">
        <v>9</v>
      </c>
      <c r="D208" s="50" t="s">
        <v>1171</v>
      </c>
      <c r="E208" s="50">
        <v>1500</v>
      </c>
      <c r="F208" s="50">
        <v>5</v>
      </c>
      <c r="G208" s="50">
        <v>12825</v>
      </c>
    </row>
    <row r="209" spans="1:7" ht="16.5" x14ac:dyDescent="0.25">
      <c r="A209" s="50">
        <v>208</v>
      </c>
      <c r="B209" s="50" t="s">
        <v>1535</v>
      </c>
      <c r="C209" s="50">
        <v>15</v>
      </c>
      <c r="D209" s="50" t="s">
        <v>1143</v>
      </c>
      <c r="E209" s="50">
        <v>1500</v>
      </c>
      <c r="F209" s="50">
        <v>10</v>
      </c>
      <c r="G209" s="50">
        <v>20250</v>
      </c>
    </row>
    <row r="210" spans="1:7" ht="16.5" x14ac:dyDescent="0.25">
      <c r="A210" s="50">
        <v>209</v>
      </c>
      <c r="B210" s="50" t="s">
        <v>1536</v>
      </c>
      <c r="C210" s="50">
        <v>16</v>
      </c>
      <c r="D210" s="50" t="s">
        <v>1143</v>
      </c>
      <c r="E210" s="50">
        <v>1200</v>
      </c>
      <c r="F210" s="50">
        <v>5</v>
      </c>
      <c r="G210" s="50">
        <v>18240</v>
      </c>
    </row>
    <row r="211" spans="1:7" ht="16.5" x14ac:dyDescent="0.25">
      <c r="A211" s="50">
        <v>210</v>
      </c>
      <c r="B211" s="50" t="s">
        <v>1538</v>
      </c>
      <c r="C211" s="50">
        <v>7</v>
      </c>
      <c r="D211" s="50" t="s">
        <v>1262</v>
      </c>
      <c r="E211" s="50">
        <v>800</v>
      </c>
      <c r="F211" s="50">
        <v>0</v>
      </c>
      <c r="G211" s="50">
        <v>5600</v>
      </c>
    </row>
    <row r="212" spans="1:7" ht="16.5" x14ac:dyDescent="0.25">
      <c r="A212" s="50">
        <v>211</v>
      </c>
      <c r="B212" s="50" t="s">
        <v>1540</v>
      </c>
      <c r="C212" s="50">
        <v>1</v>
      </c>
      <c r="D212" s="50" t="s">
        <v>1201</v>
      </c>
      <c r="E212" s="50">
        <v>1200</v>
      </c>
      <c r="F212" s="50">
        <v>0</v>
      </c>
      <c r="G212" s="50">
        <v>1200</v>
      </c>
    </row>
    <row r="213" spans="1:7" ht="16.5" x14ac:dyDescent="0.25">
      <c r="A213" s="50">
        <v>212</v>
      </c>
      <c r="B213" s="50" t="s">
        <v>1542</v>
      </c>
      <c r="C213" s="50">
        <v>10</v>
      </c>
      <c r="D213" s="50" t="s">
        <v>1240</v>
      </c>
      <c r="E213" s="50">
        <v>1200</v>
      </c>
      <c r="F213" s="50">
        <v>10</v>
      </c>
      <c r="G213" s="50">
        <v>10800</v>
      </c>
    </row>
    <row r="214" spans="1:7" ht="16.5" x14ac:dyDescent="0.25">
      <c r="A214" s="50">
        <v>213</v>
      </c>
      <c r="B214" s="50" t="s">
        <v>1544</v>
      </c>
      <c r="C214" s="50">
        <v>3</v>
      </c>
      <c r="D214" s="50" t="s">
        <v>1262</v>
      </c>
      <c r="E214" s="50">
        <v>1200</v>
      </c>
      <c r="F214" s="50">
        <v>5</v>
      </c>
      <c r="G214" s="50">
        <v>3420</v>
      </c>
    </row>
    <row r="215" spans="1:7" ht="16.5" x14ac:dyDescent="0.25">
      <c r="A215" s="50">
        <v>214</v>
      </c>
      <c r="B215" s="50" t="s">
        <v>1546</v>
      </c>
      <c r="C215" s="50">
        <v>10</v>
      </c>
      <c r="D215" s="50" t="s">
        <v>1187</v>
      </c>
      <c r="E215" s="50">
        <v>1500</v>
      </c>
      <c r="F215" s="50">
        <v>15</v>
      </c>
      <c r="G215" s="50">
        <v>12750</v>
      </c>
    </row>
    <row r="216" spans="1:7" ht="16.5" x14ac:dyDescent="0.25">
      <c r="A216" s="50">
        <v>215</v>
      </c>
      <c r="B216" s="50" t="s">
        <v>1548</v>
      </c>
      <c r="C216" s="50">
        <v>19</v>
      </c>
      <c r="D216" s="50" t="s">
        <v>1152</v>
      </c>
      <c r="E216" s="50">
        <v>800</v>
      </c>
      <c r="F216" s="50">
        <v>5</v>
      </c>
      <c r="G216" s="50">
        <v>14440</v>
      </c>
    </row>
    <row r="217" spans="1:7" ht="16.5" x14ac:dyDescent="0.25">
      <c r="A217" s="50">
        <v>216</v>
      </c>
      <c r="B217" s="50" t="s">
        <v>1550</v>
      </c>
      <c r="C217" s="50">
        <v>4</v>
      </c>
      <c r="D217" s="50" t="s">
        <v>1166</v>
      </c>
      <c r="E217" s="50">
        <v>1200</v>
      </c>
      <c r="F217" s="50">
        <v>0</v>
      </c>
      <c r="G217" s="50">
        <v>4800</v>
      </c>
    </row>
    <row r="218" spans="1:7" ht="16.5" x14ac:dyDescent="0.25">
      <c r="A218" s="50">
        <v>217</v>
      </c>
      <c r="B218" s="50" t="s">
        <v>1551</v>
      </c>
      <c r="C218" s="50">
        <v>7</v>
      </c>
      <c r="D218" s="50" t="s">
        <v>1229</v>
      </c>
      <c r="E218" s="50">
        <v>1500</v>
      </c>
      <c r="F218" s="50">
        <v>5</v>
      </c>
      <c r="G218" s="50">
        <v>9975</v>
      </c>
    </row>
    <row r="219" spans="1:7" ht="16.5" x14ac:dyDescent="0.25">
      <c r="A219" s="50">
        <v>218</v>
      </c>
      <c r="B219" s="50" t="s">
        <v>1552</v>
      </c>
      <c r="C219" s="50">
        <v>19</v>
      </c>
      <c r="D219" s="50" t="s">
        <v>1140</v>
      </c>
      <c r="E219" s="50">
        <v>1200</v>
      </c>
      <c r="F219" s="50">
        <v>15</v>
      </c>
      <c r="G219" s="50">
        <v>19380</v>
      </c>
    </row>
    <row r="220" spans="1:7" ht="16.5" x14ac:dyDescent="0.25">
      <c r="A220" s="50">
        <v>219</v>
      </c>
      <c r="B220" s="50" t="s">
        <v>1554</v>
      </c>
      <c r="C220" s="50">
        <v>16</v>
      </c>
      <c r="D220" s="50" t="s">
        <v>1140</v>
      </c>
      <c r="E220" s="50">
        <v>1500</v>
      </c>
      <c r="F220" s="50">
        <v>5</v>
      </c>
      <c r="G220" s="50">
        <v>22800</v>
      </c>
    </row>
    <row r="221" spans="1:7" ht="16.5" x14ac:dyDescent="0.25">
      <c r="A221" s="50">
        <v>220</v>
      </c>
      <c r="B221" s="50" t="s">
        <v>1555</v>
      </c>
      <c r="C221" s="50">
        <v>10</v>
      </c>
      <c r="D221" s="50" t="s">
        <v>1198</v>
      </c>
      <c r="E221" s="50">
        <v>800</v>
      </c>
      <c r="F221" s="50">
        <v>15</v>
      </c>
      <c r="G221" s="50">
        <v>6800</v>
      </c>
    </row>
    <row r="222" spans="1:7" ht="16.5" x14ac:dyDescent="0.25">
      <c r="A222" s="50">
        <v>221</v>
      </c>
      <c r="B222" s="50" t="s">
        <v>1557</v>
      </c>
      <c r="C222" s="50">
        <v>20</v>
      </c>
      <c r="D222" s="50" t="s">
        <v>1240</v>
      </c>
      <c r="E222" s="50">
        <v>1200</v>
      </c>
      <c r="F222" s="50">
        <v>10</v>
      </c>
      <c r="G222" s="50">
        <v>21600</v>
      </c>
    </row>
    <row r="223" spans="1:7" ht="16.5" x14ac:dyDescent="0.25">
      <c r="A223" s="50">
        <v>222</v>
      </c>
      <c r="B223" s="50" t="s">
        <v>1559</v>
      </c>
      <c r="C223" s="50">
        <v>7</v>
      </c>
      <c r="D223" s="50" t="s">
        <v>1192</v>
      </c>
      <c r="E223" s="50">
        <v>1500</v>
      </c>
      <c r="F223" s="50">
        <v>15</v>
      </c>
      <c r="G223" s="50">
        <v>8925</v>
      </c>
    </row>
    <row r="224" spans="1:7" ht="16.5" x14ac:dyDescent="0.25">
      <c r="A224" s="50">
        <v>223</v>
      </c>
      <c r="B224" s="50" t="s">
        <v>1561</v>
      </c>
      <c r="C224" s="50">
        <v>11</v>
      </c>
      <c r="D224" s="50" t="s">
        <v>1174</v>
      </c>
      <c r="E224" s="50">
        <v>1200</v>
      </c>
      <c r="F224" s="50">
        <v>15</v>
      </c>
      <c r="G224" s="50">
        <v>11220</v>
      </c>
    </row>
    <row r="225" spans="1:7" ht="16.5" x14ac:dyDescent="0.25">
      <c r="A225" s="50">
        <v>224</v>
      </c>
      <c r="B225" s="50" t="s">
        <v>1562</v>
      </c>
      <c r="C225" s="50">
        <v>6</v>
      </c>
      <c r="D225" s="50" t="s">
        <v>1342</v>
      </c>
      <c r="E225" s="50">
        <v>1500</v>
      </c>
      <c r="F225" s="50">
        <v>10</v>
      </c>
      <c r="G225" s="50">
        <v>8100</v>
      </c>
    </row>
    <row r="226" spans="1:7" ht="16.5" x14ac:dyDescent="0.25">
      <c r="A226" s="50">
        <v>225</v>
      </c>
      <c r="B226" s="50" t="s">
        <v>1563</v>
      </c>
      <c r="C226" s="50">
        <v>7</v>
      </c>
      <c r="D226" s="50" t="s">
        <v>1342</v>
      </c>
      <c r="E226" s="50">
        <v>1500</v>
      </c>
      <c r="F226" s="50">
        <v>10</v>
      </c>
      <c r="G226" s="50">
        <v>9450</v>
      </c>
    </row>
    <row r="227" spans="1:7" ht="16.5" x14ac:dyDescent="0.25">
      <c r="A227" s="50">
        <v>226</v>
      </c>
      <c r="B227" s="50" t="s">
        <v>1565</v>
      </c>
      <c r="C227" s="50">
        <v>10</v>
      </c>
      <c r="D227" s="50" t="s">
        <v>1143</v>
      </c>
      <c r="E227" s="50">
        <v>1200</v>
      </c>
      <c r="F227" s="50">
        <v>0</v>
      </c>
      <c r="G227" s="50">
        <v>12000</v>
      </c>
    </row>
    <row r="228" spans="1:7" ht="16.5" x14ac:dyDescent="0.25">
      <c r="A228" s="50">
        <v>227</v>
      </c>
      <c r="B228" s="50" t="s">
        <v>1566</v>
      </c>
      <c r="C228" s="50">
        <v>20</v>
      </c>
      <c r="D228" s="50" t="s">
        <v>1146</v>
      </c>
      <c r="E228" s="50">
        <v>1200</v>
      </c>
      <c r="F228" s="50">
        <v>15</v>
      </c>
      <c r="G228" s="50">
        <v>20400</v>
      </c>
    </row>
    <row r="229" spans="1:7" ht="16.5" x14ac:dyDescent="0.25">
      <c r="A229" s="50">
        <v>228</v>
      </c>
      <c r="B229" s="50" t="s">
        <v>1568</v>
      </c>
      <c r="C229" s="50">
        <v>15</v>
      </c>
      <c r="D229" s="50" t="s">
        <v>1342</v>
      </c>
      <c r="E229" s="50">
        <v>800</v>
      </c>
      <c r="F229" s="50">
        <v>0</v>
      </c>
      <c r="G229" s="50">
        <v>12000</v>
      </c>
    </row>
    <row r="230" spans="1:7" ht="16.5" x14ac:dyDescent="0.25">
      <c r="A230" s="50">
        <v>229</v>
      </c>
      <c r="B230" s="50" t="s">
        <v>1570</v>
      </c>
      <c r="C230" s="50">
        <v>8</v>
      </c>
      <c r="D230" s="50" t="s">
        <v>1161</v>
      </c>
      <c r="E230" s="50">
        <v>1200</v>
      </c>
      <c r="F230" s="50">
        <v>15</v>
      </c>
      <c r="G230" s="50">
        <v>8160</v>
      </c>
    </row>
    <row r="231" spans="1:7" ht="16.5" x14ac:dyDescent="0.25">
      <c r="A231" s="50">
        <v>230</v>
      </c>
      <c r="B231" s="50" t="s">
        <v>1572</v>
      </c>
      <c r="C231" s="50">
        <v>18</v>
      </c>
      <c r="D231" s="50" t="s">
        <v>1155</v>
      </c>
      <c r="E231" s="50">
        <v>1200</v>
      </c>
      <c r="F231" s="50">
        <v>10</v>
      </c>
      <c r="G231" s="50">
        <v>19440</v>
      </c>
    </row>
    <row r="232" spans="1:7" ht="16.5" x14ac:dyDescent="0.25">
      <c r="A232" s="50">
        <v>231</v>
      </c>
      <c r="B232" s="50" t="s">
        <v>1574</v>
      </c>
      <c r="C232" s="50">
        <v>14</v>
      </c>
      <c r="D232" s="50" t="s">
        <v>1146</v>
      </c>
      <c r="E232" s="50">
        <v>1200</v>
      </c>
      <c r="F232" s="50">
        <v>10</v>
      </c>
      <c r="G232" s="50">
        <v>15120</v>
      </c>
    </row>
    <row r="233" spans="1:7" ht="16.5" x14ac:dyDescent="0.25">
      <c r="A233" s="50">
        <v>232</v>
      </c>
      <c r="B233" s="50" t="s">
        <v>1576</v>
      </c>
      <c r="C233" s="50">
        <v>19</v>
      </c>
      <c r="D233" s="50" t="s">
        <v>1158</v>
      </c>
      <c r="E233" s="50">
        <v>800</v>
      </c>
      <c r="F233" s="50">
        <v>0</v>
      </c>
      <c r="G233" s="50">
        <v>15200</v>
      </c>
    </row>
    <row r="234" spans="1:7" ht="16.5" x14ac:dyDescent="0.25">
      <c r="A234" s="50">
        <v>233</v>
      </c>
      <c r="B234" s="50" t="s">
        <v>1578</v>
      </c>
      <c r="C234" s="50">
        <v>8</v>
      </c>
      <c r="D234" s="50" t="s">
        <v>1149</v>
      </c>
      <c r="E234" s="50">
        <v>1200</v>
      </c>
      <c r="F234" s="50">
        <v>10</v>
      </c>
      <c r="G234" s="50">
        <v>8640</v>
      </c>
    </row>
    <row r="235" spans="1:7" ht="16.5" x14ac:dyDescent="0.25">
      <c r="A235" s="50">
        <v>234</v>
      </c>
      <c r="B235" s="50" t="s">
        <v>1579</v>
      </c>
      <c r="C235" s="50">
        <v>11</v>
      </c>
      <c r="D235" s="50" t="s">
        <v>1198</v>
      </c>
      <c r="E235" s="50">
        <v>1200</v>
      </c>
      <c r="F235" s="50">
        <v>5</v>
      </c>
      <c r="G235" s="50">
        <v>12540</v>
      </c>
    </row>
    <row r="236" spans="1:7" ht="16.5" x14ac:dyDescent="0.25">
      <c r="A236" s="50">
        <v>235</v>
      </c>
      <c r="B236" s="50" t="s">
        <v>1581</v>
      </c>
      <c r="C236" s="50">
        <v>16</v>
      </c>
      <c r="D236" s="50" t="s">
        <v>1158</v>
      </c>
      <c r="E236" s="50">
        <v>800</v>
      </c>
      <c r="F236" s="50">
        <v>5</v>
      </c>
      <c r="G236" s="50">
        <v>12160</v>
      </c>
    </row>
    <row r="237" spans="1:7" ht="16.5" x14ac:dyDescent="0.25">
      <c r="A237" s="50">
        <v>236</v>
      </c>
      <c r="B237" s="50" t="s">
        <v>1583</v>
      </c>
      <c r="C237" s="50">
        <v>9</v>
      </c>
      <c r="D237" s="50" t="s">
        <v>1174</v>
      </c>
      <c r="E237" s="50">
        <v>800</v>
      </c>
      <c r="F237" s="50">
        <v>5</v>
      </c>
      <c r="G237" s="50">
        <v>6840</v>
      </c>
    </row>
    <row r="238" spans="1:7" ht="16.5" x14ac:dyDescent="0.25">
      <c r="A238" s="50">
        <v>237</v>
      </c>
      <c r="B238" s="50" t="s">
        <v>1585</v>
      </c>
      <c r="C238" s="50">
        <v>8</v>
      </c>
      <c r="D238" s="50" t="s">
        <v>1240</v>
      </c>
      <c r="E238" s="50">
        <v>1200</v>
      </c>
      <c r="F238" s="50">
        <v>15</v>
      </c>
      <c r="G238" s="50">
        <v>8160</v>
      </c>
    </row>
    <row r="239" spans="1:7" ht="16.5" x14ac:dyDescent="0.25">
      <c r="A239" s="50">
        <v>238</v>
      </c>
      <c r="B239" s="50" t="s">
        <v>1587</v>
      </c>
      <c r="C239" s="50">
        <v>8</v>
      </c>
      <c r="D239" s="50" t="s">
        <v>1149</v>
      </c>
      <c r="E239" s="50">
        <v>1200</v>
      </c>
      <c r="F239" s="50">
        <v>5</v>
      </c>
      <c r="G239" s="50">
        <v>9120</v>
      </c>
    </row>
    <row r="240" spans="1:7" ht="16.5" x14ac:dyDescent="0.25">
      <c r="A240" s="50">
        <v>239</v>
      </c>
      <c r="B240" s="50" t="s">
        <v>1589</v>
      </c>
      <c r="C240" s="50">
        <v>16</v>
      </c>
      <c r="D240" s="50" t="s">
        <v>1152</v>
      </c>
      <c r="E240" s="50">
        <v>800</v>
      </c>
      <c r="F240" s="50">
        <v>5</v>
      </c>
      <c r="G240" s="50">
        <v>12160</v>
      </c>
    </row>
    <row r="241" spans="1:7" ht="16.5" x14ac:dyDescent="0.25">
      <c r="A241" s="50">
        <v>240</v>
      </c>
      <c r="B241" s="50" t="s">
        <v>1591</v>
      </c>
      <c r="C241" s="50">
        <v>15</v>
      </c>
      <c r="D241" s="50" t="s">
        <v>1171</v>
      </c>
      <c r="E241" s="50">
        <v>1200</v>
      </c>
      <c r="F241" s="50">
        <v>15</v>
      </c>
      <c r="G241" s="50">
        <v>15300</v>
      </c>
    </row>
    <row r="242" spans="1:7" ht="16.5" x14ac:dyDescent="0.25">
      <c r="A242" s="50">
        <v>241</v>
      </c>
      <c r="B242" s="50" t="s">
        <v>1592</v>
      </c>
      <c r="C242" s="50">
        <v>18</v>
      </c>
      <c r="D242" s="50" t="s">
        <v>1140</v>
      </c>
      <c r="E242" s="50">
        <v>1200</v>
      </c>
      <c r="F242" s="50">
        <v>0</v>
      </c>
      <c r="G242" s="50">
        <v>21600</v>
      </c>
    </row>
    <row r="243" spans="1:7" ht="16.5" x14ac:dyDescent="0.25">
      <c r="A243" s="50">
        <v>242</v>
      </c>
      <c r="B243" s="50" t="s">
        <v>1594</v>
      </c>
      <c r="C243" s="50">
        <v>19</v>
      </c>
      <c r="D243" s="50" t="s">
        <v>1171</v>
      </c>
      <c r="E243" s="50">
        <v>1200</v>
      </c>
      <c r="F243" s="50">
        <v>0</v>
      </c>
      <c r="G243" s="50">
        <v>22800</v>
      </c>
    </row>
    <row r="244" spans="1:7" ht="16.5" x14ac:dyDescent="0.25">
      <c r="A244" s="50">
        <v>243</v>
      </c>
      <c r="B244" s="50" t="s">
        <v>1596</v>
      </c>
      <c r="C244" s="50">
        <v>4</v>
      </c>
      <c r="D244" s="50" t="s">
        <v>1152</v>
      </c>
      <c r="E244" s="50">
        <v>800</v>
      </c>
      <c r="F244" s="50">
        <v>15</v>
      </c>
      <c r="G244" s="50">
        <v>2720</v>
      </c>
    </row>
    <row r="245" spans="1:7" ht="16.5" x14ac:dyDescent="0.25">
      <c r="A245" s="50">
        <v>244</v>
      </c>
      <c r="B245" s="50" t="s">
        <v>1598</v>
      </c>
      <c r="C245" s="50">
        <v>19</v>
      </c>
      <c r="D245" s="50" t="s">
        <v>1155</v>
      </c>
      <c r="E245" s="50">
        <v>1500</v>
      </c>
      <c r="F245" s="50">
        <v>15</v>
      </c>
      <c r="G245" s="50">
        <v>24225</v>
      </c>
    </row>
    <row r="246" spans="1:7" ht="16.5" x14ac:dyDescent="0.25">
      <c r="A246" s="50">
        <v>245</v>
      </c>
      <c r="B246" s="50" t="s">
        <v>1600</v>
      </c>
      <c r="C246" s="50">
        <v>4</v>
      </c>
      <c r="D246" s="50" t="s">
        <v>1187</v>
      </c>
      <c r="E246" s="50">
        <v>1200</v>
      </c>
      <c r="F246" s="50">
        <v>15</v>
      </c>
      <c r="G246" s="50">
        <v>4080</v>
      </c>
    </row>
    <row r="247" spans="1:7" ht="16.5" x14ac:dyDescent="0.25">
      <c r="A247" s="50">
        <v>246</v>
      </c>
      <c r="B247" s="50" t="s">
        <v>1602</v>
      </c>
      <c r="C247" s="50">
        <v>3</v>
      </c>
      <c r="D247" s="50" t="s">
        <v>1155</v>
      </c>
      <c r="E247" s="50">
        <v>800</v>
      </c>
      <c r="F247" s="50">
        <v>10</v>
      </c>
      <c r="G247" s="50">
        <v>2160</v>
      </c>
    </row>
    <row r="248" spans="1:7" ht="16.5" x14ac:dyDescent="0.25">
      <c r="A248" s="50">
        <v>247</v>
      </c>
      <c r="B248" s="50" t="s">
        <v>1604</v>
      </c>
      <c r="C248" s="50">
        <v>19</v>
      </c>
      <c r="D248" s="50" t="s">
        <v>1262</v>
      </c>
      <c r="E248" s="50">
        <v>1500</v>
      </c>
      <c r="F248" s="50">
        <v>15</v>
      </c>
      <c r="G248" s="50">
        <v>24225</v>
      </c>
    </row>
    <row r="249" spans="1:7" ht="16.5" x14ac:dyDescent="0.25">
      <c r="A249" s="50">
        <v>248</v>
      </c>
      <c r="B249" s="50" t="s">
        <v>1606</v>
      </c>
      <c r="C249" s="50">
        <v>4</v>
      </c>
      <c r="D249" s="50" t="s">
        <v>1155</v>
      </c>
      <c r="E249" s="50">
        <v>1200</v>
      </c>
      <c r="F249" s="50">
        <v>15</v>
      </c>
      <c r="G249" s="50">
        <v>4080</v>
      </c>
    </row>
    <row r="250" spans="1:7" ht="16.5" x14ac:dyDescent="0.25">
      <c r="A250" s="50">
        <v>249</v>
      </c>
      <c r="B250" s="50" t="s">
        <v>1607</v>
      </c>
      <c r="C250" s="50">
        <v>13</v>
      </c>
      <c r="D250" s="50" t="s">
        <v>1218</v>
      </c>
      <c r="E250" s="50">
        <v>1200</v>
      </c>
      <c r="F250" s="50">
        <v>15</v>
      </c>
      <c r="G250" s="50">
        <v>13260</v>
      </c>
    </row>
    <row r="251" spans="1:7" ht="16.5" x14ac:dyDescent="0.25">
      <c r="A251" s="50">
        <v>250</v>
      </c>
      <c r="B251" s="50" t="s">
        <v>1609</v>
      </c>
      <c r="C251" s="50">
        <v>1</v>
      </c>
      <c r="D251" s="50" t="s">
        <v>1140</v>
      </c>
      <c r="E251" s="50">
        <v>1200</v>
      </c>
      <c r="F251" s="50">
        <v>0</v>
      </c>
      <c r="G251" s="50">
        <v>1200</v>
      </c>
    </row>
    <row r="252" spans="1:7" ht="16.5" x14ac:dyDescent="0.25">
      <c r="A252" s="50">
        <v>251</v>
      </c>
      <c r="B252" s="50" t="s">
        <v>1611</v>
      </c>
      <c r="C252" s="50">
        <v>15</v>
      </c>
      <c r="D252" s="50" t="s">
        <v>1192</v>
      </c>
      <c r="E252" s="50">
        <v>1500</v>
      </c>
      <c r="F252" s="50">
        <v>5</v>
      </c>
      <c r="G252" s="50">
        <v>21375</v>
      </c>
    </row>
    <row r="253" spans="1:7" ht="16.5" x14ac:dyDescent="0.25">
      <c r="A253" s="50">
        <v>252</v>
      </c>
      <c r="B253" s="50" t="s">
        <v>1613</v>
      </c>
      <c r="C253" s="50">
        <v>3</v>
      </c>
      <c r="D253" s="50" t="s">
        <v>1149</v>
      </c>
      <c r="E253" s="50">
        <v>1200</v>
      </c>
      <c r="F253" s="50">
        <v>0</v>
      </c>
      <c r="G253" s="50">
        <v>3600</v>
      </c>
    </row>
    <row r="254" spans="1:7" ht="16.5" x14ac:dyDescent="0.25">
      <c r="A254" s="50">
        <v>253</v>
      </c>
      <c r="B254" s="50" t="s">
        <v>1615</v>
      </c>
      <c r="C254" s="50">
        <v>18</v>
      </c>
      <c r="D254" s="50" t="s">
        <v>1218</v>
      </c>
      <c r="E254" s="50">
        <v>800</v>
      </c>
      <c r="F254" s="50">
        <v>10</v>
      </c>
      <c r="G254" s="50">
        <v>12960</v>
      </c>
    </row>
    <row r="255" spans="1:7" ht="16.5" x14ac:dyDescent="0.25">
      <c r="A255" s="50">
        <v>254</v>
      </c>
      <c r="B255" s="50" t="s">
        <v>1617</v>
      </c>
      <c r="C255" s="50">
        <v>8</v>
      </c>
      <c r="D255" s="50" t="s">
        <v>1192</v>
      </c>
      <c r="E255" s="50">
        <v>1500</v>
      </c>
      <c r="F255" s="50">
        <v>5</v>
      </c>
      <c r="G255" s="50">
        <v>11400</v>
      </c>
    </row>
    <row r="256" spans="1:7" ht="16.5" x14ac:dyDescent="0.25">
      <c r="A256" s="50">
        <v>255</v>
      </c>
      <c r="B256" s="50" t="s">
        <v>1618</v>
      </c>
      <c r="C256" s="50">
        <v>2</v>
      </c>
      <c r="D256" s="50" t="s">
        <v>1137</v>
      </c>
      <c r="E256" s="50">
        <v>800</v>
      </c>
      <c r="F256" s="50">
        <v>15</v>
      </c>
      <c r="G256" s="50">
        <v>1360</v>
      </c>
    </row>
    <row r="257" spans="1:7" ht="16.5" x14ac:dyDescent="0.25">
      <c r="A257" s="50">
        <v>256</v>
      </c>
      <c r="B257" s="50" t="s">
        <v>1620</v>
      </c>
      <c r="C257" s="50">
        <v>3</v>
      </c>
      <c r="D257" s="50" t="s">
        <v>1342</v>
      </c>
      <c r="E257" s="50">
        <v>1200</v>
      </c>
      <c r="F257" s="50">
        <v>15</v>
      </c>
      <c r="G257" s="50">
        <v>3060</v>
      </c>
    </row>
    <row r="258" spans="1:7" ht="16.5" x14ac:dyDescent="0.25">
      <c r="A258" s="50">
        <v>257</v>
      </c>
      <c r="B258" s="50" t="s">
        <v>1622</v>
      </c>
      <c r="C258" s="50">
        <v>9</v>
      </c>
      <c r="D258" s="50" t="s">
        <v>1187</v>
      </c>
      <c r="E258" s="50">
        <v>800</v>
      </c>
      <c r="F258" s="50">
        <v>0</v>
      </c>
      <c r="G258" s="50">
        <v>7200</v>
      </c>
    </row>
    <row r="259" spans="1:7" ht="16.5" x14ac:dyDescent="0.25">
      <c r="A259" s="50">
        <v>258</v>
      </c>
      <c r="B259" s="50" t="s">
        <v>1624</v>
      </c>
      <c r="C259" s="50">
        <v>14</v>
      </c>
      <c r="D259" s="50" t="s">
        <v>1187</v>
      </c>
      <c r="E259" s="50">
        <v>800</v>
      </c>
      <c r="F259" s="50">
        <v>0</v>
      </c>
      <c r="G259" s="50">
        <v>11200</v>
      </c>
    </row>
    <row r="260" spans="1:7" ht="16.5" x14ac:dyDescent="0.25">
      <c r="A260" s="50">
        <v>259</v>
      </c>
      <c r="B260" s="50" t="s">
        <v>1625</v>
      </c>
      <c r="C260" s="50">
        <v>16</v>
      </c>
      <c r="D260" s="50" t="s">
        <v>1218</v>
      </c>
      <c r="E260" s="50">
        <v>1500</v>
      </c>
      <c r="F260" s="50">
        <v>10</v>
      </c>
      <c r="G260" s="50">
        <v>21600</v>
      </c>
    </row>
    <row r="261" spans="1:7" ht="16.5" x14ac:dyDescent="0.25">
      <c r="A261" s="50">
        <v>260</v>
      </c>
      <c r="B261" s="50" t="s">
        <v>1626</v>
      </c>
      <c r="C261" s="50">
        <v>5</v>
      </c>
      <c r="D261" s="50" t="s">
        <v>1158</v>
      </c>
      <c r="E261" s="50">
        <v>800</v>
      </c>
      <c r="F261" s="50">
        <v>0</v>
      </c>
      <c r="G261" s="50">
        <v>4000</v>
      </c>
    </row>
    <row r="262" spans="1:7" ht="16.5" x14ac:dyDescent="0.25">
      <c r="A262" s="50">
        <v>261</v>
      </c>
      <c r="B262" s="50" t="s">
        <v>1627</v>
      </c>
      <c r="C262" s="50">
        <v>13</v>
      </c>
      <c r="D262" s="50" t="s">
        <v>1240</v>
      </c>
      <c r="E262" s="50">
        <v>800</v>
      </c>
      <c r="F262" s="50">
        <v>10</v>
      </c>
      <c r="G262" s="50">
        <v>9360</v>
      </c>
    </row>
    <row r="263" spans="1:7" ht="16.5" x14ac:dyDescent="0.25">
      <c r="A263" s="50">
        <v>262</v>
      </c>
      <c r="B263" s="50" t="s">
        <v>1628</v>
      </c>
      <c r="C263" s="50">
        <v>8</v>
      </c>
      <c r="D263" s="50" t="s">
        <v>1149</v>
      </c>
      <c r="E263" s="50">
        <v>1500</v>
      </c>
      <c r="F263" s="50">
        <v>0</v>
      </c>
      <c r="G263" s="50">
        <v>12000</v>
      </c>
    </row>
    <row r="264" spans="1:7" ht="16.5" x14ac:dyDescent="0.25">
      <c r="A264" s="50">
        <v>263</v>
      </c>
      <c r="B264" s="50" t="s">
        <v>1630</v>
      </c>
      <c r="C264" s="50">
        <v>12</v>
      </c>
      <c r="D264" s="50" t="s">
        <v>1174</v>
      </c>
      <c r="E264" s="50">
        <v>800</v>
      </c>
      <c r="F264" s="50">
        <v>0</v>
      </c>
      <c r="G264" s="50">
        <v>9600</v>
      </c>
    </row>
    <row r="265" spans="1:7" ht="16.5" x14ac:dyDescent="0.25">
      <c r="A265" s="50">
        <v>264</v>
      </c>
      <c r="B265" s="50" t="s">
        <v>1631</v>
      </c>
      <c r="C265" s="50">
        <v>9</v>
      </c>
      <c r="D265" s="50" t="s">
        <v>1143</v>
      </c>
      <c r="E265" s="50">
        <v>800</v>
      </c>
      <c r="F265" s="50">
        <v>15</v>
      </c>
      <c r="G265" s="50">
        <v>6120</v>
      </c>
    </row>
    <row r="266" spans="1:7" ht="16.5" x14ac:dyDescent="0.25">
      <c r="A266" s="50">
        <v>265</v>
      </c>
      <c r="B266" s="50" t="s">
        <v>1633</v>
      </c>
      <c r="C266" s="50">
        <v>7</v>
      </c>
      <c r="D266" s="50" t="s">
        <v>1166</v>
      </c>
      <c r="E266" s="50">
        <v>800</v>
      </c>
      <c r="F266" s="50">
        <v>10</v>
      </c>
      <c r="G266" s="50">
        <v>5040</v>
      </c>
    </row>
    <row r="267" spans="1:7" ht="16.5" x14ac:dyDescent="0.25">
      <c r="A267" s="50">
        <v>266</v>
      </c>
      <c r="B267" s="50" t="s">
        <v>1635</v>
      </c>
      <c r="C267" s="50">
        <v>4</v>
      </c>
      <c r="D267" s="50" t="s">
        <v>1166</v>
      </c>
      <c r="E267" s="50">
        <v>1200</v>
      </c>
      <c r="F267" s="50">
        <v>15</v>
      </c>
      <c r="G267" s="50">
        <v>4080</v>
      </c>
    </row>
    <row r="268" spans="1:7" ht="16.5" x14ac:dyDescent="0.25">
      <c r="A268" s="50">
        <v>267</v>
      </c>
      <c r="B268" s="50" t="s">
        <v>1637</v>
      </c>
      <c r="C268" s="50">
        <v>10</v>
      </c>
      <c r="D268" s="50" t="s">
        <v>1342</v>
      </c>
      <c r="E268" s="50">
        <v>1200</v>
      </c>
      <c r="F268" s="50">
        <v>0</v>
      </c>
      <c r="G268" s="50">
        <v>12000</v>
      </c>
    </row>
    <row r="269" spans="1:7" ht="16.5" x14ac:dyDescent="0.25">
      <c r="A269" s="50">
        <v>268</v>
      </c>
      <c r="B269" s="50" t="s">
        <v>1639</v>
      </c>
      <c r="C269" s="50">
        <v>11</v>
      </c>
      <c r="D269" s="50" t="s">
        <v>1161</v>
      </c>
      <c r="E269" s="50">
        <v>800</v>
      </c>
      <c r="F269" s="50">
        <v>0</v>
      </c>
      <c r="G269" s="50">
        <v>8800</v>
      </c>
    </row>
    <row r="270" spans="1:7" ht="16.5" x14ac:dyDescent="0.25">
      <c r="A270" s="50">
        <v>269</v>
      </c>
      <c r="B270" s="50" t="s">
        <v>1641</v>
      </c>
      <c r="C270" s="50">
        <v>20</v>
      </c>
      <c r="D270" s="50" t="s">
        <v>1174</v>
      </c>
      <c r="E270" s="50">
        <v>1200</v>
      </c>
      <c r="F270" s="50">
        <v>15</v>
      </c>
      <c r="G270" s="50">
        <v>20400</v>
      </c>
    </row>
    <row r="271" spans="1:7" ht="16.5" x14ac:dyDescent="0.25">
      <c r="A271" s="50">
        <v>270</v>
      </c>
      <c r="B271" s="50" t="s">
        <v>1642</v>
      </c>
      <c r="C271" s="50">
        <v>20</v>
      </c>
      <c r="D271" s="50" t="s">
        <v>1152</v>
      </c>
      <c r="E271" s="50">
        <v>1500</v>
      </c>
      <c r="F271" s="50">
        <v>5</v>
      </c>
      <c r="G271" s="50">
        <v>28500</v>
      </c>
    </row>
    <row r="272" spans="1:7" ht="16.5" x14ac:dyDescent="0.25">
      <c r="A272" s="50">
        <v>271</v>
      </c>
      <c r="B272" s="50" t="s">
        <v>1644</v>
      </c>
      <c r="C272" s="50">
        <v>4</v>
      </c>
      <c r="D272" s="50" t="s">
        <v>1140</v>
      </c>
      <c r="E272" s="50">
        <v>800</v>
      </c>
      <c r="F272" s="50">
        <v>10</v>
      </c>
      <c r="G272" s="50">
        <v>2880</v>
      </c>
    </row>
    <row r="273" spans="1:7" ht="16.5" x14ac:dyDescent="0.25">
      <c r="A273" s="50">
        <v>272</v>
      </c>
      <c r="B273" s="50" t="s">
        <v>1646</v>
      </c>
      <c r="C273" s="50">
        <v>2</v>
      </c>
      <c r="D273" s="50" t="s">
        <v>1166</v>
      </c>
      <c r="E273" s="50">
        <v>1200</v>
      </c>
      <c r="F273" s="50">
        <v>10</v>
      </c>
      <c r="G273" s="50">
        <v>2160</v>
      </c>
    </row>
    <row r="274" spans="1:7" ht="16.5" x14ac:dyDescent="0.25">
      <c r="A274" s="50">
        <v>273</v>
      </c>
      <c r="B274" s="50" t="s">
        <v>1648</v>
      </c>
      <c r="C274" s="50">
        <v>15</v>
      </c>
      <c r="D274" s="50" t="s">
        <v>1262</v>
      </c>
      <c r="E274" s="50">
        <v>800</v>
      </c>
      <c r="F274" s="50">
        <v>5</v>
      </c>
      <c r="G274" s="50">
        <v>11400</v>
      </c>
    </row>
    <row r="275" spans="1:7" ht="16.5" x14ac:dyDescent="0.25">
      <c r="A275" s="50">
        <v>274</v>
      </c>
      <c r="B275" s="50" t="s">
        <v>1650</v>
      </c>
      <c r="C275" s="50">
        <v>13</v>
      </c>
      <c r="D275" s="50" t="s">
        <v>1192</v>
      </c>
      <c r="E275" s="50">
        <v>1200</v>
      </c>
      <c r="F275" s="50">
        <v>5</v>
      </c>
      <c r="G275" s="50">
        <v>14820</v>
      </c>
    </row>
    <row r="276" spans="1:7" ht="16.5" x14ac:dyDescent="0.25">
      <c r="A276" s="50">
        <v>275</v>
      </c>
      <c r="B276" s="50" t="s">
        <v>1652</v>
      </c>
      <c r="C276" s="50">
        <v>8</v>
      </c>
      <c r="D276" s="50" t="s">
        <v>1201</v>
      </c>
      <c r="E276" s="50">
        <v>1500</v>
      </c>
      <c r="F276" s="50">
        <v>0</v>
      </c>
      <c r="G276" s="50">
        <v>12000</v>
      </c>
    </row>
    <row r="277" spans="1:7" ht="16.5" x14ac:dyDescent="0.25">
      <c r="A277" s="50">
        <v>276</v>
      </c>
      <c r="B277" s="50" t="s">
        <v>1654</v>
      </c>
      <c r="C277" s="50">
        <v>9</v>
      </c>
      <c r="D277" s="50" t="s">
        <v>1192</v>
      </c>
      <c r="E277" s="50">
        <v>1500</v>
      </c>
      <c r="F277" s="50">
        <v>5</v>
      </c>
      <c r="G277" s="50">
        <v>12825</v>
      </c>
    </row>
    <row r="278" spans="1:7" ht="16.5" x14ac:dyDescent="0.25">
      <c r="A278" s="50">
        <v>277</v>
      </c>
      <c r="B278" s="50" t="s">
        <v>1656</v>
      </c>
      <c r="C278" s="50">
        <v>9</v>
      </c>
      <c r="D278" s="50" t="s">
        <v>1201</v>
      </c>
      <c r="E278" s="50">
        <v>1200</v>
      </c>
      <c r="F278" s="50">
        <v>10</v>
      </c>
      <c r="G278" s="50">
        <v>9720</v>
      </c>
    </row>
    <row r="279" spans="1:7" ht="16.5" x14ac:dyDescent="0.25">
      <c r="A279" s="50">
        <v>278</v>
      </c>
      <c r="B279" s="50" t="s">
        <v>1658</v>
      </c>
      <c r="C279" s="50">
        <v>6</v>
      </c>
      <c r="D279" s="50" t="s">
        <v>1218</v>
      </c>
      <c r="E279" s="50">
        <v>800</v>
      </c>
      <c r="F279" s="50">
        <v>10</v>
      </c>
      <c r="G279" s="50">
        <v>4320</v>
      </c>
    </row>
    <row r="280" spans="1:7" ht="16.5" x14ac:dyDescent="0.25">
      <c r="A280" s="50">
        <v>279</v>
      </c>
      <c r="B280" s="50" t="s">
        <v>1660</v>
      </c>
      <c r="C280" s="50">
        <v>17</v>
      </c>
      <c r="D280" s="50" t="s">
        <v>1143</v>
      </c>
      <c r="E280" s="50">
        <v>800</v>
      </c>
      <c r="F280" s="50">
        <v>10</v>
      </c>
      <c r="G280" s="50">
        <v>12240</v>
      </c>
    </row>
    <row r="281" spans="1:7" ht="16.5" x14ac:dyDescent="0.25">
      <c r="A281" s="50">
        <v>280</v>
      </c>
      <c r="B281" s="50" t="s">
        <v>1662</v>
      </c>
      <c r="C281" s="50">
        <v>8</v>
      </c>
      <c r="D281" s="50" t="s">
        <v>1161</v>
      </c>
      <c r="E281" s="50">
        <v>1200</v>
      </c>
      <c r="F281" s="50">
        <v>15</v>
      </c>
      <c r="G281" s="50">
        <v>8160</v>
      </c>
    </row>
    <row r="282" spans="1:7" ht="16.5" x14ac:dyDescent="0.25">
      <c r="A282" s="50">
        <v>281</v>
      </c>
      <c r="B282" s="50" t="s">
        <v>1664</v>
      </c>
      <c r="C282" s="50">
        <v>5</v>
      </c>
      <c r="D282" s="50" t="s">
        <v>1149</v>
      </c>
      <c r="E282" s="50">
        <v>1500</v>
      </c>
      <c r="F282" s="50">
        <v>0</v>
      </c>
      <c r="G282" s="50">
        <v>7500</v>
      </c>
    </row>
    <row r="283" spans="1:7" ht="16.5" x14ac:dyDescent="0.25">
      <c r="A283" s="50">
        <v>282</v>
      </c>
      <c r="B283" s="50" t="s">
        <v>1666</v>
      </c>
      <c r="C283" s="50">
        <v>20</v>
      </c>
      <c r="D283" s="50" t="s">
        <v>1229</v>
      </c>
      <c r="E283" s="50">
        <v>800</v>
      </c>
      <c r="F283" s="50">
        <v>0</v>
      </c>
      <c r="G283" s="50">
        <v>16000</v>
      </c>
    </row>
    <row r="284" spans="1:7" ht="16.5" x14ac:dyDescent="0.25">
      <c r="A284" s="50">
        <v>283</v>
      </c>
      <c r="B284" s="50" t="s">
        <v>1668</v>
      </c>
      <c r="C284" s="50">
        <v>6</v>
      </c>
      <c r="D284" s="50" t="s">
        <v>1140</v>
      </c>
      <c r="E284" s="50">
        <v>1200</v>
      </c>
      <c r="F284" s="50">
        <v>10</v>
      </c>
      <c r="G284" s="50">
        <v>6480</v>
      </c>
    </row>
    <row r="285" spans="1:7" ht="16.5" x14ac:dyDescent="0.25">
      <c r="A285" s="50">
        <v>284</v>
      </c>
      <c r="B285" s="50" t="s">
        <v>1669</v>
      </c>
      <c r="C285" s="50">
        <v>18</v>
      </c>
      <c r="D285" s="50" t="s">
        <v>1240</v>
      </c>
      <c r="E285" s="50">
        <v>1200</v>
      </c>
      <c r="F285" s="50">
        <v>15</v>
      </c>
      <c r="G285" s="50">
        <v>18360</v>
      </c>
    </row>
    <row r="286" spans="1:7" ht="16.5" x14ac:dyDescent="0.25">
      <c r="A286" s="50">
        <v>285</v>
      </c>
      <c r="B286" s="50" t="s">
        <v>1670</v>
      </c>
      <c r="C286" s="50">
        <v>15</v>
      </c>
      <c r="D286" s="50" t="s">
        <v>1161</v>
      </c>
      <c r="E286" s="50">
        <v>1200</v>
      </c>
      <c r="F286" s="50">
        <v>5</v>
      </c>
      <c r="G286" s="50">
        <v>17100</v>
      </c>
    </row>
    <row r="287" spans="1:7" ht="16.5" x14ac:dyDescent="0.25">
      <c r="A287" s="50">
        <v>286</v>
      </c>
      <c r="B287" s="50" t="s">
        <v>1671</v>
      </c>
      <c r="C287" s="50">
        <v>10</v>
      </c>
      <c r="D287" s="50" t="s">
        <v>1149</v>
      </c>
      <c r="E287" s="50">
        <v>1200</v>
      </c>
      <c r="F287" s="50">
        <v>5</v>
      </c>
      <c r="G287" s="50">
        <v>11400</v>
      </c>
    </row>
    <row r="288" spans="1:7" ht="16.5" x14ac:dyDescent="0.25">
      <c r="A288" s="50">
        <v>287</v>
      </c>
      <c r="B288" s="50" t="s">
        <v>1673</v>
      </c>
      <c r="C288" s="50">
        <v>13</v>
      </c>
      <c r="D288" s="50" t="s">
        <v>1201</v>
      </c>
      <c r="E288" s="50">
        <v>1200</v>
      </c>
      <c r="F288" s="50">
        <v>5</v>
      </c>
      <c r="G288" s="50">
        <v>14820</v>
      </c>
    </row>
    <row r="289" spans="1:7" ht="16.5" x14ac:dyDescent="0.25">
      <c r="A289" s="50">
        <v>288</v>
      </c>
      <c r="B289" s="50" t="s">
        <v>1675</v>
      </c>
      <c r="C289" s="50">
        <v>7</v>
      </c>
      <c r="D289" s="50" t="s">
        <v>1240</v>
      </c>
      <c r="E289" s="50">
        <v>1500</v>
      </c>
      <c r="F289" s="50">
        <v>5</v>
      </c>
      <c r="G289" s="50">
        <v>9975</v>
      </c>
    </row>
    <row r="290" spans="1:7" ht="16.5" x14ac:dyDescent="0.25">
      <c r="A290" s="50">
        <v>289</v>
      </c>
      <c r="B290" s="50" t="s">
        <v>1677</v>
      </c>
      <c r="C290" s="50">
        <v>2</v>
      </c>
      <c r="D290" s="50" t="s">
        <v>1171</v>
      </c>
      <c r="E290" s="50">
        <v>1500</v>
      </c>
      <c r="F290" s="50">
        <v>0</v>
      </c>
      <c r="G290" s="50">
        <v>3000</v>
      </c>
    </row>
    <row r="291" spans="1:7" ht="16.5" x14ac:dyDescent="0.25">
      <c r="A291" s="50">
        <v>290</v>
      </c>
      <c r="B291" s="50" t="s">
        <v>1678</v>
      </c>
      <c r="C291" s="50">
        <v>6</v>
      </c>
      <c r="D291" s="50" t="s">
        <v>1229</v>
      </c>
      <c r="E291" s="50">
        <v>800</v>
      </c>
      <c r="F291" s="50">
        <v>10</v>
      </c>
      <c r="G291" s="50">
        <v>4320</v>
      </c>
    </row>
    <row r="292" spans="1:7" ht="16.5" x14ac:dyDescent="0.25">
      <c r="A292" s="50">
        <v>291</v>
      </c>
      <c r="B292" s="50" t="s">
        <v>1679</v>
      </c>
      <c r="C292" s="50">
        <v>10</v>
      </c>
      <c r="D292" s="50" t="s">
        <v>1166</v>
      </c>
      <c r="E292" s="50">
        <v>1200</v>
      </c>
      <c r="F292" s="50">
        <v>5</v>
      </c>
      <c r="G292" s="50">
        <v>11400</v>
      </c>
    </row>
    <row r="293" spans="1:7" ht="16.5" x14ac:dyDescent="0.25">
      <c r="A293" s="50">
        <v>292</v>
      </c>
      <c r="B293" s="50" t="s">
        <v>1681</v>
      </c>
      <c r="C293" s="50">
        <v>2</v>
      </c>
      <c r="D293" s="50" t="s">
        <v>1198</v>
      </c>
      <c r="E293" s="50">
        <v>800</v>
      </c>
      <c r="F293" s="50">
        <v>10</v>
      </c>
      <c r="G293" s="50">
        <v>1440</v>
      </c>
    </row>
    <row r="294" spans="1:7" ht="16.5" x14ac:dyDescent="0.25">
      <c r="A294" s="50">
        <v>293</v>
      </c>
      <c r="B294" s="50" t="s">
        <v>1682</v>
      </c>
      <c r="C294" s="50">
        <v>8</v>
      </c>
      <c r="D294" s="50" t="s">
        <v>1342</v>
      </c>
      <c r="E294" s="50">
        <v>1200</v>
      </c>
      <c r="F294" s="50">
        <v>5</v>
      </c>
      <c r="G294" s="50">
        <v>9120</v>
      </c>
    </row>
    <row r="295" spans="1:7" ht="16.5" x14ac:dyDescent="0.25">
      <c r="A295" s="50">
        <v>294</v>
      </c>
      <c r="B295" s="50" t="s">
        <v>1683</v>
      </c>
      <c r="C295" s="50">
        <v>8</v>
      </c>
      <c r="D295" s="50" t="s">
        <v>1240</v>
      </c>
      <c r="E295" s="50">
        <v>1200</v>
      </c>
      <c r="F295" s="50">
        <v>0</v>
      </c>
      <c r="G295" s="50">
        <v>9600</v>
      </c>
    </row>
    <row r="296" spans="1:7" ht="16.5" x14ac:dyDescent="0.25">
      <c r="A296" s="50">
        <v>295</v>
      </c>
      <c r="B296" s="50" t="s">
        <v>1684</v>
      </c>
      <c r="C296" s="50">
        <v>12</v>
      </c>
      <c r="D296" s="50" t="s">
        <v>1161</v>
      </c>
      <c r="E296" s="50">
        <v>1200</v>
      </c>
      <c r="F296" s="50">
        <v>10</v>
      </c>
      <c r="G296" s="50">
        <v>12960</v>
      </c>
    </row>
    <row r="297" spans="1:7" ht="16.5" x14ac:dyDescent="0.25">
      <c r="A297" s="50">
        <v>296</v>
      </c>
      <c r="B297" s="50" t="s">
        <v>1686</v>
      </c>
      <c r="C297" s="50">
        <v>9</v>
      </c>
      <c r="D297" s="50" t="s">
        <v>1201</v>
      </c>
      <c r="E297" s="50">
        <v>1200</v>
      </c>
      <c r="F297" s="50">
        <v>5</v>
      </c>
      <c r="G297" s="50">
        <v>10260</v>
      </c>
    </row>
    <row r="298" spans="1:7" ht="16.5" x14ac:dyDescent="0.25">
      <c r="A298" s="50">
        <v>297</v>
      </c>
      <c r="B298" s="50" t="s">
        <v>1688</v>
      </c>
      <c r="C298" s="50">
        <v>15</v>
      </c>
      <c r="D298" s="50" t="s">
        <v>1187</v>
      </c>
      <c r="E298" s="50">
        <v>1500</v>
      </c>
      <c r="F298" s="50">
        <v>10</v>
      </c>
      <c r="G298" s="50">
        <v>20250</v>
      </c>
    </row>
    <row r="299" spans="1:7" ht="16.5" x14ac:dyDescent="0.25">
      <c r="A299" s="50">
        <v>298</v>
      </c>
      <c r="B299" s="50" t="s">
        <v>1689</v>
      </c>
      <c r="C299" s="50">
        <v>11</v>
      </c>
      <c r="D299" s="50" t="s">
        <v>1143</v>
      </c>
      <c r="E299" s="50">
        <v>1200</v>
      </c>
      <c r="F299" s="50">
        <v>0</v>
      </c>
      <c r="G299" s="50">
        <v>13200</v>
      </c>
    </row>
    <row r="300" spans="1:7" ht="16.5" x14ac:dyDescent="0.25">
      <c r="A300" s="50">
        <v>299</v>
      </c>
      <c r="B300" s="50" t="s">
        <v>1691</v>
      </c>
      <c r="C300" s="50">
        <v>11</v>
      </c>
      <c r="D300" s="50" t="s">
        <v>1161</v>
      </c>
      <c r="E300" s="50">
        <v>1500</v>
      </c>
      <c r="F300" s="50">
        <v>10</v>
      </c>
      <c r="G300" s="50">
        <v>14850</v>
      </c>
    </row>
    <row r="301" spans="1:7" ht="16.5" x14ac:dyDescent="0.25">
      <c r="A301" s="50">
        <v>300</v>
      </c>
      <c r="B301" s="50" t="s">
        <v>1693</v>
      </c>
      <c r="C301" s="50">
        <v>2</v>
      </c>
      <c r="D301" s="50" t="s">
        <v>1187</v>
      </c>
      <c r="E301" s="50">
        <v>800</v>
      </c>
      <c r="F301" s="50">
        <v>0</v>
      </c>
      <c r="G301" s="50">
        <v>1600</v>
      </c>
    </row>
    <row r="302" spans="1:7" ht="16.5" x14ac:dyDescent="0.25">
      <c r="A302" s="50">
        <v>301</v>
      </c>
      <c r="B302" s="50" t="s">
        <v>1695</v>
      </c>
      <c r="C302" s="50">
        <v>15</v>
      </c>
      <c r="D302" s="50" t="s">
        <v>1342</v>
      </c>
      <c r="E302" s="50">
        <v>800</v>
      </c>
      <c r="F302" s="50">
        <v>10</v>
      </c>
      <c r="G302" s="50">
        <v>10800</v>
      </c>
    </row>
    <row r="303" spans="1:7" ht="16.5" x14ac:dyDescent="0.25">
      <c r="A303" s="50">
        <v>302</v>
      </c>
      <c r="B303" s="50" t="s">
        <v>1696</v>
      </c>
      <c r="C303" s="50">
        <v>7</v>
      </c>
      <c r="D303" s="50" t="s">
        <v>1229</v>
      </c>
      <c r="E303" s="50">
        <v>1200</v>
      </c>
      <c r="F303" s="50">
        <v>0</v>
      </c>
      <c r="G303" s="50">
        <v>8400</v>
      </c>
    </row>
    <row r="304" spans="1:7" ht="16.5" x14ac:dyDescent="0.25">
      <c r="A304" s="50">
        <v>303</v>
      </c>
      <c r="B304" s="50" t="s">
        <v>1698</v>
      </c>
      <c r="C304" s="50">
        <v>17</v>
      </c>
      <c r="D304" s="50" t="s">
        <v>1171</v>
      </c>
      <c r="E304" s="50">
        <v>1200</v>
      </c>
      <c r="F304" s="50">
        <v>5</v>
      </c>
      <c r="G304" s="50">
        <v>19380</v>
      </c>
    </row>
    <row r="305" spans="1:7" ht="16.5" x14ac:dyDescent="0.25">
      <c r="A305" s="50">
        <v>304</v>
      </c>
      <c r="B305" s="50" t="s">
        <v>1700</v>
      </c>
      <c r="C305" s="50">
        <v>9</v>
      </c>
      <c r="D305" s="50" t="s">
        <v>1158</v>
      </c>
      <c r="E305" s="50">
        <v>1200</v>
      </c>
      <c r="F305" s="50">
        <v>0</v>
      </c>
      <c r="G305" s="50">
        <v>10800</v>
      </c>
    </row>
    <row r="306" spans="1:7" ht="16.5" x14ac:dyDescent="0.25">
      <c r="A306" s="50">
        <v>305</v>
      </c>
      <c r="B306" s="50" t="s">
        <v>1701</v>
      </c>
      <c r="C306" s="50">
        <v>14</v>
      </c>
      <c r="D306" s="50" t="s">
        <v>1137</v>
      </c>
      <c r="E306" s="50">
        <v>1200</v>
      </c>
      <c r="F306" s="50">
        <v>15</v>
      </c>
      <c r="G306" s="50">
        <v>14280</v>
      </c>
    </row>
    <row r="307" spans="1:7" ht="16.5" x14ac:dyDescent="0.25">
      <c r="A307" s="50">
        <v>306</v>
      </c>
      <c r="B307" s="50" t="s">
        <v>1702</v>
      </c>
      <c r="C307" s="50">
        <v>20</v>
      </c>
      <c r="D307" s="50" t="s">
        <v>1342</v>
      </c>
      <c r="E307" s="50">
        <v>1200</v>
      </c>
      <c r="F307" s="50">
        <v>10</v>
      </c>
      <c r="G307" s="50">
        <v>21600</v>
      </c>
    </row>
    <row r="308" spans="1:7" ht="16.5" x14ac:dyDescent="0.25">
      <c r="A308" s="50">
        <v>307</v>
      </c>
      <c r="B308" s="50" t="s">
        <v>1703</v>
      </c>
      <c r="C308" s="50">
        <v>5</v>
      </c>
      <c r="D308" s="50" t="s">
        <v>1149</v>
      </c>
      <c r="E308" s="50">
        <v>1500</v>
      </c>
      <c r="F308" s="50">
        <v>10</v>
      </c>
      <c r="G308" s="50">
        <v>6750</v>
      </c>
    </row>
    <row r="309" spans="1:7" ht="16.5" x14ac:dyDescent="0.25">
      <c r="A309" s="50">
        <v>308</v>
      </c>
      <c r="B309" s="50" t="s">
        <v>1704</v>
      </c>
      <c r="C309" s="50">
        <v>3</v>
      </c>
      <c r="D309" s="50" t="s">
        <v>1166</v>
      </c>
      <c r="E309" s="50">
        <v>1500</v>
      </c>
      <c r="F309" s="50">
        <v>5</v>
      </c>
      <c r="G309" s="50">
        <v>4275</v>
      </c>
    </row>
    <row r="310" spans="1:7" ht="16.5" x14ac:dyDescent="0.25">
      <c r="A310" s="50">
        <v>309</v>
      </c>
      <c r="B310" s="50" t="s">
        <v>1706</v>
      </c>
      <c r="C310" s="50">
        <v>10</v>
      </c>
      <c r="D310" s="50" t="s">
        <v>1198</v>
      </c>
      <c r="E310" s="50">
        <v>800</v>
      </c>
      <c r="F310" s="50">
        <v>15</v>
      </c>
      <c r="G310" s="50">
        <v>6800</v>
      </c>
    </row>
    <row r="311" spans="1:7" ht="16.5" x14ac:dyDescent="0.25">
      <c r="A311" s="50">
        <v>310</v>
      </c>
      <c r="B311" s="50" t="s">
        <v>1707</v>
      </c>
      <c r="C311" s="50">
        <v>2</v>
      </c>
      <c r="D311" s="50" t="s">
        <v>1198</v>
      </c>
      <c r="E311" s="50">
        <v>1500</v>
      </c>
      <c r="F311" s="50">
        <v>0</v>
      </c>
      <c r="G311" s="50">
        <v>3000</v>
      </c>
    </row>
    <row r="312" spans="1:7" ht="16.5" x14ac:dyDescent="0.25">
      <c r="A312" s="50">
        <v>311</v>
      </c>
      <c r="B312" s="50" t="s">
        <v>1708</v>
      </c>
      <c r="C312" s="50">
        <v>17</v>
      </c>
      <c r="D312" s="50" t="s">
        <v>1240</v>
      </c>
      <c r="E312" s="50">
        <v>1500</v>
      </c>
      <c r="F312" s="50">
        <v>0</v>
      </c>
      <c r="G312" s="50">
        <v>25500</v>
      </c>
    </row>
    <row r="313" spans="1:7" ht="16.5" x14ac:dyDescent="0.25">
      <c r="A313" s="50">
        <v>312</v>
      </c>
      <c r="B313" s="50" t="s">
        <v>1710</v>
      </c>
      <c r="C313" s="50">
        <v>6</v>
      </c>
      <c r="D313" s="50" t="s">
        <v>1143</v>
      </c>
      <c r="E313" s="50">
        <v>1500</v>
      </c>
      <c r="F313" s="50">
        <v>15</v>
      </c>
      <c r="G313" s="50">
        <v>7650</v>
      </c>
    </row>
    <row r="314" spans="1:7" ht="16.5" x14ac:dyDescent="0.25">
      <c r="A314" s="50">
        <v>313</v>
      </c>
      <c r="B314" s="50" t="s">
        <v>1712</v>
      </c>
      <c r="C314" s="50">
        <v>4</v>
      </c>
      <c r="D314" s="50" t="s">
        <v>1152</v>
      </c>
      <c r="E314" s="50">
        <v>1500</v>
      </c>
      <c r="F314" s="50">
        <v>0</v>
      </c>
      <c r="G314" s="50">
        <v>6000</v>
      </c>
    </row>
    <row r="315" spans="1:7" ht="16.5" x14ac:dyDescent="0.25">
      <c r="A315" s="50">
        <v>314</v>
      </c>
      <c r="B315" s="50" t="s">
        <v>1714</v>
      </c>
      <c r="C315" s="50">
        <v>3</v>
      </c>
      <c r="D315" s="50" t="s">
        <v>1192</v>
      </c>
      <c r="E315" s="50">
        <v>1200</v>
      </c>
      <c r="F315" s="50">
        <v>15</v>
      </c>
      <c r="G315" s="50">
        <v>3060</v>
      </c>
    </row>
    <row r="316" spans="1:7" ht="16.5" x14ac:dyDescent="0.25">
      <c r="A316" s="50">
        <v>315</v>
      </c>
      <c r="B316" s="50" t="s">
        <v>1715</v>
      </c>
      <c r="C316" s="50">
        <v>13</v>
      </c>
      <c r="D316" s="50" t="s">
        <v>1155</v>
      </c>
      <c r="E316" s="50">
        <v>1500</v>
      </c>
      <c r="F316" s="50">
        <v>5</v>
      </c>
      <c r="G316" s="50">
        <v>18525</v>
      </c>
    </row>
    <row r="317" spans="1:7" ht="16.5" x14ac:dyDescent="0.25">
      <c r="A317" s="50">
        <v>316</v>
      </c>
      <c r="B317" s="50" t="s">
        <v>1716</v>
      </c>
      <c r="C317" s="50">
        <v>7</v>
      </c>
      <c r="D317" s="50" t="s">
        <v>1146</v>
      </c>
      <c r="E317" s="50">
        <v>1200</v>
      </c>
      <c r="F317" s="50">
        <v>10</v>
      </c>
      <c r="G317" s="50">
        <v>7560</v>
      </c>
    </row>
    <row r="318" spans="1:7" ht="16.5" x14ac:dyDescent="0.25">
      <c r="A318" s="50">
        <v>317</v>
      </c>
      <c r="B318" s="50" t="s">
        <v>1718</v>
      </c>
      <c r="C318" s="50">
        <v>16</v>
      </c>
      <c r="D318" s="50" t="s">
        <v>1229</v>
      </c>
      <c r="E318" s="50">
        <v>1500</v>
      </c>
      <c r="F318" s="50">
        <v>10</v>
      </c>
      <c r="G318" s="50">
        <v>21600</v>
      </c>
    </row>
    <row r="319" spans="1:7" ht="16.5" x14ac:dyDescent="0.25">
      <c r="A319" s="50">
        <v>318</v>
      </c>
      <c r="B319" s="50" t="s">
        <v>1720</v>
      </c>
      <c r="C319" s="50">
        <v>8</v>
      </c>
      <c r="D319" s="50" t="s">
        <v>1240</v>
      </c>
      <c r="E319" s="50">
        <v>800</v>
      </c>
      <c r="F319" s="50">
        <v>15</v>
      </c>
      <c r="G319" s="50">
        <v>5440</v>
      </c>
    </row>
    <row r="320" spans="1:7" ht="16.5" x14ac:dyDescent="0.25">
      <c r="A320" s="50">
        <v>319</v>
      </c>
      <c r="B320" s="50" t="s">
        <v>1722</v>
      </c>
      <c r="C320" s="50">
        <v>1</v>
      </c>
      <c r="D320" s="50" t="s">
        <v>1155</v>
      </c>
      <c r="E320" s="50">
        <v>800</v>
      </c>
      <c r="F320" s="50">
        <v>5</v>
      </c>
      <c r="G320" s="50">
        <v>760</v>
      </c>
    </row>
    <row r="321" spans="1:7" ht="16.5" x14ac:dyDescent="0.25">
      <c r="A321" s="50">
        <v>320</v>
      </c>
      <c r="B321" s="50" t="s">
        <v>1724</v>
      </c>
      <c r="C321" s="50">
        <v>5</v>
      </c>
      <c r="D321" s="50" t="s">
        <v>1342</v>
      </c>
      <c r="E321" s="50">
        <v>1500</v>
      </c>
      <c r="F321" s="50">
        <v>5</v>
      </c>
      <c r="G321" s="50">
        <v>7125</v>
      </c>
    </row>
    <row r="322" spans="1:7" ht="16.5" x14ac:dyDescent="0.25">
      <c r="A322" s="50">
        <v>321</v>
      </c>
      <c r="B322" s="50" t="s">
        <v>1726</v>
      </c>
      <c r="C322" s="50">
        <v>3</v>
      </c>
      <c r="D322" s="50" t="s">
        <v>1192</v>
      </c>
      <c r="E322" s="50">
        <v>1500</v>
      </c>
      <c r="F322" s="50">
        <v>15</v>
      </c>
      <c r="G322" s="50">
        <v>3825</v>
      </c>
    </row>
    <row r="323" spans="1:7" ht="16.5" x14ac:dyDescent="0.25">
      <c r="A323" s="50">
        <v>322</v>
      </c>
      <c r="B323" s="50" t="s">
        <v>1728</v>
      </c>
      <c r="C323" s="50">
        <v>11</v>
      </c>
      <c r="D323" s="50" t="s">
        <v>1143</v>
      </c>
      <c r="E323" s="50">
        <v>800</v>
      </c>
      <c r="F323" s="50">
        <v>5</v>
      </c>
      <c r="G323" s="50">
        <v>8360</v>
      </c>
    </row>
    <row r="324" spans="1:7" ht="16.5" x14ac:dyDescent="0.25">
      <c r="A324" s="50">
        <v>323</v>
      </c>
      <c r="B324" s="50" t="s">
        <v>1730</v>
      </c>
      <c r="C324" s="50">
        <v>19</v>
      </c>
      <c r="D324" s="50" t="s">
        <v>1192</v>
      </c>
      <c r="E324" s="50">
        <v>1500</v>
      </c>
      <c r="F324" s="50">
        <v>0</v>
      </c>
      <c r="G324" s="50">
        <v>28500</v>
      </c>
    </row>
    <row r="325" spans="1:7" ht="16.5" x14ac:dyDescent="0.25">
      <c r="A325" s="50">
        <v>324</v>
      </c>
      <c r="B325" s="50" t="s">
        <v>1731</v>
      </c>
      <c r="C325" s="50">
        <v>4</v>
      </c>
      <c r="D325" s="50" t="s">
        <v>1137</v>
      </c>
      <c r="E325" s="50">
        <v>1200</v>
      </c>
      <c r="F325" s="50">
        <v>15</v>
      </c>
      <c r="G325" s="50">
        <v>4080</v>
      </c>
    </row>
    <row r="326" spans="1:7" ht="16.5" x14ac:dyDescent="0.25">
      <c r="A326" s="50">
        <v>325</v>
      </c>
      <c r="B326" s="50" t="s">
        <v>1733</v>
      </c>
      <c r="C326" s="50">
        <v>14</v>
      </c>
      <c r="D326" s="50" t="s">
        <v>1146</v>
      </c>
      <c r="E326" s="50">
        <v>800</v>
      </c>
      <c r="F326" s="50">
        <v>10</v>
      </c>
      <c r="G326" s="50">
        <v>10080</v>
      </c>
    </row>
    <row r="327" spans="1:7" ht="16.5" x14ac:dyDescent="0.25">
      <c r="A327" s="50">
        <v>326</v>
      </c>
      <c r="B327" s="50" t="s">
        <v>1734</v>
      </c>
      <c r="C327" s="50">
        <v>11</v>
      </c>
      <c r="D327" s="50" t="s">
        <v>1149</v>
      </c>
      <c r="E327" s="50">
        <v>800</v>
      </c>
      <c r="F327" s="50">
        <v>15</v>
      </c>
      <c r="G327" s="50">
        <v>7480</v>
      </c>
    </row>
    <row r="328" spans="1:7" ht="16.5" x14ac:dyDescent="0.25">
      <c r="A328" s="50">
        <v>327</v>
      </c>
      <c r="B328" s="50" t="s">
        <v>1736</v>
      </c>
      <c r="C328" s="50">
        <v>20</v>
      </c>
      <c r="D328" s="50" t="s">
        <v>1166</v>
      </c>
      <c r="E328" s="50">
        <v>1200</v>
      </c>
      <c r="F328" s="50">
        <v>0</v>
      </c>
      <c r="G328" s="50">
        <v>24000</v>
      </c>
    </row>
    <row r="329" spans="1:7" ht="16.5" x14ac:dyDescent="0.25">
      <c r="A329" s="50">
        <v>328</v>
      </c>
      <c r="B329" s="50" t="s">
        <v>1737</v>
      </c>
      <c r="C329" s="50">
        <v>12</v>
      </c>
      <c r="D329" s="50" t="s">
        <v>1174</v>
      </c>
      <c r="E329" s="50">
        <v>800</v>
      </c>
      <c r="F329" s="50">
        <v>10</v>
      </c>
      <c r="G329" s="50">
        <v>8640</v>
      </c>
    </row>
    <row r="330" spans="1:7" ht="16.5" x14ac:dyDescent="0.25">
      <c r="A330" s="50">
        <v>329</v>
      </c>
      <c r="B330" s="50" t="s">
        <v>1739</v>
      </c>
      <c r="C330" s="50">
        <v>10</v>
      </c>
      <c r="D330" s="50" t="s">
        <v>1171</v>
      </c>
      <c r="E330" s="50">
        <v>1200</v>
      </c>
      <c r="F330" s="50">
        <v>5</v>
      </c>
      <c r="G330" s="50">
        <v>11400</v>
      </c>
    </row>
    <row r="331" spans="1:7" ht="16.5" x14ac:dyDescent="0.25">
      <c r="A331" s="50">
        <v>330</v>
      </c>
      <c r="B331" s="50" t="s">
        <v>1741</v>
      </c>
      <c r="C331" s="50">
        <v>8</v>
      </c>
      <c r="D331" s="50" t="s">
        <v>1187</v>
      </c>
      <c r="E331" s="50">
        <v>1500</v>
      </c>
      <c r="F331" s="50">
        <v>10</v>
      </c>
      <c r="G331" s="50">
        <v>10800</v>
      </c>
    </row>
    <row r="332" spans="1:7" ht="16.5" x14ac:dyDescent="0.25">
      <c r="A332" s="50">
        <v>331</v>
      </c>
      <c r="B332" s="50" t="s">
        <v>1743</v>
      </c>
      <c r="C332" s="50">
        <v>15</v>
      </c>
      <c r="D332" s="50" t="s">
        <v>1143</v>
      </c>
      <c r="E332" s="50">
        <v>1500</v>
      </c>
      <c r="F332" s="50">
        <v>0</v>
      </c>
      <c r="G332" s="50">
        <v>22500</v>
      </c>
    </row>
    <row r="333" spans="1:7" ht="16.5" x14ac:dyDescent="0.25">
      <c r="A333" s="50">
        <v>332</v>
      </c>
      <c r="B333" s="50" t="s">
        <v>1745</v>
      </c>
      <c r="C333" s="50">
        <v>19</v>
      </c>
      <c r="D333" s="50" t="s">
        <v>1187</v>
      </c>
      <c r="E333" s="50">
        <v>1200</v>
      </c>
      <c r="F333" s="50">
        <v>0</v>
      </c>
      <c r="G333" s="50">
        <v>22800</v>
      </c>
    </row>
    <row r="334" spans="1:7" ht="16.5" x14ac:dyDescent="0.25">
      <c r="A334" s="50">
        <v>333</v>
      </c>
      <c r="B334" s="50" t="s">
        <v>1746</v>
      </c>
      <c r="C334" s="50">
        <v>4</v>
      </c>
      <c r="D334" s="50" t="s">
        <v>1262</v>
      </c>
      <c r="E334" s="50">
        <v>1200</v>
      </c>
      <c r="F334" s="50">
        <v>0</v>
      </c>
      <c r="G334" s="50">
        <v>4800</v>
      </c>
    </row>
    <row r="335" spans="1:7" ht="16.5" x14ac:dyDescent="0.25">
      <c r="A335" s="50">
        <v>334</v>
      </c>
      <c r="B335" s="50" t="s">
        <v>1748</v>
      </c>
      <c r="C335" s="50">
        <v>7</v>
      </c>
      <c r="D335" s="50" t="s">
        <v>1158</v>
      </c>
      <c r="E335" s="50">
        <v>1500</v>
      </c>
      <c r="F335" s="50">
        <v>10</v>
      </c>
      <c r="G335" s="50">
        <v>9450</v>
      </c>
    </row>
    <row r="336" spans="1:7" ht="16.5" x14ac:dyDescent="0.25">
      <c r="A336" s="50">
        <v>335</v>
      </c>
      <c r="B336" s="50" t="s">
        <v>1749</v>
      </c>
      <c r="C336" s="50">
        <v>17</v>
      </c>
      <c r="D336" s="50" t="s">
        <v>1152</v>
      </c>
      <c r="E336" s="50">
        <v>1200</v>
      </c>
      <c r="F336" s="50">
        <v>5</v>
      </c>
      <c r="G336" s="50">
        <v>19380</v>
      </c>
    </row>
    <row r="337" spans="1:7" ht="16.5" x14ac:dyDescent="0.25">
      <c r="A337" s="50">
        <v>336</v>
      </c>
      <c r="B337" s="50" t="s">
        <v>1750</v>
      </c>
      <c r="C337" s="50">
        <v>9</v>
      </c>
      <c r="D337" s="50" t="s">
        <v>1240</v>
      </c>
      <c r="E337" s="50">
        <v>1200</v>
      </c>
      <c r="F337" s="50">
        <v>10</v>
      </c>
      <c r="G337" s="50">
        <v>9720</v>
      </c>
    </row>
    <row r="338" spans="1:7" ht="16.5" x14ac:dyDescent="0.25">
      <c r="A338" s="50">
        <v>337</v>
      </c>
      <c r="B338" s="50" t="s">
        <v>1751</v>
      </c>
      <c r="C338" s="50">
        <v>7</v>
      </c>
      <c r="D338" s="50" t="s">
        <v>1158</v>
      </c>
      <c r="E338" s="50">
        <v>1500</v>
      </c>
      <c r="F338" s="50">
        <v>5</v>
      </c>
      <c r="G338" s="50">
        <v>9975</v>
      </c>
    </row>
    <row r="339" spans="1:7" ht="16.5" x14ac:dyDescent="0.25">
      <c r="A339" s="50">
        <v>338</v>
      </c>
      <c r="B339" s="50" t="s">
        <v>1753</v>
      </c>
      <c r="C339" s="50">
        <v>20</v>
      </c>
      <c r="D339" s="50" t="s">
        <v>1146</v>
      </c>
      <c r="E339" s="50">
        <v>800</v>
      </c>
      <c r="F339" s="50">
        <v>0</v>
      </c>
      <c r="G339" s="50">
        <v>16000</v>
      </c>
    </row>
    <row r="340" spans="1:7" ht="16.5" x14ac:dyDescent="0.25">
      <c r="A340" s="50">
        <v>339</v>
      </c>
      <c r="B340" s="50" t="s">
        <v>1755</v>
      </c>
      <c r="C340" s="50">
        <v>18</v>
      </c>
      <c r="D340" s="50" t="s">
        <v>1137</v>
      </c>
      <c r="E340" s="50">
        <v>1500</v>
      </c>
      <c r="F340" s="50">
        <v>0</v>
      </c>
      <c r="G340" s="50">
        <v>27000</v>
      </c>
    </row>
    <row r="341" spans="1:7" ht="16.5" x14ac:dyDescent="0.25">
      <c r="A341" s="50">
        <v>340</v>
      </c>
      <c r="B341" s="50" t="s">
        <v>1756</v>
      </c>
      <c r="C341" s="50">
        <v>1</v>
      </c>
      <c r="D341" s="50" t="s">
        <v>1174</v>
      </c>
      <c r="E341" s="50">
        <v>1200</v>
      </c>
      <c r="F341" s="50">
        <v>10</v>
      </c>
      <c r="G341" s="50">
        <v>1080</v>
      </c>
    </row>
    <row r="342" spans="1:7" ht="16.5" x14ac:dyDescent="0.25">
      <c r="A342" s="50">
        <v>341</v>
      </c>
      <c r="B342" s="50" t="s">
        <v>1758</v>
      </c>
      <c r="C342" s="50">
        <v>20</v>
      </c>
      <c r="D342" s="50" t="s">
        <v>1342</v>
      </c>
      <c r="E342" s="50">
        <v>800</v>
      </c>
      <c r="F342" s="50">
        <v>10</v>
      </c>
      <c r="G342" s="50">
        <v>14400</v>
      </c>
    </row>
    <row r="343" spans="1:7" ht="16.5" x14ac:dyDescent="0.25">
      <c r="A343" s="50">
        <v>342</v>
      </c>
      <c r="B343" s="50" t="s">
        <v>1760</v>
      </c>
      <c r="C343" s="50">
        <v>16</v>
      </c>
      <c r="D343" s="50" t="s">
        <v>1146</v>
      </c>
      <c r="E343" s="50">
        <v>1200</v>
      </c>
      <c r="F343" s="50">
        <v>0</v>
      </c>
      <c r="G343" s="50">
        <v>19200</v>
      </c>
    </row>
    <row r="344" spans="1:7" ht="16.5" x14ac:dyDescent="0.25">
      <c r="A344" s="50">
        <v>343</v>
      </c>
      <c r="B344" s="50" t="s">
        <v>1761</v>
      </c>
      <c r="C344" s="50">
        <v>8</v>
      </c>
      <c r="D344" s="50" t="s">
        <v>1174</v>
      </c>
      <c r="E344" s="50">
        <v>800</v>
      </c>
      <c r="F344" s="50">
        <v>0</v>
      </c>
      <c r="G344" s="50">
        <v>6400</v>
      </c>
    </row>
    <row r="345" spans="1:7" ht="16.5" x14ac:dyDescent="0.25">
      <c r="A345" s="50">
        <v>344</v>
      </c>
      <c r="B345" s="50" t="s">
        <v>1763</v>
      </c>
      <c r="C345" s="50">
        <v>10</v>
      </c>
      <c r="D345" s="50" t="s">
        <v>1137</v>
      </c>
      <c r="E345" s="50">
        <v>800</v>
      </c>
      <c r="F345" s="50">
        <v>5</v>
      </c>
      <c r="G345" s="50">
        <v>7600</v>
      </c>
    </row>
    <row r="346" spans="1:7" ht="16.5" x14ac:dyDescent="0.25">
      <c r="A346" s="50">
        <v>345</v>
      </c>
      <c r="B346" s="50" t="s">
        <v>1765</v>
      </c>
      <c r="C346" s="50">
        <v>3</v>
      </c>
      <c r="D346" s="50" t="s">
        <v>1137</v>
      </c>
      <c r="E346" s="50">
        <v>1200</v>
      </c>
      <c r="F346" s="50">
        <v>5</v>
      </c>
      <c r="G346" s="50">
        <v>3420</v>
      </c>
    </row>
    <row r="347" spans="1:7" ht="16.5" x14ac:dyDescent="0.25">
      <c r="A347" s="50">
        <v>346</v>
      </c>
      <c r="B347" s="50" t="s">
        <v>1767</v>
      </c>
      <c r="C347" s="50">
        <v>3</v>
      </c>
      <c r="D347" s="50" t="s">
        <v>1171</v>
      </c>
      <c r="E347" s="50">
        <v>1200</v>
      </c>
      <c r="F347" s="50">
        <v>15</v>
      </c>
      <c r="G347" s="50">
        <v>3060</v>
      </c>
    </row>
    <row r="348" spans="1:7" ht="16.5" x14ac:dyDescent="0.25">
      <c r="A348" s="50">
        <v>347</v>
      </c>
      <c r="B348" s="50" t="s">
        <v>1769</v>
      </c>
      <c r="C348" s="50">
        <v>6</v>
      </c>
      <c r="D348" s="50" t="s">
        <v>1229</v>
      </c>
      <c r="E348" s="50">
        <v>800</v>
      </c>
      <c r="F348" s="50">
        <v>10</v>
      </c>
      <c r="G348" s="50">
        <v>4320</v>
      </c>
    </row>
    <row r="349" spans="1:7" ht="16.5" x14ac:dyDescent="0.25">
      <c r="A349" s="50">
        <v>348</v>
      </c>
      <c r="B349" s="50" t="s">
        <v>1770</v>
      </c>
      <c r="C349" s="50">
        <v>16</v>
      </c>
      <c r="D349" s="50" t="s">
        <v>1171</v>
      </c>
      <c r="E349" s="50">
        <v>1200</v>
      </c>
      <c r="F349" s="50">
        <v>15</v>
      </c>
      <c r="G349" s="50">
        <v>16320</v>
      </c>
    </row>
    <row r="350" spans="1:7" ht="16.5" x14ac:dyDescent="0.25">
      <c r="A350" s="50">
        <v>349</v>
      </c>
      <c r="B350" s="50" t="s">
        <v>1771</v>
      </c>
      <c r="C350" s="50">
        <v>18</v>
      </c>
      <c r="D350" s="50" t="s">
        <v>1149</v>
      </c>
      <c r="E350" s="50">
        <v>1200</v>
      </c>
      <c r="F350" s="50">
        <v>10</v>
      </c>
      <c r="G350" s="50">
        <v>19440</v>
      </c>
    </row>
    <row r="351" spans="1:7" ht="16.5" x14ac:dyDescent="0.25">
      <c r="A351" s="50">
        <v>350</v>
      </c>
      <c r="B351" s="50" t="s">
        <v>1772</v>
      </c>
      <c r="C351" s="50">
        <v>11</v>
      </c>
      <c r="D351" s="50" t="s">
        <v>1192</v>
      </c>
      <c r="E351" s="50">
        <v>800</v>
      </c>
      <c r="F351" s="50">
        <v>0</v>
      </c>
      <c r="G351" s="50">
        <v>8800</v>
      </c>
    </row>
    <row r="352" spans="1:7" ht="16.5" x14ac:dyDescent="0.25">
      <c r="A352" s="50">
        <v>351</v>
      </c>
      <c r="B352" s="50" t="s">
        <v>1773</v>
      </c>
      <c r="C352" s="50">
        <v>18</v>
      </c>
      <c r="D352" s="50" t="s">
        <v>1161</v>
      </c>
      <c r="E352" s="50">
        <v>1200</v>
      </c>
      <c r="F352" s="50">
        <v>0</v>
      </c>
      <c r="G352" s="50">
        <v>21600</v>
      </c>
    </row>
    <row r="353" spans="1:7" ht="16.5" x14ac:dyDescent="0.25">
      <c r="A353" s="50">
        <v>352</v>
      </c>
      <c r="B353" s="50" t="s">
        <v>1774</v>
      </c>
      <c r="C353" s="50">
        <v>4</v>
      </c>
      <c r="D353" s="50" t="s">
        <v>1166</v>
      </c>
      <c r="E353" s="50">
        <v>1200</v>
      </c>
      <c r="F353" s="50">
        <v>10</v>
      </c>
      <c r="G353" s="50">
        <v>4320</v>
      </c>
    </row>
    <row r="354" spans="1:7" ht="16.5" x14ac:dyDescent="0.25">
      <c r="A354" s="50">
        <v>353</v>
      </c>
      <c r="B354" s="50" t="s">
        <v>1775</v>
      </c>
      <c r="C354" s="50">
        <v>6</v>
      </c>
      <c r="D354" s="50" t="s">
        <v>1262</v>
      </c>
      <c r="E354" s="50">
        <v>1200</v>
      </c>
      <c r="F354" s="50">
        <v>10</v>
      </c>
      <c r="G354" s="50">
        <v>6480</v>
      </c>
    </row>
    <row r="355" spans="1:7" ht="16.5" x14ac:dyDescent="0.25">
      <c r="A355" s="50">
        <v>354</v>
      </c>
      <c r="B355" s="50" t="s">
        <v>1777</v>
      </c>
      <c r="C355" s="50">
        <v>18</v>
      </c>
      <c r="D355" s="50" t="s">
        <v>1262</v>
      </c>
      <c r="E355" s="50">
        <v>1200</v>
      </c>
      <c r="F355" s="50">
        <v>0</v>
      </c>
      <c r="G355" s="50">
        <v>21600</v>
      </c>
    </row>
    <row r="356" spans="1:7" ht="16.5" x14ac:dyDescent="0.25">
      <c r="A356" s="50">
        <v>355</v>
      </c>
      <c r="B356" s="50" t="s">
        <v>1778</v>
      </c>
      <c r="C356" s="50">
        <v>2</v>
      </c>
      <c r="D356" s="50" t="s">
        <v>1201</v>
      </c>
      <c r="E356" s="50">
        <v>1500</v>
      </c>
      <c r="F356" s="50">
        <v>10</v>
      </c>
      <c r="G356" s="50">
        <v>2700</v>
      </c>
    </row>
    <row r="357" spans="1:7" ht="16.5" x14ac:dyDescent="0.25">
      <c r="A357" s="50">
        <v>356</v>
      </c>
      <c r="B357" s="50" t="s">
        <v>1780</v>
      </c>
      <c r="C357" s="50">
        <v>13</v>
      </c>
      <c r="D357" s="50" t="s">
        <v>1218</v>
      </c>
      <c r="E357" s="50">
        <v>1500</v>
      </c>
      <c r="F357" s="50">
        <v>5</v>
      </c>
      <c r="G357" s="50">
        <v>18525</v>
      </c>
    </row>
    <row r="358" spans="1:7" ht="16.5" x14ac:dyDescent="0.25">
      <c r="A358" s="50">
        <v>357</v>
      </c>
      <c r="B358" s="50" t="s">
        <v>1782</v>
      </c>
      <c r="C358" s="50">
        <v>8</v>
      </c>
      <c r="D358" s="50" t="s">
        <v>1166</v>
      </c>
      <c r="E358" s="50">
        <v>1500</v>
      </c>
      <c r="F358" s="50">
        <v>10</v>
      </c>
      <c r="G358" s="50">
        <v>10800</v>
      </c>
    </row>
    <row r="359" spans="1:7" ht="16.5" x14ac:dyDescent="0.25">
      <c r="A359" s="50">
        <v>358</v>
      </c>
      <c r="B359" s="50" t="s">
        <v>1783</v>
      </c>
      <c r="C359" s="50">
        <v>12</v>
      </c>
      <c r="D359" s="50" t="s">
        <v>1218</v>
      </c>
      <c r="E359" s="50">
        <v>1200</v>
      </c>
      <c r="F359" s="50">
        <v>10</v>
      </c>
      <c r="G359" s="50">
        <v>12960</v>
      </c>
    </row>
    <row r="360" spans="1:7" ht="16.5" x14ac:dyDescent="0.25">
      <c r="A360" s="50">
        <v>359</v>
      </c>
      <c r="B360" s="50" t="s">
        <v>1784</v>
      </c>
      <c r="C360" s="50">
        <v>11</v>
      </c>
      <c r="D360" s="50" t="s">
        <v>1192</v>
      </c>
      <c r="E360" s="50">
        <v>800</v>
      </c>
      <c r="F360" s="50">
        <v>10</v>
      </c>
      <c r="G360" s="50">
        <v>7920</v>
      </c>
    </row>
    <row r="361" spans="1:7" ht="16.5" x14ac:dyDescent="0.25">
      <c r="A361" s="50">
        <v>360</v>
      </c>
      <c r="B361" s="50" t="s">
        <v>1786</v>
      </c>
      <c r="C361" s="50">
        <v>19</v>
      </c>
      <c r="D361" s="50" t="s">
        <v>1140</v>
      </c>
      <c r="E361" s="50">
        <v>1500</v>
      </c>
      <c r="F361" s="50">
        <v>5</v>
      </c>
      <c r="G361" s="50">
        <v>27075</v>
      </c>
    </row>
    <row r="362" spans="1:7" ht="16.5" x14ac:dyDescent="0.25">
      <c r="A362" s="50">
        <v>361</v>
      </c>
      <c r="B362" s="50" t="s">
        <v>1788</v>
      </c>
      <c r="C362" s="50">
        <v>1</v>
      </c>
      <c r="D362" s="50" t="s">
        <v>1240</v>
      </c>
      <c r="E362" s="50">
        <v>1200</v>
      </c>
      <c r="F362" s="50">
        <v>10</v>
      </c>
      <c r="G362" s="50">
        <v>1080</v>
      </c>
    </row>
    <row r="363" spans="1:7" ht="16.5" x14ac:dyDescent="0.25">
      <c r="A363" s="50">
        <v>362</v>
      </c>
      <c r="B363" s="50" t="s">
        <v>1790</v>
      </c>
      <c r="C363" s="50">
        <v>14</v>
      </c>
      <c r="D363" s="50" t="s">
        <v>1143</v>
      </c>
      <c r="E363" s="50">
        <v>1500</v>
      </c>
      <c r="F363" s="50">
        <v>0</v>
      </c>
      <c r="G363" s="50">
        <v>21000</v>
      </c>
    </row>
    <row r="364" spans="1:7" ht="16.5" x14ac:dyDescent="0.25">
      <c r="A364" s="50">
        <v>363</v>
      </c>
      <c r="B364" s="50" t="s">
        <v>1791</v>
      </c>
      <c r="C364" s="50">
        <v>13</v>
      </c>
      <c r="D364" s="50" t="s">
        <v>1155</v>
      </c>
      <c r="E364" s="50">
        <v>1200</v>
      </c>
      <c r="F364" s="50">
        <v>10</v>
      </c>
      <c r="G364" s="50">
        <v>14040</v>
      </c>
    </row>
    <row r="365" spans="1:7" ht="16.5" x14ac:dyDescent="0.25">
      <c r="A365" s="50">
        <v>364</v>
      </c>
      <c r="B365" s="50" t="s">
        <v>1793</v>
      </c>
      <c r="C365" s="50">
        <v>11</v>
      </c>
      <c r="D365" s="50" t="s">
        <v>1140</v>
      </c>
      <c r="E365" s="50">
        <v>800</v>
      </c>
      <c r="F365" s="50">
        <v>10</v>
      </c>
      <c r="G365" s="50">
        <v>7920</v>
      </c>
    </row>
    <row r="366" spans="1:7" ht="16.5" x14ac:dyDescent="0.25">
      <c r="A366" s="50">
        <v>365</v>
      </c>
      <c r="B366" s="50" t="s">
        <v>1795</v>
      </c>
      <c r="C366" s="50">
        <v>17</v>
      </c>
      <c r="D366" s="50" t="s">
        <v>1158</v>
      </c>
      <c r="E366" s="50">
        <v>1500</v>
      </c>
      <c r="F366" s="50">
        <v>0</v>
      </c>
      <c r="G366" s="50">
        <v>25500</v>
      </c>
    </row>
    <row r="367" spans="1:7" ht="16.5" x14ac:dyDescent="0.25">
      <c r="A367" s="50">
        <v>366</v>
      </c>
      <c r="B367" s="50" t="s">
        <v>1797</v>
      </c>
      <c r="C367" s="50">
        <v>14</v>
      </c>
      <c r="D367" s="50" t="s">
        <v>1161</v>
      </c>
      <c r="E367" s="50">
        <v>1500</v>
      </c>
      <c r="F367" s="50">
        <v>5</v>
      </c>
      <c r="G367" s="50">
        <v>19950</v>
      </c>
    </row>
    <row r="368" spans="1:7" ht="16.5" x14ac:dyDescent="0.25">
      <c r="A368" s="50">
        <v>367</v>
      </c>
      <c r="B368" s="50" t="s">
        <v>1799</v>
      </c>
      <c r="C368" s="50">
        <v>3</v>
      </c>
      <c r="D368" s="50" t="s">
        <v>1240</v>
      </c>
      <c r="E368" s="50">
        <v>1200</v>
      </c>
      <c r="F368" s="50">
        <v>10</v>
      </c>
      <c r="G368" s="50">
        <v>3240</v>
      </c>
    </row>
    <row r="369" spans="1:7" ht="16.5" x14ac:dyDescent="0.25">
      <c r="A369" s="50">
        <v>368</v>
      </c>
      <c r="B369" s="50" t="s">
        <v>1800</v>
      </c>
      <c r="C369" s="50">
        <v>15</v>
      </c>
      <c r="D369" s="50" t="s">
        <v>1155</v>
      </c>
      <c r="E369" s="50">
        <v>1500</v>
      </c>
      <c r="F369" s="50">
        <v>15</v>
      </c>
      <c r="G369" s="50">
        <v>19125</v>
      </c>
    </row>
    <row r="370" spans="1:7" ht="16.5" x14ac:dyDescent="0.25">
      <c r="A370" s="50">
        <v>369</v>
      </c>
      <c r="B370" s="50" t="s">
        <v>1802</v>
      </c>
      <c r="C370" s="50">
        <v>5</v>
      </c>
      <c r="D370" s="50" t="s">
        <v>1198</v>
      </c>
      <c r="E370" s="50">
        <v>800</v>
      </c>
      <c r="F370" s="50">
        <v>5</v>
      </c>
      <c r="G370" s="50">
        <v>3800</v>
      </c>
    </row>
    <row r="371" spans="1:7" ht="16.5" x14ac:dyDescent="0.25">
      <c r="A371" s="50">
        <v>370</v>
      </c>
      <c r="B371" s="50" t="s">
        <v>1804</v>
      </c>
      <c r="C371" s="50">
        <v>9</v>
      </c>
      <c r="D371" s="50" t="s">
        <v>1137</v>
      </c>
      <c r="E371" s="50">
        <v>800</v>
      </c>
      <c r="F371" s="50">
        <v>15</v>
      </c>
      <c r="G371" s="50">
        <v>6120</v>
      </c>
    </row>
    <row r="372" spans="1:7" ht="16.5" x14ac:dyDescent="0.25">
      <c r="A372" s="50">
        <v>371</v>
      </c>
      <c r="B372" s="50" t="s">
        <v>1805</v>
      </c>
      <c r="C372" s="50">
        <v>5</v>
      </c>
      <c r="D372" s="50" t="s">
        <v>1158</v>
      </c>
      <c r="E372" s="50">
        <v>800</v>
      </c>
      <c r="F372" s="50">
        <v>0</v>
      </c>
      <c r="G372" s="50">
        <v>4000</v>
      </c>
    </row>
    <row r="373" spans="1:7" ht="16.5" x14ac:dyDescent="0.25">
      <c r="A373" s="50">
        <v>372</v>
      </c>
      <c r="B373" s="50" t="s">
        <v>1807</v>
      </c>
      <c r="C373" s="50">
        <v>3</v>
      </c>
      <c r="D373" s="50" t="s">
        <v>1174</v>
      </c>
      <c r="E373" s="50">
        <v>1200</v>
      </c>
      <c r="F373" s="50">
        <v>15</v>
      </c>
      <c r="G373" s="50">
        <v>3060</v>
      </c>
    </row>
    <row r="374" spans="1:7" ht="16.5" x14ac:dyDescent="0.25">
      <c r="A374" s="50">
        <v>373</v>
      </c>
      <c r="B374" s="50" t="s">
        <v>1808</v>
      </c>
      <c r="C374" s="50">
        <v>8</v>
      </c>
      <c r="D374" s="50" t="s">
        <v>1187</v>
      </c>
      <c r="E374" s="50">
        <v>1200</v>
      </c>
      <c r="F374" s="50">
        <v>5</v>
      </c>
      <c r="G374" s="50">
        <v>9120</v>
      </c>
    </row>
    <row r="375" spans="1:7" ht="16.5" x14ac:dyDescent="0.25">
      <c r="A375" s="50">
        <v>374</v>
      </c>
      <c r="B375" s="50" t="s">
        <v>1810</v>
      </c>
      <c r="C375" s="50">
        <v>19</v>
      </c>
      <c r="D375" s="50" t="s">
        <v>1198</v>
      </c>
      <c r="E375" s="50">
        <v>1200</v>
      </c>
      <c r="F375" s="50">
        <v>0</v>
      </c>
      <c r="G375" s="50">
        <v>22800</v>
      </c>
    </row>
    <row r="376" spans="1:7" ht="16.5" x14ac:dyDescent="0.25">
      <c r="A376" s="50">
        <v>375</v>
      </c>
      <c r="B376" s="50" t="s">
        <v>1812</v>
      </c>
      <c r="C376" s="50">
        <v>5</v>
      </c>
      <c r="D376" s="50" t="s">
        <v>1229</v>
      </c>
      <c r="E376" s="50">
        <v>1200</v>
      </c>
      <c r="F376" s="50">
        <v>5</v>
      </c>
      <c r="G376" s="50">
        <v>5700</v>
      </c>
    </row>
    <row r="377" spans="1:7" ht="16.5" x14ac:dyDescent="0.25">
      <c r="A377" s="50">
        <v>376</v>
      </c>
      <c r="B377" s="50" t="s">
        <v>1813</v>
      </c>
      <c r="C377" s="50">
        <v>6</v>
      </c>
      <c r="D377" s="50" t="s">
        <v>1174</v>
      </c>
      <c r="E377" s="50">
        <v>1200</v>
      </c>
      <c r="F377" s="50">
        <v>10</v>
      </c>
      <c r="G377" s="50">
        <v>6480</v>
      </c>
    </row>
    <row r="378" spans="1:7" ht="16.5" x14ac:dyDescent="0.25">
      <c r="A378" s="50">
        <v>377</v>
      </c>
      <c r="B378" s="50" t="s">
        <v>1815</v>
      </c>
      <c r="C378" s="50">
        <v>13</v>
      </c>
      <c r="D378" s="50" t="s">
        <v>1229</v>
      </c>
      <c r="E378" s="50">
        <v>1500</v>
      </c>
      <c r="F378" s="50">
        <v>5</v>
      </c>
      <c r="G378" s="50">
        <v>18525</v>
      </c>
    </row>
    <row r="379" spans="1:7" ht="16.5" x14ac:dyDescent="0.25">
      <c r="A379" s="50">
        <v>378</v>
      </c>
      <c r="B379" s="50" t="s">
        <v>1817</v>
      </c>
      <c r="C379" s="50">
        <v>19</v>
      </c>
      <c r="D379" s="50" t="s">
        <v>1174</v>
      </c>
      <c r="E379" s="50">
        <v>1500</v>
      </c>
      <c r="F379" s="50">
        <v>15</v>
      </c>
      <c r="G379" s="50">
        <v>24225</v>
      </c>
    </row>
    <row r="380" spans="1:7" ht="16.5" x14ac:dyDescent="0.25">
      <c r="A380" s="50">
        <v>379</v>
      </c>
      <c r="B380" s="50" t="s">
        <v>1818</v>
      </c>
      <c r="C380" s="50">
        <v>2</v>
      </c>
      <c r="D380" s="50" t="s">
        <v>1171</v>
      </c>
      <c r="E380" s="50">
        <v>1200</v>
      </c>
      <c r="F380" s="50">
        <v>10</v>
      </c>
      <c r="G380" s="50">
        <v>2160</v>
      </c>
    </row>
    <row r="381" spans="1:7" ht="16.5" x14ac:dyDescent="0.25">
      <c r="A381" s="50">
        <v>380</v>
      </c>
      <c r="B381" s="50" t="s">
        <v>1820</v>
      </c>
      <c r="C381" s="50">
        <v>6</v>
      </c>
      <c r="D381" s="50" t="s">
        <v>1262</v>
      </c>
      <c r="E381" s="50">
        <v>800</v>
      </c>
      <c r="F381" s="50">
        <v>10</v>
      </c>
      <c r="G381" s="50">
        <v>4320</v>
      </c>
    </row>
    <row r="382" spans="1:7" ht="16.5" x14ac:dyDescent="0.25">
      <c r="A382" s="50">
        <v>381</v>
      </c>
      <c r="B382" s="50" t="s">
        <v>1821</v>
      </c>
      <c r="C382" s="50">
        <v>7</v>
      </c>
      <c r="D382" s="50" t="s">
        <v>1161</v>
      </c>
      <c r="E382" s="50">
        <v>1200</v>
      </c>
      <c r="F382" s="50">
        <v>5</v>
      </c>
      <c r="G382" s="50">
        <v>7980</v>
      </c>
    </row>
    <row r="383" spans="1:7" ht="16.5" x14ac:dyDescent="0.25">
      <c r="A383" s="50">
        <v>382</v>
      </c>
      <c r="B383" s="50" t="s">
        <v>1823</v>
      </c>
      <c r="C383" s="50">
        <v>12</v>
      </c>
      <c r="D383" s="50" t="s">
        <v>1152</v>
      </c>
      <c r="E383" s="50">
        <v>1200</v>
      </c>
      <c r="F383" s="50">
        <v>10</v>
      </c>
      <c r="G383" s="50">
        <v>12960</v>
      </c>
    </row>
    <row r="384" spans="1:7" ht="16.5" x14ac:dyDescent="0.25">
      <c r="A384" s="50">
        <v>383</v>
      </c>
      <c r="B384" s="50" t="s">
        <v>1825</v>
      </c>
      <c r="C384" s="50">
        <v>13</v>
      </c>
      <c r="D384" s="50" t="s">
        <v>1187</v>
      </c>
      <c r="E384" s="50">
        <v>800</v>
      </c>
      <c r="F384" s="50">
        <v>5</v>
      </c>
      <c r="G384" s="50">
        <v>9880</v>
      </c>
    </row>
    <row r="385" spans="1:7" ht="16.5" x14ac:dyDescent="0.25">
      <c r="A385" s="50">
        <v>384</v>
      </c>
      <c r="B385" s="50" t="s">
        <v>1826</v>
      </c>
      <c r="C385" s="50">
        <v>11</v>
      </c>
      <c r="D385" s="50" t="s">
        <v>1143</v>
      </c>
      <c r="E385" s="50">
        <v>1200</v>
      </c>
      <c r="F385" s="50">
        <v>5</v>
      </c>
      <c r="G385" s="50">
        <v>12540</v>
      </c>
    </row>
    <row r="386" spans="1:7" ht="16.5" x14ac:dyDescent="0.25">
      <c r="A386" s="50">
        <v>385</v>
      </c>
      <c r="B386" s="50" t="s">
        <v>1827</v>
      </c>
      <c r="C386" s="50">
        <v>12</v>
      </c>
      <c r="D386" s="50" t="s">
        <v>1161</v>
      </c>
      <c r="E386" s="50">
        <v>1200</v>
      </c>
      <c r="F386" s="50">
        <v>15</v>
      </c>
      <c r="G386" s="50">
        <v>12240</v>
      </c>
    </row>
    <row r="387" spans="1:7" ht="16.5" x14ac:dyDescent="0.25">
      <c r="A387" s="50">
        <v>386</v>
      </c>
      <c r="B387" s="50" t="s">
        <v>1829</v>
      </c>
      <c r="C387" s="50">
        <v>7</v>
      </c>
      <c r="D387" s="50" t="s">
        <v>1174</v>
      </c>
      <c r="E387" s="50">
        <v>800</v>
      </c>
      <c r="F387" s="50">
        <v>10</v>
      </c>
      <c r="G387" s="50">
        <v>5040</v>
      </c>
    </row>
    <row r="388" spans="1:7" ht="16.5" x14ac:dyDescent="0.25">
      <c r="A388" s="50">
        <v>387</v>
      </c>
      <c r="B388" s="50" t="s">
        <v>1830</v>
      </c>
      <c r="C388" s="50">
        <v>4</v>
      </c>
      <c r="D388" s="50" t="s">
        <v>1342</v>
      </c>
      <c r="E388" s="50">
        <v>1500</v>
      </c>
      <c r="F388" s="50">
        <v>15</v>
      </c>
      <c r="G388" s="50">
        <v>5100</v>
      </c>
    </row>
    <row r="389" spans="1:7" ht="16.5" x14ac:dyDescent="0.25">
      <c r="A389" s="50">
        <v>388</v>
      </c>
      <c r="B389" s="50" t="s">
        <v>1832</v>
      </c>
      <c r="C389" s="50">
        <v>1</v>
      </c>
      <c r="D389" s="50" t="s">
        <v>1166</v>
      </c>
      <c r="E389" s="50">
        <v>1200</v>
      </c>
      <c r="F389" s="50">
        <v>0</v>
      </c>
      <c r="G389" s="50">
        <v>1200</v>
      </c>
    </row>
    <row r="390" spans="1:7" ht="16.5" x14ac:dyDescent="0.25">
      <c r="A390" s="50">
        <v>389</v>
      </c>
      <c r="B390" s="50" t="s">
        <v>1834</v>
      </c>
      <c r="C390" s="50">
        <v>7</v>
      </c>
      <c r="D390" s="50" t="s">
        <v>1229</v>
      </c>
      <c r="E390" s="50">
        <v>1500</v>
      </c>
      <c r="F390" s="50">
        <v>0</v>
      </c>
      <c r="G390" s="50">
        <v>10500</v>
      </c>
    </row>
    <row r="391" spans="1:7" ht="16.5" x14ac:dyDescent="0.25">
      <c r="A391" s="50">
        <v>390</v>
      </c>
      <c r="B391" s="50" t="s">
        <v>1836</v>
      </c>
      <c r="C391" s="50">
        <v>11</v>
      </c>
      <c r="D391" s="50" t="s">
        <v>1171</v>
      </c>
      <c r="E391" s="50">
        <v>1200</v>
      </c>
      <c r="F391" s="50">
        <v>10</v>
      </c>
      <c r="G391" s="50">
        <v>11880</v>
      </c>
    </row>
    <row r="392" spans="1:7" ht="16.5" x14ac:dyDescent="0.25">
      <c r="A392" s="50">
        <v>391</v>
      </c>
      <c r="B392" s="50" t="s">
        <v>1838</v>
      </c>
      <c r="C392" s="50">
        <v>3</v>
      </c>
      <c r="D392" s="50" t="s">
        <v>1218</v>
      </c>
      <c r="E392" s="50">
        <v>800</v>
      </c>
      <c r="F392" s="50">
        <v>15</v>
      </c>
      <c r="G392" s="50">
        <v>2040</v>
      </c>
    </row>
    <row r="393" spans="1:7" ht="16.5" x14ac:dyDescent="0.25">
      <c r="A393" s="50">
        <v>392</v>
      </c>
      <c r="B393" s="50" t="s">
        <v>1840</v>
      </c>
      <c r="C393" s="50">
        <v>8</v>
      </c>
      <c r="D393" s="50" t="s">
        <v>1240</v>
      </c>
      <c r="E393" s="50">
        <v>800</v>
      </c>
      <c r="F393" s="50">
        <v>5</v>
      </c>
      <c r="G393" s="50">
        <v>6080</v>
      </c>
    </row>
    <row r="394" spans="1:7" ht="16.5" x14ac:dyDescent="0.25">
      <c r="A394" s="50">
        <v>393</v>
      </c>
      <c r="B394" s="50" t="s">
        <v>1842</v>
      </c>
      <c r="C394" s="50">
        <v>6</v>
      </c>
      <c r="D394" s="50" t="s">
        <v>1198</v>
      </c>
      <c r="E394" s="50">
        <v>1200</v>
      </c>
      <c r="F394" s="50">
        <v>5</v>
      </c>
      <c r="G394" s="50">
        <v>6840</v>
      </c>
    </row>
    <row r="395" spans="1:7" ht="16.5" x14ac:dyDescent="0.25">
      <c r="A395" s="50">
        <v>394</v>
      </c>
      <c r="B395" s="50" t="s">
        <v>1843</v>
      </c>
      <c r="C395" s="50">
        <v>15</v>
      </c>
      <c r="D395" s="50" t="s">
        <v>1201</v>
      </c>
      <c r="E395" s="50">
        <v>1200</v>
      </c>
      <c r="F395" s="50">
        <v>0</v>
      </c>
      <c r="G395" s="50">
        <v>18000</v>
      </c>
    </row>
    <row r="396" spans="1:7" ht="16.5" x14ac:dyDescent="0.25">
      <c r="A396" s="50">
        <v>395</v>
      </c>
      <c r="B396" s="50" t="s">
        <v>1844</v>
      </c>
      <c r="C396" s="50">
        <v>7</v>
      </c>
      <c r="D396" s="50" t="s">
        <v>1187</v>
      </c>
      <c r="E396" s="50">
        <v>800</v>
      </c>
      <c r="F396" s="50">
        <v>5</v>
      </c>
      <c r="G396" s="50">
        <v>5320</v>
      </c>
    </row>
    <row r="397" spans="1:7" ht="16.5" x14ac:dyDescent="0.25">
      <c r="A397" s="50">
        <v>396</v>
      </c>
      <c r="B397" s="50" t="s">
        <v>1846</v>
      </c>
      <c r="C397" s="50">
        <v>19</v>
      </c>
      <c r="D397" s="50" t="s">
        <v>1171</v>
      </c>
      <c r="E397" s="50">
        <v>1200</v>
      </c>
      <c r="F397" s="50">
        <v>10</v>
      </c>
      <c r="G397" s="50">
        <v>20520</v>
      </c>
    </row>
    <row r="398" spans="1:7" ht="16.5" x14ac:dyDescent="0.25">
      <c r="A398" s="50">
        <v>397</v>
      </c>
      <c r="B398" s="50" t="s">
        <v>1847</v>
      </c>
      <c r="C398" s="50">
        <v>16</v>
      </c>
      <c r="D398" s="50" t="s">
        <v>1229</v>
      </c>
      <c r="E398" s="50">
        <v>1200</v>
      </c>
      <c r="F398" s="50">
        <v>0</v>
      </c>
      <c r="G398" s="50">
        <v>19200</v>
      </c>
    </row>
    <row r="399" spans="1:7" ht="16.5" x14ac:dyDescent="0.25">
      <c r="A399" s="50">
        <v>398</v>
      </c>
      <c r="B399" s="50" t="s">
        <v>1848</v>
      </c>
      <c r="C399" s="50">
        <v>6</v>
      </c>
      <c r="D399" s="50" t="s">
        <v>1143</v>
      </c>
      <c r="E399" s="50">
        <v>1200</v>
      </c>
      <c r="F399" s="50">
        <v>15</v>
      </c>
      <c r="G399" s="50">
        <v>6120</v>
      </c>
    </row>
    <row r="400" spans="1:7" ht="16.5" x14ac:dyDescent="0.25">
      <c r="A400" s="50">
        <v>399</v>
      </c>
      <c r="B400" s="50" t="s">
        <v>1849</v>
      </c>
      <c r="C400" s="50">
        <v>5</v>
      </c>
      <c r="D400" s="50" t="s">
        <v>1198</v>
      </c>
      <c r="E400" s="50">
        <v>1200</v>
      </c>
      <c r="F400" s="50">
        <v>5</v>
      </c>
      <c r="G400" s="50">
        <v>5700</v>
      </c>
    </row>
    <row r="401" spans="1:7" ht="16.5" x14ac:dyDescent="0.25">
      <c r="A401" s="50">
        <v>400</v>
      </c>
      <c r="B401" s="50" t="s">
        <v>1851</v>
      </c>
      <c r="C401" s="50">
        <v>17</v>
      </c>
      <c r="D401" s="50" t="s">
        <v>1201</v>
      </c>
      <c r="E401" s="50">
        <v>1200</v>
      </c>
      <c r="F401" s="50">
        <v>15</v>
      </c>
      <c r="G401" s="50">
        <v>17340</v>
      </c>
    </row>
    <row r="402" spans="1:7" ht="16.5" x14ac:dyDescent="0.25">
      <c r="A402" s="50">
        <v>401</v>
      </c>
      <c r="B402" s="50" t="s">
        <v>1852</v>
      </c>
      <c r="C402" s="50">
        <v>1</v>
      </c>
      <c r="D402" s="50" t="s">
        <v>1152</v>
      </c>
      <c r="E402" s="50">
        <v>1500</v>
      </c>
      <c r="F402" s="50">
        <v>0</v>
      </c>
      <c r="G402" s="50">
        <v>1500</v>
      </c>
    </row>
    <row r="403" spans="1:7" ht="16.5" x14ac:dyDescent="0.25">
      <c r="A403" s="50">
        <v>402</v>
      </c>
      <c r="B403" s="50" t="s">
        <v>1853</v>
      </c>
      <c r="C403" s="50">
        <v>10</v>
      </c>
      <c r="D403" s="50" t="s">
        <v>1187</v>
      </c>
      <c r="E403" s="50">
        <v>800</v>
      </c>
      <c r="F403" s="50">
        <v>10</v>
      </c>
      <c r="G403" s="50">
        <v>7200</v>
      </c>
    </row>
    <row r="404" spans="1:7" ht="16.5" x14ac:dyDescent="0.25">
      <c r="A404" s="50">
        <v>403</v>
      </c>
      <c r="B404" s="50" t="s">
        <v>1854</v>
      </c>
      <c r="C404" s="50">
        <v>19</v>
      </c>
      <c r="D404" s="50" t="s">
        <v>1198</v>
      </c>
      <c r="E404" s="50">
        <v>1200</v>
      </c>
      <c r="F404" s="50">
        <v>15</v>
      </c>
      <c r="G404" s="50">
        <v>19380</v>
      </c>
    </row>
    <row r="405" spans="1:7" ht="16.5" x14ac:dyDescent="0.25">
      <c r="A405" s="50">
        <v>404</v>
      </c>
      <c r="B405" s="50" t="s">
        <v>1856</v>
      </c>
      <c r="C405" s="50">
        <v>4</v>
      </c>
      <c r="D405" s="50" t="s">
        <v>1192</v>
      </c>
      <c r="E405" s="50">
        <v>800</v>
      </c>
      <c r="F405" s="50">
        <v>10</v>
      </c>
      <c r="G405" s="50">
        <v>2880</v>
      </c>
    </row>
    <row r="406" spans="1:7" ht="16.5" x14ac:dyDescent="0.25">
      <c r="A406" s="50">
        <v>405</v>
      </c>
      <c r="B406" s="50" t="s">
        <v>1858</v>
      </c>
      <c r="C406" s="50">
        <v>6</v>
      </c>
      <c r="D406" s="50" t="s">
        <v>1137</v>
      </c>
      <c r="E406" s="50">
        <v>1200</v>
      </c>
      <c r="F406" s="50">
        <v>0</v>
      </c>
      <c r="G406" s="50">
        <v>7200</v>
      </c>
    </row>
    <row r="407" spans="1:7" ht="16.5" x14ac:dyDescent="0.25">
      <c r="A407" s="50">
        <v>406</v>
      </c>
      <c r="B407" s="50" t="s">
        <v>1860</v>
      </c>
      <c r="C407" s="50">
        <v>11</v>
      </c>
      <c r="D407" s="50" t="s">
        <v>1171</v>
      </c>
      <c r="E407" s="50">
        <v>800</v>
      </c>
      <c r="F407" s="50">
        <v>15</v>
      </c>
      <c r="G407" s="50">
        <v>7480</v>
      </c>
    </row>
    <row r="408" spans="1:7" ht="16.5" x14ac:dyDescent="0.25">
      <c r="A408" s="50">
        <v>407</v>
      </c>
      <c r="B408" s="50" t="s">
        <v>1862</v>
      </c>
      <c r="C408" s="50">
        <v>7</v>
      </c>
      <c r="D408" s="50" t="s">
        <v>1201</v>
      </c>
      <c r="E408" s="50">
        <v>1200</v>
      </c>
      <c r="F408" s="50">
        <v>5</v>
      </c>
      <c r="G408" s="50">
        <v>7980</v>
      </c>
    </row>
    <row r="409" spans="1:7" ht="16.5" x14ac:dyDescent="0.25">
      <c r="A409" s="50">
        <v>408</v>
      </c>
      <c r="B409" s="50" t="s">
        <v>1863</v>
      </c>
      <c r="C409" s="50">
        <v>13</v>
      </c>
      <c r="D409" s="50" t="s">
        <v>1187</v>
      </c>
      <c r="E409" s="50">
        <v>1500</v>
      </c>
      <c r="F409" s="50">
        <v>15</v>
      </c>
      <c r="G409" s="50">
        <v>16575</v>
      </c>
    </row>
    <row r="410" spans="1:7" ht="16.5" x14ac:dyDescent="0.25">
      <c r="A410" s="50">
        <v>409</v>
      </c>
      <c r="B410" s="50" t="s">
        <v>1865</v>
      </c>
      <c r="C410" s="50">
        <v>7</v>
      </c>
      <c r="D410" s="50" t="s">
        <v>1137</v>
      </c>
      <c r="E410" s="50">
        <v>1500</v>
      </c>
      <c r="F410" s="50">
        <v>5</v>
      </c>
      <c r="G410" s="50">
        <v>9975</v>
      </c>
    </row>
    <row r="411" spans="1:7" ht="16.5" x14ac:dyDescent="0.25">
      <c r="A411" s="50">
        <v>410</v>
      </c>
      <c r="B411" s="50" t="s">
        <v>1866</v>
      </c>
      <c r="C411" s="50">
        <v>1</v>
      </c>
      <c r="D411" s="50" t="s">
        <v>1174</v>
      </c>
      <c r="E411" s="50">
        <v>1200</v>
      </c>
      <c r="F411" s="50">
        <v>5</v>
      </c>
      <c r="G411" s="50">
        <v>1140</v>
      </c>
    </row>
    <row r="412" spans="1:7" ht="16.5" x14ac:dyDescent="0.25">
      <c r="A412" s="50">
        <v>411</v>
      </c>
      <c r="B412" s="50" t="s">
        <v>1867</v>
      </c>
      <c r="C412" s="50">
        <v>5</v>
      </c>
      <c r="D412" s="50" t="s">
        <v>1174</v>
      </c>
      <c r="E412" s="50">
        <v>1500</v>
      </c>
      <c r="F412" s="50">
        <v>15</v>
      </c>
      <c r="G412" s="50">
        <v>6375</v>
      </c>
    </row>
    <row r="413" spans="1:7" ht="16.5" x14ac:dyDescent="0.25">
      <c r="A413" s="50">
        <v>412</v>
      </c>
      <c r="B413" s="50" t="s">
        <v>1868</v>
      </c>
      <c r="C413" s="50">
        <v>11</v>
      </c>
      <c r="D413" s="50" t="s">
        <v>1342</v>
      </c>
      <c r="E413" s="50">
        <v>800</v>
      </c>
      <c r="F413" s="50">
        <v>15</v>
      </c>
      <c r="G413" s="50">
        <v>7480</v>
      </c>
    </row>
    <row r="414" spans="1:7" ht="16.5" x14ac:dyDescent="0.25">
      <c r="A414" s="50">
        <v>413</v>
      </c>
      <c r="B414" s="50" t="s">
        <v>1869</v>
      </c>
      <c r="C414" s="50">
        <v>17</v>
      </c>
      <c r="D414" s="50" t="s">
        <v>1187</v>
      </c>
      <c r="E414" s="50">
        <v>1500</v>
      </c>
      <c r="F414" s="50">
        <v>5</v>
      </c>
      <c r="G414" s="50">
        <v>24225</v>
      </c>
    </row>
    <row r="415" spans="1:7" ht="16.5" x14ac:dyDescent="0.25">
      <c r="A415" s="50">
        <v>414</v>
      </c>
      <c r="B415" s="50" t="s">
        <v>1871</v>
      </c>
      <c r="C415" s="50">
        <v>3</v>
      </c>
      <c r="D415" s="50" t="s">
        <v>1198</v>
      </c>
      <c r="E415" s="50">
        <v>1500</v>
      </c>
      <c r="F415" s="50">
        <v>0</v>
      </c>
      <c r="G415" s="50">
        <v>4500</v>
      </c>
    </row>
    <row r="416" spans="1:7" ht="16.5" x14ac:dyDescent="0.25">
      <c r="A416" s="50">
        <v>415</v>
      </c>
      <c r="B416" s="50" t="s">
        <v>1873</v>
      </c>
      <c r="C416" s="50">
        <v>9</v>
      </c>
      <c r="D416" s="50" t="s">
        <v>1140</v>
      </c>
      <c r="E416" s="50">
        <v>1500</v>
      </c>
      <c r="F416" s="50">
        <v>0</v>
      </c>
      <c r="G416" s="50">
        <v>13500</v>
      </c>
    </row>
    <row r="417" spans="1:7" ht="16.5" x14ac:dyDescent="0.25">
      <c r="A417" s="50">
        <v>416</v>
      </c>
      <c r="B417" s="50" t="s">
        <v>1874</v>
      </c>
      <c r="C417" s="50">
        <v>11</v>
      </c>
      <c r="D417" s="50" t="s">
        <v>1143</v>
      </c>
      <c r="E417" s="50">
        <v>800</v>
      </c>
      <c r="F417" s="50">
        <v>5</v>
      </c>
      <c r="G417" s="50">
        <v>8360</v>
      </c>
    </row>
    <row r="418" spans="1:7" ht="16.5" x14ac:dyDescent="0.25">
      <c r="A418" s="50">
        <v>417</v>
      </c>
      <c r="B418" s="50" t="s">
        <v>1876</v>
      </c>
      <c r="C418" s="50">
        <v>15</v>
      </c>
      <c r="D418" s="50" t="s">
        <v>1192</v>
      </c>
      <c r="E418" s="50">
        <v>1200</v>
      </c>
      <c r="F418" s="50">
        <v>0</v>
      </c>
      <c r="G418" s="50">
        <v>18000</v>
      </c>
    </row>
    <row r="419" spans="1:7" ht="16.5" x14ac:dyDescent="0.25">
      <c r="A419" s="50">
        <v>418</v>
      </c>
      <c r="B419" s="50" t="s">
        <v>1877</v>
      </c>
      <c r="C419" s="50">
        <v>4</v>
      </c>
      <c r="D419" s="50" t="s">
        <v>1201</v>
      </c>
      <c r="E419" s="50">
        <v>800</v>
      </c>
      <c r="F419" s="50">
        <v>0</v>
      </c>
      <c r="G419" s="50">
        <v>3200</v>
      </c>
    </row>
    <row r="420" spans="1:7" ht="16.5" x14ac:dyDescent="0.25">
      <c r="A420" s="50">
        <v>419</v>
      </c>
      <c r="B420" s="50" t="s">
        <v>1879</v>
      </c>
      <c r="C420" s="50">
        <v>17</v>
      </c>
      <c r="D420" s="50" t="s">
        <v>1240</v>
      </c>
      <c r="E420" s="50">
        <v>800</v>
      </c>
      <c r="F420" s="50">
        <v>15</v>
      </c>
      <c r="G420" s="50">
        <v>11560</v>
      </c>
    </row>
    <row r="421" spans="1:7" ht="16.5" x14ac:dyDescent="0.25">
      <c r="A421" s="50">
        <v>420</v>
      </c>
      <c r="B421" s="50" t="s">
        <v>1881</v>
      </c>
      <c r="C421" s="50">
        <v>19</v>
      </c>
      <c r="D421" s="50" t="s">
        <v>1143</v>
      </c>
      <c r="E421" s="50">
        <v>800</v>
      </c>
      <c r="F421" s="50">
        <v>0</v>
      </c>
      <c r="G421" s="50">
        <v>15200</v>
      </c>
    </row>
    <row r="422" spans="1:7" ht="16.5" x14ac:dyDescent="0.25">
      <c r="A422" s="50">
        <v>421</v>
      </c>
      <c r="B422" s="50" t="s">
        <v>1882</v>
      </c>
      <c r="C422" s="50">
        <v>3</v>
      </c>
      <c r="D422" s="50" t="s">
        <v>1152</v>
      </c>
      <c r="E422" s="50">
        <v>800</v>
      </c>
      <c r="F422" s="50">
        <v>10</v>
      </c>
      <c r="G422" s="50">
        <v>2160</v>
      </c>
    </row>
    <row r="423" spans="1:7" ht="16.5" x14ac:dyDescent="0.25">
      <c r="A423" s="50">
        <v>422</v>
      </c>
      <c r="B423" s="50" t="s">
        <v>1883</v>
      </c>
      <c r="C423" s="50">
        <v>3</v>
      </c>
      <c r="D423" s="50" t="s">
        <v>1137</v>
      </c>
      <c r="E423" s="50">
        <v>800</v>
      </c>
      <c r="F423" s="50">
        <v>10</v>
      </c>
      <c r="G423" s="50">
        <v>2160</v>
      </c>
    </row>
    <row r="424" spans="1:7" ht="16.5" x14ac:dyDescent="0.25">
      <c r="A424" s="50">
        <v>423</v>
      </c>
      <c r="B424" s="50" t="s">
        <v>1885</v>
      </c>
      <c r="C424" s="50">
        <v>19</v>
      </c>
      <c r="D424" s="50" t="s">
        <v>1218</v>
      </c>
      <c r="E424" s="50">
        <v>1200</v>
      </c>
      <c r="F424" s="50">
        <v>0</v>
      </c>
      <c r="G424" s="50">
        <v>22800</v>
      </c>
    </row>
    <row r="425" spans="1:7" ht="16.5" x14ac:dyDescent="0.25">
      <c r="A425" s="50">
        <v>424</v>
      </c>
      <c r="B425" s="50" t="s">
        <v>1887</v>
      </c>
      <c r="C425" s="50">
        <v>20</v>
      </c>
      <c r="D425" s="50" t="s">
        <v>1201</v>
      </c>
      <c r="E425" s="50">
        <v>1500</v>
      </c>
      <c r="F425" s="50">
        <v>0</v>
      </c>
      <c r="G425" s="50">
        <v>30000</v>
      </c>
    </row>
    <row r="426" spans="1:7" ht="16.5" x14ac:dyDescent="0.25">
      <c r="A426" s="50">
        <v>425</v>
      </c>
      <c r="B426" s="50" t="s">
        <v>1889</v>
      </c>
      <c r="C426" s="50">
        <v>3</v>
      </c>
      <c r="D426" s="50" t="s">
        <v>1155</v>
      </c>
      <c r="E426" s="50">
        <v>1500</v>
      </c>
      <c r="F426" s="50">
        <v>15</v>
      </c>
      <c r="G426" s="50">
        <v>3825</v>
      </c>
    </row>
    <row r="427" spans="1:7" ht="16.5" x14ac:dyDescent="0.25">
      <c r="A427" s="50">
        <v>426</v>
      </c>
      <c r="B427" s="50" t="s">
        <v>1891</v>
      </c>
      <c r="C427" s="50">
        <v>16</v>
      </c>
      <c r="D427" s="50" t="s">
        <v>1166</v>
      </c>
      <c r="E427" s="50">
        <v>800</v>
      </c>
      <c r="F427" s="50">
        <v>0</v>
      </c>
      <c r="G427" s="50">
        <v>12800</v>
      </c>
    </row>
    <row r="428" spans="1:7" ht="16.5" x14ac:dyDescent="0.25">
      <c r="A428" s="50">
        <v>427</v>
      </c>
      <c r="B428" s="50" t="s">
        <v>1892</v>
      </c>
      <c r="C428" s="50">
        <v>16</v>
      </c>
      <c r="D428" s="50" t="s">
        <v>1187</v>
      </c>
      <c r="E428" s="50">
        <v>1500</v>
      </c>
      <c r="F428" s="50">
        <v>15</v>
      </c>
      <c r="G428" s="50">
        <v>20400</v>
      </c>
    </row>
    <row r="429" spans="1:7" ht="16.5" x14ac:dyDescent="0.25">
      <c r="A429" s="50">
        <v>428</v>
      </c>
      <c r="B429" s="50" t="s">
        <v>1894</v>
      </c>
      <c r="C429" s="50">
        <v>14</v>
      </c>
      <c r="D429" s="50" t="s">
        <v>1155</v>
      </c>
      <c r="E429" s="50">
        <v>1500</v>
      </c>
      <c r="F429" s="50">
        <v>10</v>
      </c>
      <c r="G429" s="50">
        <v>18900</v>
      </c>
    </row>
    <row r="430" spans="1:7" ht="16.5" x14ac:dyDescent="0.25">
      <c r="A430" s="50">
        <v>429</v>
      </c>
      <c r="B430" s="50" t="s">
        <v>1896</v>
      </c>
      <c r="C430" s="50">
        <v>18</v>
      </c>
      <c r="D430" s="50" t="s">
        <v>1192</v>
      </c>
      <c r="E430" s="50">
        <v>800</v>
      </c>
      <c r="F430" s="50">
        <v>15</v>
      </c>
      <c r="G430" s="50">
        <v>12240</v>
      </c>
    </row>
    <row r="431" spans="1:7" ht="16.5" x14ac:dyDescent="0.25">
      <c r="A431" s="50">
        <v>430</v>
      </c>
      <c r="B431" s="50" t="s">
        <v>1898</v>
      </c>
      <c r="C431" s="50">
        <v>13</v>
      </c>
      <c r="D431" s="50" t="s">
        <v>1198</v>
      </c>
      <c r="E431" s="50">
        <v>1500</v>
      </c>
      <c r="F431" s="50">
        <v>10</v>
      </c>
      <c r="G431" s="50">
        <v>17550</v>
      </c>
    </row>
    <row r="432" spans="1:7" ht="16.5" x14ac:dyDescent="0.25">
      <c r="A432" s="50">
        <v>431</v>
      </c>
      <c r="B432" s="50" t="s">
        <v>1900</v>
      </c>
      <c r="C432" s="50">
        <v>20</v>
      </c>
      <c r="D432" s="50" t="s">
        <v>1161</v>
      </c>
      <c r="E432" s="50">
        <v>800</v>
      </c>
      <c r="F432" s="50">
        <v>15</v>
      </c>
      <c r="G432" s="50">
        <v>13600</v>
      </c>
    </row>
    <row r="433" spans="1:7" ht="16.5" x14ac:dyDescent="0.25">
      <c r="A433" s="50">
        <v>432</v>
      </c>
      <c r="B433" s="50" t="s">
        <v>1902</v>
      </c>
      <c r="C433" s="50">
        <v>1</v>
      </c>
      <c r="D433" s="50" t="s">
        <v>1229</v>
      </c>
      <c r="E433" s="50">
        <v>800</v>
      </c>
      <c r="F433" s="50">
        <v>10</v>
      </c>
      <c r="G433" s="50">
        <v>720</v>
      </c>
    </row>
    <row r="434" spans="1:7" ht="16.5" x14ac:dyDescent="0.25">
      <c r="A434" s="50">
        <v>433</v>
      </c>
      <c r="B434" s="50" t="s">
        <v>1904</v>
      </c>
      <c r="C434" s="50">
        <v>13</v>
      </c>
      <c r="D434" s="50" t="s">
        <v>1155</v>
      </c>
      <c r="E434" s="50">
        <v>800</v>
      </c>
      <c r="F434" s="50">
        <v>15</v>
      </c>
      <c r="G434" s="50">
        <v>8840</v>
      </c>
    </row>
    <row r="435" spans="1:7" ht="16.5" x14ac:dyDescent="0.25">
      <c r="A435" s="50">
        <v>434</v>
      </c>
      <c r="B435" s="50" t="s">
        <v>1905</v>
      </c>
      <c r="C435" s="50">
        <v>8</v>
      </c>
      <c r="D435" s="50" t="s">
        <v>1198</v>
      </c>
      <c r="E435" s="50">
        <v>1200</v>
      </c>
      <c r="F435" s="50">
        <v>5</v>
      </c>
      <c r="G435" s="50">
        <v>9120</v>
      </c>
    </row>
    <row r="436" spans="1:7" ht="16.5" x14ac:dyDescent="0.25">
      <c r="A436" s="50">
        <v>435</v>
      </c>
      <c r="B436" s="50" t="s">
        <v>1907</v>
      </c>
      <c r="C436" s="50">
        <v>17</v>
      </c>
      <c r="D436" s="50" t="s">
        <v>1192</v>
      </c>
      <c r="E436" s="50">
        <v>1200</v>
      </c>
      <c r="F436" s="50">
        <v>5</v>
      </c>
      <c r="G436" s="50">
        <v>19380</v>
      </c>
    </row>
    <row r="437" spans="1:7" ht="16.5" x14ac:dyDescent="0.25">
      <c r="A437" s="50">
        <v>436</v>
      </c>
      <c r="B437" s="50" t="s">
        <v>1908</v>
      </c>
      <c r="C437" s="50">
        <v>10</v>
      </c>
      <c r="D437" s="50" t="s">
        <v>1240</v>
      </c>
      <c r="E437" s="50">
        <v>800</v>
      </c>
      <c r="F437" s="50">
        <v>10</v>
      </c>
      <c r="G437" s="50">
        <v>7200</v>
      </c>
    </row>
    <row r="438" spans="1:7" ht="16.5" x14ac:dyDescent="0.25">
      <c r="A438" s="50">
        <v>437</v>
      </c>
      <c r="B438" s="50" t="s">
        <v>1909</v>
      </c>
      <c r="C438" s="50">
        <v>1</v>
      </c>
      <c r="D438" s="50" t="s">
        <v>1155</v>
      </c>
      <c r="E438" s="50">
        <v>1200</v>
      </c>
      <c r="F438" s="50">
        <v>0</v>
      </c>
      <c r="G438" s="50">
        <v>1200</v>
      </c>
    </row>
    <row r="439" spans="1:7" ht="16.5" x14ac:dyDescent="0.25">
      <c r="A439" s="50">
        <v>438</v>
      </c>
      <c r="B439" s="50" t="s">
        <v>1911</v>
      </c>
      <c r="C439" s="50">
        <v>4</v>
      </c>
      <c r="D439" s="50" t="s">
        <v>1187</v>
      </c>
      <c r="E439" s="50">
        <v>800</v>
      </c>
      <c r="F439" s="50">
        <v>5</v>
      </c>
      <c r="G439" s="50">
        <v>3040</v>
      </c>
    </row>
    <row r="440" spans="1:7" ht="16.5" x14ac:dyDescent="0.25">
      <c r="A440" s="50">
        <v>439</v>
      </c>
      <c r="B440" s="50" t="s">
        <v>1912</v>
      </c>
      <c r="C440" s="50">
        <v>2</v>
      </c>
      <c r="D440" s="50" t="s">
        <v>1240</v>
      </c>
      <c r="E440" s="50">
        <v>1500</v>
      </c>
      <c r="F440" s="50">
        <v>15</v>
      </c>
      <c r="G440" s="50">
        <v>2550</v>
      </c>
    </row>
    <row r="441" spans="1:7" ht="16.5" x14ac:dyDescent="0.25">
      <c r="A441" s="50">
        <v>440</v>
      </c>
      <c r="B441" s="50" t="s">
        <v>1913</v>
      </c>
      <c r="C441" s="50">
        <v>1</v>
      </c>
      <c r="D441" s="50" t="s">
        <v>1166</v>
      </c>
      <c r="E441" s="50">
        <v>1500</v>
      </c>
      <c r="F441" s="50">
        <v>10</v>
      </c>
      <c r="G441" s="50">
        <v>1350</v>
      </c>
    </row>
    <row r="442" spans="1:7" ht="16.5" x14ac:dyDescent="0.25">
      <c r="A442" s="50">
        <v>441</v>
      </c>
      <c r="B442" s="50" t="s">
        <v>1915</v>
      </c>
      <c r="C442" s="50">
        <v>3</v>
      </c>
      <c r="D442" s="50" t="s">
        <v>1146</v>
      </c>
      <c r="E442" s="50">
        <v>1200</v>
      </c>
      <c r="F442" s="50">
        <v>0</v>
      </c>
      <c r="G442" s="50">
        <v>3600</v>
      </c>
    </row>
    <row r="443" spans="1:7" ht="16.5" x14ac:dyDescent="0.25">
      <c r="A443" s="50">
        <v>442</v>
      </c>
      <c r="B443" s="50" t="s">
        <v>1917</v>
      </c>
      <c r="C443" s="50">
        <v>6</v>
      </c>
      <c r="D443" s="50" t="s">
        <v>1201</v>
      </c>
      <c r="E443" s="50">
        <v>1200</v>
      </c>
      <c r="F443" s="50">
        <v>15</v>
      </c>
      <c r="G443" s="50">
        <v>6120</v>
      </c>
    </row>
    <row r="444" spans="1:7" ht="16.5" x14ac:dyDescent="0.25">
      <c r="A444" s="50">
        <v>443</v>
      </c>
      <c r="B444" s="50" t="s">
        <v>1918</v>
      </c>
      <c r="C444" s="50">
        <v>12</v>
      </c>
      <c r="D444" s="50" t="s">
        <v>1262</v>
      </c>
      <c r="E444" s="50">
        <v>1200</v>
      </c>
      <c r="F444" s="50">
        <v>15</v>
      </c>
      <c r="G444" s="50">
        <v>12240</v>
      </c>
    </row>
    <row r="445" spans="1:7" ht="16.5" x14ac:dyDescent="0.25">
      <c r="A445" s="50">
        <v>444</v>
      </c>
      <c r="B445" s="50" t="s">
        <v>1919</v>
      </c>
      <c r="C445" s="50">
        <v>13</v>
      </c>
      <c r="D445" s="50" t="s">
        <v>1149</v>
      </c>
      <c r="E445" s="50">
        <v>800</v>
      </c>
      <c r="F445" s="50">
        <v>5</v>
      </c>
      <c r="G445" s="50">
        <v>9880</v>
      </c>
    </row>
    <row r="446" spans="1:7" ht="16.5" x14ac:dyDescent="0.25">
      <c r="A446" s="50">
        <v>445</v>
      </c>
      <c r="B446" s="50" t="s">
        <v>1920</v>
      </c>
      <c r="C446" s="50">
        <v>18</v>
      </c>
      <c r="D446" s="50" t="s">
        <v>1161</v>
      </c>
      <c r="E446" s="50">
        <v>1500</v>
      </c>
      <c r="F446" s="50">
        <v>0</v>
      </c>
      <c r="G446" s="50">
        <v>27000</v>
      </c>
    </row>
    <row r="447" spans="1:7" ht="16.5" x14ac:dyDescent="0.25">
      <c r="A447" s="50">
        <v>446</v>
      </c>
      <c r="B447" s="50" t="s">
        <v>1922</v>
      </c>
      <c r="C447" s="50">
        <v>17</v>
      </c>
      <c r="D447" s="50" t="s">
        <v>1218</v>
      </c>
      <c r="E447" s="50">
        <v>800</v>
      </c>
      <c r="F447" s="50">
        <v>0</v>
      </c>
      <c r="G447" s="50">
        <v>13600</v>
      </c>
    </row>
    <row r="448" spans="1:7" ht="16.5" x14ac:dyDescent="0.25">
      <c r="A448" s="50">
        <v>447</v>
      </c>
      <c r="B448" s="50" t="s">
        <v>1924</v>
      </c>
      <c r="C448" s="50">
        <v>3</v>
      </c>
      <c r="D448" s="50" t="s">
        <v>1152</v>
      </c>
      <c r="E448" s="50">
        <v>1200</v>
      </c>
      <c r="F448" s="50">
        <v>5</v>
      </c>
      <c r="G448" s="50">
        <v>3420</v>
      </c>
    </row>
    <row r="449" spans="1:7" ht="16.5" x14ac:dyDescent="0.25">
      <c r="A449" s="50">
        <v>448</v>
      </c>
      <c r="B449" s="50" t="s">
        <v>1926</v>
      </c>
      <c r="C449" s="50">
        <v>7</v>
      </c>
      <c r="D449" s="50" t="s">
        <v>1240</v>
      </c>
      <c r="E449" s="50">
        <v>1500</v>
      </c>
      <c r="F449" s="50">
        <v>15</v>
      </c>
      <c r="G449" s="50">
        <v>8925</v>
      </c>
    </row>
    <row r="450" spans="1:7" ht="16.5" x14ac:dyDescent="0.25">
      <c r="A450" s="50">
        <v>449</v>
      </c>
      <c r="B450" s="50" t="s">
        <v>1928</v>
      </c>
      <c r="C450" s="50">
        <v>18</v>
      </c>
      <c r="D450" s="50" t="s">
        <v>1218</v>
      </c>
      <c r="E450" s="50">
        <v>800</v>
      </c>
      <c r="F450" s="50">
        <v>0</v>
      </c>
      <c r="G450" s="50">
        <v>14400</v>
      </c>
    </row>
    <row r="451" spans="1:7" ht="16.5" x14ac:dyDescent="0.25">
      <c r="A451" s="50">
        <v>450</v>
      </c>
      <c r="B451" s="50" t="s">
        <v>1930</v>
      </c>
      <c r="C451" s="50">
        <v>19</v>
      </c>
      <c r="D451" s="50" t="s">
        <v>1198</v>
      </c>
      <c r="E451" s="50">
        <v>1500</v>
      </c>
      <c r="F451" s="50">
        <v>0</v>
      </c>
      <c r="G451" s="50">
        <v>28500</v>
      </c>
    </row>
    <row r="452" spans="1:7" ht="16.5" x14ac:dyDescent="0.25">
      <c r="A452" s="50">
        <v>451</v>
      </c>
      <c r="B452" s="50" t="s">
        <v>1932</v>
      </c>
      <c r="C452" s="50">
        <v>20</v>
      </c>
      <c r="D452" s="50" t="s">
        <v>1149</v>
      </c>
      <c r="E452" s="50">
        <v>800</v>
      </c>
      <c r="F452" s="50">
        <v>10</v>
      </c>
      <c r="G452" s="50">
        <v>14400</v>
      </c>
    </row>
    <row r="453" spans="1:7" ht="16.5" x14ac:dyDescent="0.25">
      <c r="A453" s="50">
        <v>452</v>
      </c>
      <c r="B453" s="50" t="s">
        <v>1933</v>
      </c>
      <c r="C453" s="50">
        <v>11</v>
      </c>
      <c r="D453" s="50" t="s">
        <v>1342</v>
      </c>
      <c r="E453" s="50">
        <v>1200</v>
      </c>
      <c r="F453" s="50">
        <v>10</v>
      </c>
      <c r="G453" s="50">
        <v>11880</v>
      </c>
    </row>
    <row r="454" spans="1:7" ht="16.5" x14ac:dyDescent="0.25">
      <c r="A454" s="50">
        <v>453</v>
      </c>
      <c r="B454" s="50" t="s">
        <v>1935</v>
      </c>
      <c r="C454" s="50">
        <v>20</v>
      </c>
      <c r="D454" s="50" t="s">
        <v>1158</v>
      </c>
      <c r="E454" s="50">
        <v>1200</v>
      </c>
      <c r="F454" s="50">
        <v>10</v>
      </c>
      <c r="G454" s="50">
        <v>21600</v>
      </c>
    </row>
    <row r="455" spans="1:7" ht="16.5" x14ac:dyDescent="0.25">
      <c r="A455" s="50">
        <v>454</v>
      </c>
      <c r="B455" s="50" t="s">
        <v>1937</v>
      </c>
      <c r="C455" s="50">
        <v>20</v>
      </c>
      <c r="D455" s="50" t="s">
        <v>1143</v>
      </c>
      <c r="E455" s="50">
        <v>1500</v>
      </c>
      <c r="F455" s="50">
        <v>0</v>
      </c>
      <c r="G455" s="50">
        <v>30000</v>
      </c>
    </row>
    <row r="456" spans="1:7" ht="16.5" x14ac:dyDescent="0.25">
      <c r="A456" s="50">
        <v>455</v>
      </c>
      <c r="B456" s="50" t="s">
        <v>1938</v>
      </c>
      <c r="C456" s="50">
        <v>14</v>
      </c>
      <c r="D456" s="50" t="s">
        <v>1149</v>
      </c>
      <c r="E456" s="50">
        <v>800</v>
      </c>
      <c r="F456" s="50">
        <v>5</v>
      </c>
      <c r="G456" s="50">
        <v>10640</v>
      </c>
    </row>
    <row r="457" spans="1:7" ht="16.5" x14ac:dyDescent="0.25">
      <c r="A457" s="50">
        <v>456</v>
      </c>
      <c r="B457" s="50" t="s">
        <v>1939</v>
      </c>
      <c r="C457" s="50">
        <v>9</v>
      </c>
      <c r="D457" s="50" t="s">
        <v>1155</v>
      </c>
      <c r="E457" s="50">
        <v>800</v>
      </c>
      <c r="F457" s="50">
        <v>5</v>
      </c>
      <c r="G457" s="50">
        <v>6840</v>
      </c>
    </row>
    <row r="458" spans="1:7" ht="16.5" x14ac:dyDescent="0.25">
      <c r="A458" s="50">
        <v>457</v>
      </c>
      <c r="B458" s="50" t="s">
        <v>1941</v>
      </c>
      <c r="C458" s="50">
        <v>14</v>
      </c>
      <c r="D458" s="50" t="s">
        <v>1171</v>
      </c>
      <c r="E458" s="50">
        <v>1500</v>
      </c>
      <c r="F458" s="50">
        <v>5</v>
      </c>
      <c r="G458" s="50">
        <v>19950</v>
      </c>
    </row>
    <row r="459" spans="1:7" ht="16.5" x14ac:dyDescent="0.25">
      <c r="A459" s="50">
        <v>458</v>
      </c>
      <c r="B459" s="50" t="s">
        <v>1942</v>
      </c>
      <c r="C459" s="50">
        <v>13</v>
      </c>
      <c r="D459" s="50" t="s">
        <v>1140</v>
      </c>
      <c r="E459" s="50">
        <v>1500</v>
      </c>
      <c r="F459" s="50">
        <v>5</v>
      </c>
      <c r="G459" s="50">
        <v>18525</v>
      </c>
    </row>
    <row r="460" spans="1:7" ht="16.5" x14ac:dyDescent="0.25">
      <c r="A460" s="50">
        <v>459</v>
      </c>
      <c r="B460" s="50" t="s">
        <v>1944</v>
      </c>
      <c r="C460" s="50">
        <v>17</v>
      </c>
      <c r="D460" s="50" t="s">
        <v>1187</v>
      </c>
      <c r="E460" s="50">
        <v>1200</v>
      </c>
      <c r="F460" s="50">
        <v>10</v>
      </c>
      <c r="G460" s="50">
        <v>18360</v>
      </c>
    </row>
    <row r="461" spans="1:7" ht="16.5" x14ac:dyDescent="0.25">
      <c r="A461" s="50">
        <v>460</v>
      </c>
      <c r="B461" s="50" t="s">
        <v>1946</v>
      </c>
      <c r="C461" s="50">
        <v>7</v>
      </c>
      <c r="D461" s="50" t="s">
        <v>1152</v>
      </c>
      <c r="E461" s="50">
        <v>1200</v>
      </c>
      <c r="F461" s="50">
        <v>10</v>
      </c>
      <c r="G461" s="50">
        <v>7560</v>
      </c>
    </row>
    <row r="462" spans="1:7" ht="16.5" x14ac:dyDescent="0.25">
      <c r="A462" s="50">
        <v>461</v>
      </c>
      <c r="B462" s="50" t="s">
        <v>1947</v>
      </c>
      <c r="C462" s="50">
        <v>10</v>
      </c>
      <c r="D462" s="50" t="s">
        <v>1146</v>
      </c>
      <c r="E462" s="50">
        <v>1500</v>
      </c>
      <c r="F462" s="50">
        <v>10</v>
      </c>
      <c r="G462" s="50">
        <v>13500</v>
      </c>
    </row>
    <row r="463" spans="1:7" ht="16.5" x14ac:dyDescent="0.25">
      <c r="A463" s="50">
        <v>462</v>
      </c>
      <c r="B463" s="50" t="s">
        <v>1949</v>
      </c>
      <c r="C463" s="50">
        <v>6</v>
      </c>
      <c r="D463" s="50" t="s">
        <v>1140</v>
      </c>
      <c r="E463" s="50">
        <v>1200</v>
      </c>
      <c r="F463" s="50">
        <v>15</v>
      </c>
      <c r="G463" s="50">
        <v>6120</v>
      </c>
    </row>
    <row r="464" spans="1:7" ht="16.5" x14ac:dyDescent="0.25">
      <c r="A464" s="50">
        <v>463</v>
      </c>
      <c r="B464" s="50" t="s">
        <v>1951</v>
      </c>
      <c r="C464" s="50">
        <v>14</v>
      </c>
      <c r="D464" s="50" t="s">
        <v>1140</v>
      </c>
      <c r="E464" s="50">
        <v>800</v>
      </c>
      <c r="F464" s="50">
        <v>15</v>
      </c>
      <c r="G464" s="50">
        <v>9520</v>
      </c>
    </row>
    <row r="465" spans="1:7" ht="16.5" x14ac:dyDescent="0.25">
      <c r="A465" s="50">
        <v>464</v>
      </c>
      <c r="B465" s="50" t="s">
        <v>1952</v>
      </c>
      <c r="C465" s="50">
        <v>19</v>
      </c>
      <c r="D465" s="50" t="s">
        <v>1161</v>
      </c>
      <c r="E465" s="50">
        <v>800</v>
      </c>
      <c r="F465" s="50">
        <v>5</v>
      </c>
      <c r="G465" s="50">
        <v>14440</v>
      </c>
    </row>
    <row r="466" spans="1:7" ht="16.5" x14ac:dyDescent="0.25">
      <c r="A466" s="50">
        <v>465</v>
      </c>
      <c r="B466" s="50" t="s">
        <v>1953</v>
      </c>
      <c r="C466" s="50">
        <v>16</v>
      </c>
      <c r="D466" s="50" t="s">
        <v>1201</v>
      </c>
      <c r="E466" s="50">
        <v>1200</v>
      </c>
      <c r="F466" s="50">
        <v>15</v>
      </c>
      <c r="G466" s="50">
        <v>16320</v>
      </c>
    </row>
    <row r="467" spans="1:7" ht="16.5" x14ac:dyDescent="0.25">
      <c r="A467" s="50">
        <v>466</v>
      </c>
      <c r="B467" s="50" t="s">
        <v>1954</v>
      </c>
      <c r="C467" s="50">
        <v>8</v>
      </c>
      <c r="D467" s="50" t="s">
        <v>1201</v>
      </c>
      <c r="E467" s="50">
        <v>1500</v>
      </c>
      <c r="F467" s="50">
        <v>0</v>
      </c>
      <c r="G467" s="50">
        <v>12000</v>
      </c>
    </row>
    <row r="468" spans="1:7" ht="16.5" x14ac:dyDescent="0.25">
      <c r="A468" s="50">
        <v>467</v>
      </c>
      <c r="B468" s="50" t="s">
        <v>1955</v>
      </c>
      <c r="C468" s="50">
        <v>9</v>
      </c>
      <c r="D468" s="50" t="s">
        <v>1342</v>
      </c>
      <c r="E468" s="50">
        <v>1500</v>
      </c>
      <c r="F468" s="50">
        <v>10</v>
      </c>
      <c r="G468" s="50">
        <v>12150</v>
      </c>
    </row>
    <row r="469" spans="1:7" ht="16.5" x14ac:dyDescent="0.25">
      <c r="A469" s="50">
        <v>468</v>
      </c>
      <c r="B469" s="50" t="s">
        <v>1957</v>
      </c>
      <c r="C469" s="50">
        <v>3</v>
      </c>
      <c r="D469" s="50" t="s">
        <v>1155</v>
      </c>
      <c r="E469" s="50">
        <v>1200</v>
      </c>
      <c r="F469" s="50">
        <v>5</v>
      </c>
      <c r="G469" s="50">
        <v>3420</v>
      </c>
    </row>
    <row r="470" spans="1:7" ht="16.5" x14ac:dyDescent="0.25">
      <c r="A470" s="50">
        <v>469</v>
      </c>
      <c r="B470" s="50" t="s">
        <v>1958</v>
      </c>
      <c r="C470" s="50">
        <v>6</v>
      </c>
      <c r="D470" s="50" t="s">
        <v>1201</v>
      </c>
      <c r="E470" s="50">
        <v>800</v>
      </c>
      <c r="F470" s="50">
        <v>5</v>
      </c>
      <c r="G470" s="50">
        <v>4560</v>
      </c>
    </row>
    <row r="471" spans="1:7" ht="16.5" x14ac:dyDescent="0.25">
      <c r="A471" s="50">
        <v>470</v>
      </c>
      <c r="B471" s="50" t="s">
        <v>1959</v>
      </c>
      <c r="C471" s="50">
        <v>20</v>
      </c>
      <c r="D471" s="50" t="s">
        <v>1201</v>
      </c>
      <c r="E471" s="50">
        <v>800</v>
      </c>
      <c r="F471" s="50">
        <v>10</v>
      </c>
      <c r="G471" s="50">
        <v>14400</v>
      </c>
    </row>
    <row r="472" spans="1:7" ht="16.5" x14ac:dyDescent="0.25">
      <c r="A472" s="50">
        <v>471</v>
      </c>
      <c r="B472" s="50" t="s">
        <v>1961</v>
      </c>
      <c r="C472" s="50">
        <v>10</v>
      </c>
      <c r="D472" s="50" t="s">
        <v>1218</v>
      </c>
      <c r="E472" s="50">
        <v>1200</v>
      </c>
      <c r="F472" s="50">
        <v>15</v>
      </c>
      <c r="G472" s="50">
        <v>10200</v>
      </c>
    </row>
    <row r="473" spans="1:7" ht="16.5" x14ac:dyDescent="0.25">
      <c r="A473" s="50">
        <v>472</v>
      </c>
      <c r="B473" s="50" t="s">
        <v>1963</v>
      </c>
      <c r="C473" s="50">
        <v>20</v>
      </c>
      <c r="D473" s="50" t="s">
        <v>1161</v>
      </c>
      <c r="E473" s="50">
        <v>1500</v>
      </c>
      <c r="F473" s="50">
        <v>15</v>
      </c>
      <c r="G473" s="50">
        <v>25500</v>
      </c>
    </row>
    <row r="474" spans="1:7" ht="16.5" x14ac:dyDescent="0.25">
      <c r="A474" s="50">
        <v>473</v>
      </c>
      <c r="B474" s="50" t="s">
        <v>1965</v>
      </c>
      <c r="C474" s="50">
        <v>8</v>
      </c>
      <c r="D474" s="50" t="s">
        <v>1146</v>
      </c>
      <c r="E474" s="50">
        <v>800</v>
      </c>
      <c r="F474" s="50">
        <v>10</v>
      </c>
      <c r="G474" s="50">
        <v>5760</v>
      </c>
    </row>
    <row r="475" spans="1:7" ht="16.5" x14ac:dyDescent="0.25">
      <c r="A475" s="50">
        <v>474</v>
      </c>
      <c r="B475" s="50" t="s">
        <v>1966</v>
      </c>
      <c r="C475" s="50">
        <v>5</v>
      </c>
      <c r="D475" s="50" t="s">
        <v>1155</v>
      </c>
      <c r="E475" s="50">
        <v>1200</v>
      </c>
      <c r="F475" s="50">
        <v>0</v>
      </c>
      <c r="G475" s="50">
        <v>6000</v>
      </c>
    </row>
    <row r="476" spans="1:7" ht="16.5" x14ac:dyDescent="0.25">
      <c r="A476" s="50">
        <v>475</v>
      </c>
      <c r="B476" s="50" t="s">
        <v>1968</v>
      </c>
      <c r="C476" s="50">
        <v>19</v>
      </c>
      <c r="D476" s="50" t="s">
        <v>1218</v>
      </c>
      <c r="E476" s="50">
        <v>1200</v>
      </c>
      <c r="F476" s="50">
        <v>5</v>
      </c>
      <c r="G476" s="50">
        <v>21660</v>
      </c>
    </row>
    <row r="477" spans="1:7" ht="16.5" x14ac:dyDescent="0.25">
      <c r="A477" s="50">
        <v>476</v>
      </c>
      <c r="B477" s="50" t="s">
        <v>1969</v>
      </c>
      <c r="C477" s="50">
        <v>3</v>
      </c>
      <c r="D477" s="50" t="s">
        <v>1137</v>
      </c>
      <c r="E477" s="50">
        <v>800</v>
      </c>
      <c r="F477" s="50">
        <v>10</v>
      </c>
      <c r="G477" s="50">
        <v>2160</v>
      </c>
    </row>
    <row r="478" spans="1:7" ht="16.5" x14ac:dyDescent="0.25">
      <c r="A478" s="50">
        <v>477</v>
      </c>
      <c r="B478" s="50" t="s">
        <v>1970</v>
      </c>
      <c r="C478" s="50">
        <v>3</v>
      </c>
      <c r="D478" s="50" t="s">
        <v>1152</v>
      </c>
      <c r="E478" s="50">
        <v>1200</v>
      </c>
      <c r="F478" s="50">
        <v>10</v>
      </c>
      <c r="G478" s="50">
        <v>3240</v>
      </c>
    </row>
    <row r="479" spans="1:7" ht="16.5" x14ac:dyDescent="0.25">
      <c r="A479" s="50">
        <v>478</v>
      </c>
      <c r="B479" s="50" t="s">
        <v>1971</v>
      </c>
      <c r="C479" s="50">
        <v>1</v>
      </c>
      <c r="D479" s="50" t="s">
        <v>1166</v>
      </c>
      <c r="E479" s="50">
        <v>800</v>
      </c>
      <c r="F479" s="50">
        <v>5</v>
      </c>
      <c r="G479" s="50">
        <v>760</v>
      </c>
    </row>
    <row r="480" spans="1:7" ht="16.5" x14ac:dyDescent="0.25">
      <c r="A480" s="50">
        <v>479</v>
      </c>
      <c r="B480" s="50" t="s">
        <v>1973</v>
      </c>
      <c r="C480" s="50">
        <v>2</v>
      </c>
      <c r="D480" s="50" t="s">
        <v>1198</v>
      </c>
      <c r="E480" s="50">
        <v>1500</v>
      </c>
      <c r="F480" s="50">
        <v>15</v>
      </c>
      <c r="G480" s="50">
        <v>2550</v>
      </c>
    </row>
    <row r="481" spans="1:7" ht="16.5" x14ac:dyDescent="0.25">
      <c r="A481" s="50">
        <v>480</v>
      </c>
      <c r="B481" s="50" t="s">
        <v>1974</v>
      </c>
      <c r="C481" s="50">
        <v>14</v>
      </c>
      <c r="D481" s="50" t="s">
        <v>1192</v>
      </c>
      <c r="E481" s="50">
        <v>800</v>
      </c>
      <c r="F481" s="50">
        <v>0</v>
      </c>
      <c r="G481" s="50">
        <v>11200</v>
      </c>
    </row>
    <row r="482" spans="1:7" ht="16.5" x14ac:dyDescent="0.25">
      <c r="A482" s="50">
        <v>481</v>
      </c>
      <c r="B482" s="50" t="s">
        <v>1975</v>
      </c>
      <c r="C482" s="50">
        <v>12</v>
      </c>
      <c r="D482" s="50" t="s">
        <v>1262</v>
      </c>
      <c r="E482" s="50">
        <v>1200</v>
      </c>
      <c r="F482" s="50">
        <v>0</v>
      </c>
      <c r="G482" s="50">
        <v>14400</v>
      </c>
    </row>
    <row r="483" spans="1:7" ht="16.5" x14ac:dyDescent="0.25">
      <c r="A483" s="50">
        <v>482</v>
      </c>
      <c r="B483" s="50" t="s">
        <v>1976</v>
      </c>
      <c r="C483" s="50">
        <v>9</v>
      </c>
      <c r="D483" s="50" t="s">
        <v>1218</v>
      </c>
      <c r="E483" s="50">
        <v>800</v>
      </c>
      <c r="F483" s="50">
        <v>10</v>
      </c>
      <c r="G483" s="50">
        <v>6480</v>
      </c>
    </row>
    <row r="484" spans="1:7" ht="16.5" x14ac:dyDescent="0.25">
      <c r="A484" s="50">
        <v>483</v>
      </c>
      <c r="B484" s="50" t="s">
        <v>1977</v>
      </c>
      <c r="C484" s="50">
        <v>3</v>
      </c>
      <c r="D484" s="50" t="s">
        <v>1342</v>
      </c>
      <c r="E484" s="50">
        <v>1200</v>
      </c>
      <c r="F484" s="50">
        <v>0</v>
      </c>
      <c r="G484" s="50">
        <v>3600</v>
      </c>
    </row>
    <row r="485" spans="1:7" ht="16.5" x14ac:dyDescent="0.25">
      <c r="A485" s="50">
        <v>484</v>
      </c>
      <c r="B485" s="50" t="s">
        <v>1979</v>
      </c>
      <c r="C485" s="50">
        <v>15</v>
      </c>
      <c r="D485" s="50" t="s">
        <v>1158</v>
      </c>
      <c r="E485" s="50">
        <v>1200</v>
      </c>
      <c r="F485" s="50">
        <v>5</v>
      </c>
      <c r="G485" s="50">
        <v>17100</v>
      </c>
    </row>
    <row r="486" spans="1:7" ht="16.5" x14ac:dyDescent="0.25">
      <c r="A486" s="50">
        <v>485</v>
      </c>
      <c r="B486" s="50" t="s">
        <v>1981</v>
      </c>
      <c r="C486" s="50">
        <v>17</v>
      </c>
      <c r="D486" s="50" t="s">
        <v>1174</v>
      </c>
      <c r="E486" s="50">
        <v>800</v>
      </c>
      <c r="F486" s="50">
        <v>10</v>
      </c>
      <c r="G486" s="50">
        <v>12240</v>
      </c>
    </row>
    <row r="487" spans="1:7" ht="16.5" x14ac:dyDescent="0.25">
      <c r="A487" s="50">
        <v>486</v>
      </c>
      <c r="B487" s="50" t="s">
        <v>1982</v>
      </c>
      <c r="C487" s="50">
        <v>7</v>
      </c>
      <c r="D487" s="50" t="s">
        <v>1137</v>
      </c>
      <c r="E487" s="50">
        <v>1500</v>
      </c>
      <c r="F487" s="50">
        <v>5</v>
      </c>
      <c r="G487" s="50">
        <v>9975</v>
      </c>
    </row>
    <row r="488" spans="1:7" ht="16.5" x14ac:dyDescent="0.25">
      <c r="A488" s="50">
        <v>487</v>
      </c>
      <c r="B488" s="50" t="s">
        <v>1983</v>
      </c>
      <c r="C488" s="50">
        <v>11</v>
      </c>
      <c r="D488" s="50" t="s">
        <v>1161</v>
      </c>
      <c r="E488" s="50">
        <v>1200</v>
      </c>
      <c r="F488" s="50">
        <v>10</v>
      </c>
      <c r="G488" s="50">
        <v>11880</v>
      </c>
    </row>
    <row r="489" spans="1:7" ht="16.5" x14ac:dyDescent="0.25">
      <c r="A489" s="50">
        <v>488</v>
      </c>
      <c r="B489" s="50" t="s">
        <v>1984</v>
      </c>
      <c r="C489" s="50">
        <v>15</v>
      </c>
      <c r="D489" s="50" t="s">
        <v>1201</v>
      </c>
      <c r="E489" s="50">
        <v>800</v>
      </c>
      <c r="F489" s="50">
        <v>5</v>
      </c>
      <c r="G489" s="50">
        <v>11400</v>
      </c>
    </row>
    <row r="490" spans="1:7" ht="16.5" x14ac:dyDescent="0.25">
      <c r="A490" s="50">
        <v>489</v>
      </c>
      <c r="B490" s="50" t="s">
        <v>1985</v>
      </c>
      <c r="C490" s="50">
        <v>13</v>
      </c>
      <c r="D490" s="50" t="s">
        <v>1187</v>
      </c>
      <c r="E490" s="50">
        <v>800</v>
      </c>
      <c r="F490" s="50">
        <v>15</v>
      </c>
      <c r="G490" s="50">
        <v>8840</v>
      </c>
    </row>
    <row r="491" spans="1:7" ht="16.5" x14ac:dyDescent="0.25">
      <c r="A491" s="50">
        <v>490</v>
      </c>
      <c r="B491" s="50" t="s">
        <v>1987</v>
      </c>
      <c r="C491" s="50">
        <v>7</v>
      </c>
      <c r="D491" s="50" t="s">
        <v>1146</v>
      </c>
      <c r="E491" s="50">
        <v>1500</v>
      </c>
      <c r="F491" s="50">
        <v>10</v>
      </c>
      <c r="G491" s="50">
        <v>9450</v>
      </c>
    </row>
    <row r="492" spans="1:7" ht="16.5" x14ac:dyDescent="0.25">
      <c r="A492" s="50">
        <v>491</v>
      </c>
      <c r="B492" s="50" t="s">
        <v>1989</v>
      </c>
      <c r="C492" s="50">
        <v>8</v>
      </c>
      <c r="D492" s="50" t="s">
        <v>1137</v>
      </c>
      <c r="E492" s="50">
        <v>1200</v>
      </c>
      <c r="F492" s="50">
        <v>5</v>
      </c>
      <c r="G492" s="50">
        <v>9120</v>
      </c>
    </row>
    <row r="493" spans="1:7" ht="16.5" x14ac:dyDescent="0.25">
      <c r="A493" s="50">
        <v>492</v>
      </c>
      <c r="B493" s="50" t="s">
        <v>1990</v>
      </c>
      <c r="C493" s="50">
        <v>19</v>
      </c>
      <c r="D493" s="50" t="s">
        <v>1262</v>
      </c>
      <c r="E493" s="50">
        <v>1200</v>
      </c>
      <c r="F493" s="50">
        <v>5</v>
      </c>
      <c r="G493" s="50">
        <v>21660</v>
      </c>
    </row>
    <row r="494" spans="1:7" ht="16.5" x14ac:dyDescent="0.25">
      <c r="A494" s="50">
        <v>493</v>
      </c>
      <c r="B494" s="50" t="s">
        <v>1991</v>
      </c>
      <c r="C494" s="50">
        <v>8</v>
      </c>
      <c r="D494" s="50" t="s">
        <v>1161</v>
      </c>
      <c r="E494" s="50">
        <v>1500</v>
      </c>
      <c r="F494" s="50">
        <v>15</v>
      </c>
      <c r="G494" s="50">
        <v>10200</v>
      </c>
    </row>
    <row r="495" spans="1:7" ht="16.5" x14ac:dyDescent="0.25">
      <c r="A495" s="50">
        <v>494</v>
      </c>
      <c r="B495" s="50" t="s">
        <v>1993</v>
      </c>
      <c r="C495" s="50">
        <v>7</v>
      </c>
      <c r="D495" s="50" t="s">
        <v>1149</v>
      </c>
      <c r="E495" s="50">
        <v>800</v>
      </c>
      <c r="F495" s="50">
        <v>5</v>
      </c>
      <c r="G495" s="50">
        <v>5320</v>
      </c>
    </row>
    <row r="496" spans="1:7" ht="16.5" x14ac:dyDescent="0.25">
      <c r="A496" s="50">
        <v>495</v>
      </c>
      <c r="B496" s="50" t="s">
        <v>1995</v>
      </c>
      <c r="C496" s="50">
        <v>16</v>
      </c>
      <c r="D496" s="50" t="s">
        <v>1152</v>
      </c>
      <c r="E496" s="50">
        <v>800</v>
      </c>
      <c r="F496" s="50">
        <v>10</v>
      </c>
      <c r="G496" s="50">
        <v>11520</v>
      </c>
    </row>
    <row r="497" spans="1:7" ht="16.5" x14ac:dyDescent="0.25">
      <c r="A497" s="50">
        <v>496</v>
      </c>
      <c r="B497" s="50" t="s">
        <v>1996</v>
      </c>
      <c r="C497" s="50">
        <v>18</v>
      </c>
      <c r="D497" s="50" t="s">
        <v>1161</v>
      </c>
      <c r="E497" s="50">
        <v>1500</v>
      </c>
      <c r="F497" s="50">
        <v>15</v>
      </c>
      <c r="G497" s="50">
        <v>22950</v>
      </c>
    </row>
    <row r="498" spans="1:7" ht="16.5" x14ac:dyDescent="0.25">
      <c r="A498" s="50">
        <v>497</v>
      </c>
      <c r="B498" s="50" t="s">
        <v>1997</v>
      </c>
      <c r="C498" s="50">
        <v>13</v>
      </c>
      <c r="D498" s="50" t="s">
        <v>1171</v>
      </c>
      <c r="E498" s="50">
        <v>1200</v>
      </c>
      <c r="F498" s="50">
        <v>0</v>
      </c>
      <c r="G498" s="50">
        <v>15600</v>
      </c>
    </row>
    <row r="499" spans="1:7" ht="16.5" x14ac:dyDescent="0.25">
      <c r="A499" s="50">
        <v>498</v>
      </c>
      <c r="B499" s="50" t="s">
        <v>1999</v>
      </c>
      <c r="C499" s="50">
        <v>13</v>
      </c>
      <c r="D499" s="50" t="s">
        <v>1149</v>
      </c>
      <c r="E499" s="50">
        <v>800</v>
      </c>
      <c r="F499" s="50">
        <v>10</v>
      </c>
      <c r="G499" s="50">
        <v>9360</v>
      </c>
    </row>
    <row r="500" spans="1:7" ht="16.5" x14ac:dyDescent="0.25">
      <c r="A500" s="50">
        <v>499</v>
      </c>
      <c r="B500" s="50" t="s">
        <v>2000</v>
      </c>
      <c r="C500" s="50">
        <v>7</v>
      </c>
      <c r="D500" s="50" t="s">
        <v>1149</v>
      </c>
      <c r="E500" s="50">
        <v>1500</v>
      </c>
      <c r="F500" s="50">
        <v>15</v>
      </c>
      <c r="G500" s="50">
        <v>8925</v>
      </c>
    </row>
    <row r="501" spans="1:7" ht="16.5" x14ac:dyDescent="0.25">
      <c r="A501" s="50">
        <v>500</v>
      </c>
      <c r="B501" s="50" t="s">
        <v>2002</v>
      </c>
      <c r="C501" s="50">
        <v>2</v>
      </c>
      <c r="D501" s="50" t="s">
        <v>1140</v>
      </c>
      <c r="E501" s="50">
        <v>800</v>
      </c>
      <c r="F501" s="50">
        <v>15</v>
      </c>
      <c r="G501" s="50">
        <v>1360</v>
      </c>
    </row>
    <row r="502" spans="1:7" ht="16.5" x14ac:dyDescent="0.25">
      <c r="A502" s="50">
        <v>501</v>
      </c>
      <c r="B502" s="50" t="s">
        <v>2004</v>
      </c>
      <c r="C502" s="50">
        <v>13</v>
      </c>
      <c r="D502" s="50" t="s">
        <v>1149</v>
      </c>
      <c r="E502" s="50">
        <v>800</v>
      </c>
      <c r="F502" s="50">
        <v>10</v>
      </c>
      <c r="G502" s="50">
        <v>9360</v>
      </c>
    </row>
    <row r="503" spans="1:7" ht="16.5" x14ac:dyDescent="0.25">
      <c r="A503" s="50">
        <v>502</v>
      </c>
      <c r="B503" s="50" t="s">
        <v>2006</v>
      </c>
      <c r="C503" s="50">
        <v>13</v>
      </c>
      <c r="D503" s="50" t="s">
        <v>1218</v>
      </c>
      <c r="E503" s="50">
        <v>1500</v>
      </c>
      <c r="F503" s="50">
        <v>15</v>
      </c>
      <c r="G503" s="50">
        <v>16575</v>
      </c>
    </row>
    <row r="504" spans="1:7" ht="16.5" x14ac:dyDescent="0.25">
      <c r="A504" s="50">
        <v>503</v>
      </c>
      <c r="B504" s="50" t="s">
        <v>2007</v>
      </c>
      <c r="C504" s="50">
        <v>20</v>
      </c>
      <c r="D504" s="50" t="s">
        <v>1240</v>
      </c>
      <c r="E504" s="50">
        <v>1200</v>
      </c>
      <c r="F504" s="50">
        <v>15</v>
      </c>
      <c r="G504" s="50">
        <v>20400</v>
      </c>
    </row>
    <row r="505" spans="1:7" ht="16.5" x14ac:dyDescent="0.25">
      <c r="A505" s="50">
        <v>504</v>
      </c>
      <c r="B505" s="50" t="s">
        <v>2009</v>
      </c>
      <c r="C505" s="50">
        <v>10</v>
      </c>
      <c r="D505" s="50" t="s">
        <v>1155</v>
      </c>
      <c r="E505" s="50">
        <v>800</v>
      </c>
      <c r="F505" s="50">
        <v>5</v>
      </c>
      <c r="G505" s="50">
        <v>7600</v>
      </c>
    </row>
    <row r="506" spans="1:7" ht="16.5" x14ac:dyDescent="0.25">
      <c r="A506" s="50">
        <v>505</v>
      </c>
      <c r="B506" s="50" t="s">
        <v>2010</v>
      </c>
      <c r="C506" s="50">
        <v>7</v>
      </c>
      <c r="D506" s="50" t="s">
        <v>1171</v>
      </c>
      <c r="E506" s="50">
        <v>800</v>
      </c>
      <c r="F506" s="50">
        <v>0</v>
      </c>
      <c r="G506" s="50">
        <v>5600</v>
      </c>
    </row>
    <row r="507" spans="1:7" ht="16.5" x14ac:dyDescent="0.25">
      <c r="A507" s="50">
        <v>506</v>
      </c>
      <c r="B507" s="50" t="s">
        <v>2011</v>
      </c>
      <c r="C507" s="50">
        <v>8</v>
      </c>
      <c r="D507" s="50" t="s">
        <v>1161</v>
      </c>
      <c r="E507" s="50">
        <v>1200</v>
      </c>
      <c r="F507" s="50">
        <v>15</v>
      </c>
      <c r="G507" s="50">
        <v>8160</v>
      </c>
    </row>
    <row r="508" spans="1:7" ht="16.5" x14ac:dyDescent="0.25">
      <c r="A508" s="50">
        <v>507</v>
      </c>
      <c r="B508" s="50" t="s">
        <v>2012</v>
      </c>
      <c r="C508" s="50">
        <v>16</v>
      </c>
      <c r="D508" s="50" t="s">
        <v>1137</v>
      </c>
      <c r="E508" s="50">
        <v>1200</v>
      </c>
      <c r="F508" s="50">
        <v>10</v>
      </c>
      <c r="G508" s="50">
        <v>17280</v>
      </c>
    </row>
    <row r="509" spans="1:7" ht="16.5" x14ac:dyDescent="0.25">
      <c r="A509" s="50">
        <v>508</v>
      </c>
      <c r="B509" s="50" t="s">
        <v>2013</v>
      </c>
      <c r="C509" s="50">
        <v>4</v>
      </c>
      <c r="D509" s="50" t="s">
        <v>1158</v>
      </c>
      <c r="E509" s="50">
        <v>1200</v>
      </c>
      <c r="F509" s="50">
        <v>5</v>
      </c>
      <c r="G509" s="50">
        <v>4560</v>
      </c>
    </row>
    <row r="510" spans="1:7" ht="16.5" x14ac:dyDescent="0.25">
      <c r="A510" s="50">
        <v>509</v>
      </c>
      <c r="B510" s="50" t="s">
        <v>2015</v>
      </c>
      <c r="C510" s="50">
        <v>6</v>
      </c>
      <c r="D510" s="50" t="s">
        <v>1201</v>
      </c>
      <c r="E510" s="50">
        <v>1500</v>
      </c>
      <c r="F510" s="50">
        <v>10</v>
      </c>
      <c r="G510" s="50">
        <v>8100</v>
      </c>
    </row>
    <row r="511" spans="1:7" ht="16.5" x14ac:dyDescent="0.25">
      <c r="A511" s="50">
        <v>510</v>
      </c>
      <c r="B511" s="50" t="s">
        <v>2016</v>
      </c>
      <c r="C511" s="50">
        <v>11</v>
      </c>
      <c r="D511" s="50" t="s">
        <v>1171</v>
      </c>
      <c r="E511" s="50">
        <v>1200</v>
      </c>
      <c r="F511" s="50">
        <v>10</v>
      </c>
      <c r="G511" s="50">
        <v>11880</v>
      </c>
    </row>
    <row r="512" spans="1:7" ht="16.5" x14ac:dyDescent="0.25">
      <c r="A512" s="50">
        <v>511</v>
      </c>
      <c r="B512" s="50" t="s">
        <v>2017</v>
      </c>
      <c r="C512" s="50">
        <v>7</v>
      </c>
      <c r="D512" s="50" t="s">
        <v>1201</v>
      </c>
      <c r="E512" s="50">
        <v>1500</v>
      </c>
      <c r="F512" s="50">
        <v>5</v>
      </c>
      <c r="G512" s="50">
        <v>9975</v>
      </c>
    </row>
    <row r="513" spans="1:7" ht="16.5" x14ac:dyDescent="0.25">
      <c r="A513" s="50">
        <v>512</v>
      </c>
      <c r="B513" s="50" t="s">
        <v>2018</v>
      </c>
      <c r="C513" s="50">
        <v>1</v>
      </c>
      <c r="D513" s="50" t="s">
        <v>1158</v>
      </c>
      <c r="E513" s="50">
        <v>800</v>
      </c>
      <c r="F513" s="50">
        <v>5</v>
      </c>
      <c r="G513" s="50">
        <v>760</v>
      </c>
    </row>
    <row r="514" spans="1:7" ht="16.5" x14ac:dyDescent="0.25">
      <c r="A514" s="50">
        <v>513</v>
      </c>
      <c r="B514" s="50" t="s">
        <v>2019</v>
      </c>
      <c r="C514" s="50">
        <v>3</v>
      </c>
      <c r="D514" s="50" t="s">
        <v>1158</v>
      </c>
      <c r="E514" s="50">
        <v>1200</v>
      </c>
      <c r="F514" s="50">
        <v>10</v>
      </c>
      <c r="G514" s="50">
        <v>3240</v>
      </c>
    </row>
    <row r="515" spans="1:7" ht="16.5" x14ac:dyDescent="0.25">
      <c r="A515" s="50">
        <v>514</v>
      </c>
      <c r="B515" s="50" t="s">
        <v>2020</v>
      </c>
      <c r="C515" s="50">
        <v>19</v>
      </c>
      <c r="D515" s="50" t="s">
        <v>1342</v>
      </c>
      <c r="E515" s="50">
        <v>800</v>
      </c>
      <c r="F515" s="50">
        <v>15</v>
      </c>
      <c r="G515" s="50">
        <v>12920</v>
      </c>
    </row>
    <row r="516" spans="1:7" ht="16.5" x14ac:dyDescent="0.25">
      <c r="A516" s="50">
        <v>515</v>
      </c>
      <c r="B516" s="50" t="s">
        <v>2021</v>
      </c>
      <c r="C516" s="50">
        <v>1</v>
      </c>
      <c r="D516" s="50" t="s">
        <v>1198</v>
      </c>
      <c r="E516" s="50">
        <v>1200</v>
      </c>
      <c r="F516" s="50">
        <v>0</v>
      </c>
      <c r="G516" s="50">
        <v>1200</v>
      </c>
    </row>
    <row r="517" spans="1:7" ht="16.5" x14ac:dyDescent="0.25">
      <c r="A517" s="50">
        <v>516</v>
      </c>
      <c r="B517" s="50" t="s">
        <v>2022</v>
      </c>
      <c r="C517" s="50">
        <v>18</v>
      </c>
      <c r="D517" s="50" t="s">
        <v>1137</v>
      </c>
      <c r="E517" s="50">
        <v>1500</v>
      </c>
      <c r="F517" s="50">
        <v>10</v>
      </c>
      <c r="G517" s="50">
        <v>24300</v>
      </c>
    </row>
    <row r="518" spans="1:7" ht="16.5" x14ac:dyDescent="0.25">
      <c r="A518" s="50">
        <v>517</v>
      </c>
      <c r="B518" s="50" t="s">
        <v>2023</v>
      </c>
      <c r="C518" s="50">
        <v>16</v>
      </c>
      <c r="D518" s="50" t="s">
        <v>1201</v>
      </c>
      <c r="E518" s="50">
        <v>1200</v>
      </c>
      <c r="F518" s="50">
        <v>10</v>
      </c>
      <c r="G518" s="50">
        <v>17280</v>
      </c>
    </row>
    <row r="519" spans="1:7" ht="16.5" x14ac:dyDescent="0.25">
      <c r="A519" s="50">
        <v>518</v>
      </c>
      <c r="B519" s="50" t="s">
        <v>2025</v>
      </c>
      <c r="C519" s="50">
        <v>18</v>
      </c>
      <c r="D519" s="50" t="s">
        <v>1240</v>
      </c>
      <c r="E519" s="50">
        <v>800</v>
      </c>
      <c r="F519" s="50">
        <v>10</v>
      </c>
      <c r="G519" s="50">
        <v>12960</v>
      </c>
    </row>
    <row r="520" spans="1:7" ht="16.5" x14ac:dyDescent="0.25">
      <c r="A520" s="50">
        <v>519</v>
      </c>
      <c r="B520" s="50" t="s">
        <v>2026</v>
      </c>
      <c r="C520" s="50">
        <v>4</v>
      </c>
      <c r="D520" s="50" t="s">
        <v>1240</v>
      </c>
      <c r="E520" s="50">
        <v>1500</v>
      </c>
      <c r="F520" s="50">
        <v>5</v>
      </c>
      <c r="G520" s="50">
        <v>5700</v>
      </c>
    </row>
    <row r="521" spans="1:7" ht="16.5" x14ac:dyDescent="0.25">
      <c r="A521" s="50">
        <v>520</v>
      </c>
      <c r="B521" s="50" t="s">
        <v>2028</v>
      </c>
      <c r="C521" s="50">
        <v>13</v>
      </c>
      <c r="D521" s="50" t="s">
        <v>1198</v>
      </c>
      <c r="E521" s="50">
        <v>800</v>
      </c>
      <c r="F521" s="50">
        <v>10</v>
      </c>
      <c r="G521" s="50">
        <v>9360</v>
      </c>
    </row>
    <row r="522" spans="1:7" ht="16.5" x14ac:dyDescent="0.25">
      <c r="A522" s="50">
        <v>521</v>
      </c>
      <c r="B522" s="50" t="s">
        <v>2029</v>
      </c>
      <c r="C522" s="50">
        <v>19</v>
      </c>
      <c r="D522" s="50" t="s">
        <v>1342</v>
      </c>
      <c r="E522" s="50">
        <v>800</v>
      </c>
      <c r="F522" s="50">
        <v>15</v>
      </c>
      <c r="G522" s="50">
        <v>12920</v>
      </c>
    </row>
    <row r="523" spans="1:7" ht="16.5" x14ac:dyDescent="0.25">
      <c r="A523" s="50">
        <v>522</v>
      </c>
      <c r="B523" s="50" t="s">
        <v>2031</v>
      </c>
      <c r="C523" s="50">
        <v>3</v>
      </c>
      <c r="D523" s="50" t="s">
        <v>1229</v>
      </c>
      <c r="E523" s="50">
        <v>1500</v>
      </c>
      <c r="F523" s="50">
        <v>10</v>
      </c>
      <c r="G523" s="50">
        <v>4050</v>
      </c>
    </row>
    <row r="524" spans="1:7" ht="16.5" x14ac:dyDescent="0.25">
      <c r="A524" s="50">
        <v>523</v>
      </c>
      <c r="B524" s="50" t="s">
        <v>2032</v>
      </c>
      <c r="C524" s="50">
        <v>6</v>
      </c>
      <c r="D524" s="50" t="s">
        <v>1171</v>
      </c>
      <c r="E524" s="50">
        <v>800</v>
      </c>
      <c r="F524" s="50">
        <v>0</v>
      </c>
      <c r="G524" s="50">
        <v>4800</v>
      </c>
    </row>
    <row r="525" spans="1:7" ht="16.5" x14ac:dyDescent="0.25">
      <c r="A525" s="50">
        <v>524</v>
      </c>
      <c r="B525" s="50" t="s">
        <v>2034</v>
      </c>
      <c r="C525" s="50">
        <v>3</v>
      </c>
      <c r="D525" s="50" t="s">
        <v>1158</v>
      </c>
      <c r="E525" s="50">
        <v>1500</v>
      </c>
      <c r="F525" s="50">
        <v>5</v>
      </c>
      <c r="G525" s="50">
        <v>4275</v>
      </c>
    </row>
    <row r="526" spans="1:7" ht="16.5" x14ac:dyDescent="0.25">
      <c r="A526" s="50">
        <v>525</v>
      </c>
      <c r="B526" s="50" t="s">
        <v>2036</v>
      </c>
      <c r="C526" s="50">
        <v>2</v>
      </c>
      <c r="D526" s="50" t="s">
        <v>1262</v>
      </c>
      <c r="E526" s="50">
        <v>1200</v>
      </c>
      <c r="F526" s="50">
        <v>0</v>
      </c>
      <c r="G526" s="50">
        <v>2400</v>
      </c>
    </row>
    <row r="527" spans="1:7" ht="16.5" x14ac:dyDescent="0.25">
      <c r="A527" s="50">
        <v>526</v>
      </c>
      <c r="B527" s="50" t="s">
        <v>2037</v>
      </c>
      <c r="C527" s="50">
        <v>4</v>
      </c>
      <c r="D527" s="50" t="s">
        <v>1137</v>
      </c>
      <c r="E527" s="50">
        <v>1200</v>
      </c>
      <c r="F527" s="50">
        <v>15</v>
      </c>
      <c r="G527" s="50">
        <v>4080</v>
      </c>
    </row>
    <row r="528" spans="1:7" ht="16.5" x14ac:dyDescent="0.25">
      <c r="A528" s="50">
        <v>527</v>
      </c>
      <c r="B528" s="50" t="s">
        <v>2039</v>
      </c>
      <c r="C528" s="50">
        <v>3</v>
      </c>
      <c r="D528" s="50" t="s">
        <v>1342</v>
      </c>
      <c r="E528" s="50">
        <v>1500</v>
      </c>
      <c r="F528" s="50">
        <v>5</v>
      </c>
      <c r="G528" s="50">
        <v>4275</v>
      </c>
    </row>
    <row r="529" spans="1:7" ht="16.5" x14ac:dyDescent="0.25">
      <c r="A529" s="50">
        <v>528</v>
      </c>
      <c r="B529" s="50" t="s">
        <v>2040</v>
      </c>
      <c r="C529" s="50">
        <v>15</v>
      </c>
      <c r="D529" s="50" t="s">
        <v>1198</v>
      </c>
      <c r="E529" s="50">
        <v>1200</v>
      </c>
      <c r="F529" s="50">
        <v>0</v>
      </c>
      <c r="G529" s="50">
        <v>18000</v>
      </c>
    </row>
    <row r="530" spans="1:7" ht="16.5" x14ac:dyDescent="0.25">
      <c r="A530" s="50">
        <v>529</v>
      </c>
      <c r="B530" s="50" t="s">
        <v>2041</v>
      </c>
      <c r="C530" s="50">
        <v>14</v>
      </c>
      <c r="D530" s="50" t="s">
        <v>1143</v>
      </c>
      <c r="E530" s="50">
        <v>1200</v>
      </c>
      <c r="F530" s="50">
        <v>5</v>
      </c>
      <c r="G530" s="50">
        <v>15960</v>
      </c>
    </row>
    <row r="531" spans="1:7" ht="16.5" x14ac:dyDescent="0.25">
      <c r="A531" s="50">
        <v>530</v>
      </c>
      <c r="B531" s="50" t="s">
        <v>2042</v>
      </c>
      <c r="C531" s="50">
        <v>15</v>
      </c>
      <c r="D531" s="50" t="s">
        <v>1187</v>
      </c>
      <c r="E531" s="50">
        <v>1500</v>
      </c>
      <c r="F531" s="50">
        <v>15</v>
      </c>
      <c r="G531" s="50">
        <v>19125</v>
      </c>
    </row>
    <row r="532" spans="1:7" ht="16.5" x14ac:dyDescent="0.25">
      <c r="A532" s="50">
        <v>531</v>
      </c>
      <c r="B532" s="50" t="s">
        <v>2043</v>
      </c>
      <c r="C532" s="50">
        <v>6</v>
      </c>
      <c r="D532" s="50" t="s">
        <v>1262</v>
      </c>
      <c r="E532" s="50">
        <v>1500</v>
      </c>
      <c r="F532" s="50">
        <v>15</v>
      </c>
      <c r="G532" s="50">
        <v>7650</v>
      </c>
    </row>
    <row r="533" spans="1:7" ht="16.5" x14ac:dyDescent="0.25">
      <c r="A533" s="50">
        <v>532</v>
      </c>
      <c r="B533" s="50" t="s">
        <v>2044</v>
      </c>
      <c r="C533" s="50">
        <v>17</v>
      </c>
      <c r="D533" s="50" t="s">
        <v>1187</v>
      </c>
      <c r="E533" s="50">
        <v>1200</v>
      </c>
      <c r="F533" s="50">
        <v>10</v>
      </c>
      <c r="G533" s="50">
        <v>18360</v>
      </c>
    </row>
    <row r="534" spans="1:7" ht="16.5" x14ac:dyDescent="0.25">
      <c r="A534" s="50">
        <v>533</v>
      </c>
      <c r="B534" s="50" t="s">
        <v>2045</v>
      </c>
      <c r="C534" s="50">
        <v>10</v>
      </c>
      <c r="D534" s="50" t="s">
        <v>1218</v>
      </c>
      <c r="E534" s="50">
        <v>1500</v>
      </c>
      <c r="F534" s="50">
        <v>5</v>
      </c>
      <c r="G534" s="50">
        <v>14250</v>
      </c>
    </row>
    <row r="535" spans="1:7" ht="16.5" x14ac:dyDescent="0.25">
      <c r="A535" s="50">
        <v>534</v>
      </c>
      <c r="B535" s="50" t="s">
        <v>2047</v>
      </c>
      <c r="C535" s="50">
        <v>12</v>
      </c>
      <c r="D535" s="50" t="s">
        <v>1240</v>
      </c>
      <c r="E535" s="50">
        <v>1200</v>
      </c>
      <c r="F535" s="50">
        <v>5</v>
      </c>
      <c r="G535" s="50">
        <v>13680</v>
      </c>
    </row>
    <row r="536" spans="1:7" ht="16.5" x14ac:dyDescent="0.25">
      <c r="A536" s="50">
        <v>535</v>
      </c>
      <c r="B536" s="50" t="s">
        <v>2048</v>
      </c>
      <c r="C536" s="50">
        <v>4</v>
      </c>
      <c r="D536" s="50" t="s">
        <v>1192</v>
      </c>
      <c r="E536" s="50">
        <v>1500</v>
      </c>
      <c r="F536" s="50">
        <v>5</v>
      </c>
      <c r="G536" s="50">
        <v>5700</v>
      </c>
    </row>
    <row r="537" spans="1:7" ht="16.5" x14ac:dyDescent="0.25">
      <c r="A537" s="50">
        <v>536</v>
      </c>
      <c r="B537" s="50" t="s">
        <v>2050</v>
      </c>
      <c r="C537" s="50">
        <v>2</v>
      </c>
      <c r="D537" s="50" t="s">
        <v>1174</v>
      </c>
      <c r="E537" s="50">
        <v>800</v>
      </c>
      <c r="F537" s="50">
        <v>5</v>
      </c>
      <c r="G537" s="50">
        <v>1520</v>
      </c>
    </row>
    <row r="538" spans="1:7" ht="16.5" x14ac:dyDescent="0.25">
      <c r="A538" s="50">
        <v>537</v>
      </c>
      <c r="B538" s="50" t="s">
        <v>2051</v>
      </c>
      <c r="C538" s="50">
        <v>2</v>
      </c>
      <c r="D538" s="50" t="s">
        <v>1240</v>
      </c>
      <c r="E538" s="50">
        <v>800</v>
      </c>
      <c r="F538" s="50">
        <v>15</v>
      </c>
      <c r="G538" s="50">
        <v>1360</v>
      </c>
    </row>
    <row r="539" spans="1:7" ht="16.5" x14ac:dyDescent="0.25">
      <c r="A539" s="50">
        <v>538</v>
      </c>
      <c r="B539" s="50" t="s">
        <v>2052</v>
      </c>
      <c r="C539" s="50">
        <v>12</v>
      </c>
      <c r="D539" s="50" t="s">
        <v>1174</v>
      </c>
      <c r="E539" s="50">
        <v>1500</v>
      </c>
      <c r="F539" s="50">
        <v>15</v>
      </c>
      <c r="G539" s="50">
        <v>15300</v>
      </c>
    </row>
    <row r="540" spans="1:7" ht="16.5" x14ac:dyDescent="0.25">
      <c r="A540" s="50">
        <v>539</v>
      </c>
      <c r="B540" s="50" t="s">
        <v>2054</v>
      </c>
      <c r="C540" s="50">
        <v>19</v>
      </c>
      <c r="D540" s="50" t="s">
        <v>1158</v>
      </c>
      <c r="E540" s="50">
        <v>1500</v>
      </c>
      <c r="F540" s="50">
        <v>0</v>
      </c>
      <c r="G540" s="50">
        <v>28500</v>
      </c>
    </row>
    <row r="541" spans="1:7" ht="16.5" x14ac:dyDescent="0.25">
      <c r="A541" s="50">
        <v>540</v>
      </c>
      <c r="B541" s="50" t="s">
        <v>2056</v>
      </c>
      <c r="C541" s="50">
        <v>13</v>
      </c>
      <c r="D541" s="50" t="s">
        <v>1166</v>
      </c>
      <c r="E541" s="50">
        <v>1500</v>
      </c>
      <c r="F541" s="50">
        <v>0</v>
      </c>
      <c r="G541" s="50">
        <v>19500</v>
      </c>
    </row>
    <row r="542" spans="1:7" ht="16.5" x14ac:dyDescent="0.25">
      <c r="A542" s="50">
        <v>541</v>
      </c>
      <c r="B542" s="50" t="s">
        <v>2058</v>
      </c>
      <c r="C542" s="50">
        <v>9</v>
      </c>
      <c r="D542" s="50" t="s">
        <v>1198</v>
      </c>
      <c r="E542" s="50">
        <v>800</v>
      </c>
      <c r="F542" s="50">
        <v>0</v>
      </c>
      <c r="G542" s="50">
        <v>7200</v>
      </c>
    </row>
    <row r="543" spans="1:7" ht="16.5" x14ac:dyDescent="0.25">
      <c r="A543" s="50">
        <v>542</v>
      </c>
      <c r="B543" s="50" t="s">
        <v>2059</v>
      </c>
      <c r="C543" s="50">
        <v>11</v>
      </c>
      <c r="D543" s="50" t="s">
        <v>1149</v>
      </c>
      <c r="E543" s="50">
        <v>800</v>
      </c>
      <c r="F543" s="50">
        <v>10</v>
      </c>
      <c r="G543" s="50">
        <v>7920</v>
      </c>
    </row>
    <row r="544" spans="1:7" ht="16.5" x14ac:dyDescent="0.25">
      <c r="A544" s="50">
        <v>543</v>
      </c>
      <c r="B544" s="50" t="s">
        <v>2060</v>
      </c>
      <c r="C544" s="50">
        <v>11</v>
      </c>
      <c r="D544" s="50" t="s">
        <v>1146</v>
      </c>
      <c r="E544" s="50">
        <v>1200</v>
      </c>
      <c r="F544" s="50">
        <v>15</v>
      </c>
      <c r="G544" s="50">
        <v>11220</v>
      </c>
    </row>
    <row r="545" spans="1:7" ht="16.5" x14ac:dyDescent="0.25">
      <c r="A545" s="50">
        <v>544</v>
      </c>
      <c r="B545" s="50" t="s">
        <v>2062</v>
      </c>
      <c r="C545" s="50">
        <v>13</v>
      </c>
      <c r="D545" s="50" t="s">
        <v>1187</v>
      </c>
      <c r="E545" s="50">
        <v>1500</v>
      </c>
      <c r="F545" s="50">
        <v>5</v>
      </c>
      <c r="G545" s="50">
        <v>18525</v>
      </c>
    </row>
    <row r="546" spans="1:7" ht="16.5" x14ac:dyDescent="0.25">
      <c r="A546" s="50">
        <v>545</v>
      </c>
      <c r="B546" s="50" t="s">
        <v>2063</v>
      </c>
      <c r="C546" s="50">
        <v>13</v>
      </c>
      <c r="D546" s="50" t="s">
        <v>1174</v>
      </c>
      <c r="E546" s="50">
        <v>1200</v>
      </c>
      <c r="F546" s="50">
        <v>10</v>
      </c>
      <c r="G546" s="50">
        <v>14040</v>
      </c>
    </row>
    <row r="547" spans="1:7" ht="16.5" x14ac:dyDescent="0.25">
      <c r="A547" s="50">
        <v>546</v>
      </c>
      <c r="B547" s="50" t="s">
        <v>2065</v>
      </c>
      <c r="C547" s="50">
        <v>2</v>
      </c>
      <c r="D547" s="50" t="s">
        <v>1171</v>
      </c>
      <c r="E547" s="50">
        <v>1200</v>
      </c>
      <c r="F547" s="50">
        <v>5</v>
      </c>
      <c r="G547" s="50">
        <v>2280</v>
      </c>
    </row>
    <row r="548" spans="1:7" ht="16.5" x14ac:dyDescent="0.25">
      <c r="A548" s="50">
        <v>547</v>
      </c>
      <c r="B548" s="50" t="s">
        <v>2067</v>
      </c>
      <c r="C548" s="50">
        <v>18</v>
      </c>
      <c r="D548" s="50" t="s">
        <v>1229</v>
      </c>
      <c r="E548" s="50">
        <v>1200</v>
      </c>
      <c r="F548" s="50">
        <v>0</v>
      </c>
      <c r="G548" s="50">
        <v>21600</v>
      </c>
    </row>
    <row r="549" spans="1:7" ht="16.5" x14ac:dyDescent="0.25">
      <c r="A549" s="50">
        <v>548</v>
      </c>
      <c r="B549" s="50" t="s">
        <v>2068</v>
      </c>
      <c r="C549" s="50">
        <v>5</v>
      </c>
      <c r="D549" s="50" t="s">
        <v>1137</v>
      </c>
      <c r="E549" s="50">
        <v>1200</v>
      </c>
      <c r="F549" s="50">
        <v>5</v>
      </c>
      <c r="G549" s="50">
        <v>5700</v>
      </c>
    </row>
    <row r="550" spans="1:7" ht="16.5" x14ac:dyDescent="0.25">
      <c r="A550" s="50">
        <v>549</v>
      </c>
      <c r="B550" s="50" t="s">
        <v>2069</v>
      </c>
      <c r="C550" s="50">
        <v>3</v>
      </c>
      <c r="D550" s="50" t="s">
        <v>1143</v>
      </c>
      <c r="E550" s="50">
        <v>800</v>
      </c>
      <c r="F550" s="50">
        <v>10</v>
      </c>
      <c r="G550" s="50">
        <v>2160</v>
      </c>
    </row>
    <row r="551" spans="1:7" ht="16.5" x14ac:dyDescent="0.25">
      <c r="A551" s="50">
        <v>550</v>
      </c>
      <c r="B551" s="50" t="s">
        <v>2070</v>
      </c>
      <c r="C551" s="50">
        <v>5</v>
      </c>
      <c r="D551" s="50" t="s">
        <v>1187</v>
      </c>
      <c r="E551" s="50">
        <v>1500</v>
      </c>
      <c r="F551" s="50">
        <v>0</v>
      </c>
      <c r="G551" s="50">
        <v>7500</v>
      </c>
    </row>
    <row r="552" spans="1:7" ht="16.5" x14ac:dyDescent="0.25">
      <c r="A552" s="50">
        <v>551</v>
      </c>
      <c r="B552" s="50" t="s">
        <v>2071</v>
      </c>
      <c r="C552" s="50">
        <v>19</v>
      </c>
      <c r="D552" s="50" t="s">
        <v>1137</v>
      </c>
      <c r="E552" s="50">
        <v>1500</v>
      </c>
      <c r="F552" s="50">
        <v>5</v>
      </c>
      <c r="G552" s="50">
        <v>27075</v>
      </c>
    </row>
    <row r="553" spans="1:7" ht="16.5" x14ac:dyDescent="0.25">
      <c r="A553" s="50">
        <v>552</v>
      </c>
      <c r="B553" s="50" t="s">
        <v>2072</v>
      </c>
      <c r="C553" s="50">
        <v>3</v>
      </c>
      <c r="D553" s="50" t="s">
        <v>1146</v>
      </c>
      <c r="E553" s="50">
        <v>1200</v>
      </c>
      <c r="F553" s="50">
        <v>15</v>
      </c>
      <c r="G553" s="50">
        <v>3060</v>
      </c>
    </row>
    <row r="554" spans="1:7" ht="16.5" x14ac:dyDescent="0.25">
      <c r="A554" s="50">
        <v>553</v>
      </c>
      <c r="B554" s="50" t="s">
        <v>2074</v>
      </c>
      <c r="C554" s="50">
        <v>4</v>
      </c>
      <c r="D554" s="50" t="s">
        <v>1240</v>
      </c>
      <c r="E554" s="50">
        <v>1200</v>
      </c>
      <c r="F554" s="50">
        <v>5</v>
      </c>
      <c r="G554" s="50">
        <v>4560</v>
      </c>
    </row>
    <row r="555" spans="1:7" ht="16.5" x14ac:dyDescent="0.25">
      <c r="A555" s="50">
        <v>554</v>
      </c>
      <c r="B555" s="50" t="s">
        <v>2076</v>
      </c>
      <c r="C555" s="50">
        <v>15</v>
      </c>
      <c r="D555" s="50" t="s">
        <v>1218</v>
      </c>
      <c r="E555" s="50">
        <v>1500</v>
      </c>
      <c r="F555" s="50">
        <v>15</v>
      </c>
      <c r="G555" s="50">
        <v>19125</v>
      </c>
    </row>
    <row r="556" spans="1:7" ht="16.5" x14ac:dyDescent="0.25">
      <c r="A556" s="50">
        <v>555</v>
      </c>
      <c r="B556" s="50" t="s">
        <v>2077</v>
      </c>
      <c r="C556" s="50">
        <v>16</v>
      </c>
      <c r="D556" s="50" t="s">
        <v>1140</v>
      </c>
      <c r="E556" s="50">
        <v>800</v>
      </c>
      <c r="F556" s="50">
        <v>5</v>
      </c>
      <c r="G556" s="50">
        <v>12160</v>
      </c>
    </row>
    <row r="557" spans="1:7" ht="16.5" x14ac:dyDescent="0.25">
      <c r="A557" s="50">
        <v>556</v>
      </c>
      <c r="B557" s="50" t="s">
        <v>2078</v>
      </c>
      <c r="C557" s="50">
        <v>10</v>
      </c>
      <c r="D557" s="50" t="s">
        <v>1201</v>
      </c>
      <c r="E557" s="50">
        <v>1500</v>
      </c>
      <c r="F557" s="50">
        <v>10</v>
      </c>
      <c r="G557" s="50">
        <v>13500</v>
      </c>
    </row>
    <row r="558" spans="1:7" ht="16.5" x14ac:dyDescent="0.25">
      <c r="A558" s="50">
        <v>557</v>
      </c>
      <c r="B558" s="50" t="s">
        <v>2080</v>
      </c>
      <c r="C558" s="50">
        <v>20</v>
      </c>
      <c r="D558" s="50" t="s">
        <v>1171</v>
      </c>
      <c r="E558" s="50">
        <v>1500</v>
      </c>
      <c r="F558" s="50">
        <v>5</v>
      </c>
      <c r="G558" s="50">
        <v>28500</v>
      </c>
    </row>
    <row r="559" spans="1:7" ht="16.5" x14ac:dyDescent="0.25">
      <c r="A559" s="50">
        <v>558</v>
      </c>
      <c r="B559" s="50" t="s">
        <v>2081</v>
      </c>
      <c r="C559" s="50">
        <v>4</v>
      </c>
      <c r="D559" s="50" t="s">
        <v>1137</v>
      </c>
      <c r="E559" s="50">
        <v>1500</v>
      </c>
      <c r="F559" s="50">
        <v>15</v>
      </c>
      <c r="G559" s="50">
        <v>5100</v>
      </c>
    </row>
    <row r="560" spans="1:7" ht="16.5" x14ac:dyDescent="0.25">
      <c r="A560" s="50">
        <v>559</v>
      </c>
      <c r="B560" s="50" t="s">
        <v>2082</v>
      </c>
      <c r="C560" s="50">
        <v>2</v>
      </c>
      <c r="D560" s="50" t="s">
        <v>1229</v>
      </c>
      <c r="E560" s="50">
        <v>1500</v>
      </c>
      <c r="F560" s="50">
        <v>5</v>
      </c>
      <c r="G560" s="50">
        <v>2850</v>
      </c>
    </row>
    <row r="561" spans="1:7" ht="16.5" x14ac:dyDescent="0.25">
      <c r="A561" s="50">
        <v>560</v>
      </c>
      <c r="B561" s="50" t="s">
        <v>2084</v>
      </c>
      <c r="C561" s="50">
        <v>10</v>
      </c>
      <c r="D561" s="50" t="s">
        <v>1146</v>
      </c>
      <c r="E561" s="50">
        <v>1500</v>
      </c>
      <c r="F561" s="50">
        <v>10</v>
      </c>
      <c r="G561" s="50">
        <v>13500</v>
      </c>
    </row>
    <row r="562" spans="1:7" ht="16.5" x14ac:dyDescent="0.25">
      <c r="A562" s="50">
        <v>561</v>
      </c>
      <c r="B562" s="50" t="s">
        <v>2086</v>
      </c>
      <c r="C562" s="50">
        <v>13</v>
      </c>
      <c r="D562" s="50" t="s">
        <v>1149</v>
      </c>
      <c r="E562" s="50">
        <v>800</v>
      </c>
      <c r="F562" s="50">
        <v>15</v>
      </c>
      <c r="G562" s="50">
        <v>8840</v>
      </c>
    </row>
    <row r="563" spans="1:7" ht="16.5" x14ac:dyDescent="0.25">
      <c r="A563" s="50">
        <v>562</v>
      </c>
      <c r="B563" s="50" t="s">
        <v>2087</v>
      </c>
      <c r="C563" s="50">
        <v>16</v>
      </c>
      <c r="D563" s="50" t="s">
        <v>1146</v>
      </c>
      <c r="E563" s="50">
        <v>800</v>
      </c>
      <c r="F563" s="50">
        <v>15</v>
      </c>
      <c r="G563" s="50">
        <v>10880</v>
      </c>
    </row>
    <row r="564" spans="1:7" ht="16.5" x14ac:dyDescent="0.25">
      <c r="A564" s="50">
        <v>563</v>
      </c>
      <c r="B564" s="50" t="s">
        <v>2088</v>
      </c>
      <c r="C564" s="50">
        <v>1</v>
      </c>
      <c r="D564" s="50" t="s">
        <v>1140</v>
      </c>
      <c r="E564" s="50">
        <v>1500</v>
      </c>
      <c r="F564" s="50">
        <v>10</v>
      </c>
      <c r="G564" s="50">
        <v>1350</v>
      </c>
    </row>
    <row r="565" spans="1:7" ht="16.5" x14ac:dyDescent="0.25">
      <c r="A565" s="50">
        <v>564</v>
      </c>
      <c r="B565" s="50" t="s">
        <v>2089</v>
      </c>
      <c r="C565" s="50">
        <v>6</v>
      </c>
      <c r="D565" s="50" t="s">
        <v>1146</v>
      </c>
      <c r="E565" s="50">
        <v>1200</v>
      </c>
      <c r="F565" s="50">
        <v>10</v>
      </c>
      <c r="G565" s="50">
        <v>6480</v>
      </c>
    </row>
    <row r="566" spans="1:7" ht="16.5" x14ac:dyDescent="0.25">
      <c r="A566" s="50">
        <v>565</v>
      </c>
      <c r="B566" s="50" t="s">
        <v>2091</v>
      </c>
      <c r="C566" s="50">
        <v>11</v>
      </c>
      <c r="D566" s="50" t="s">
        <v>1192</v>
      </c>
      <c r="E566" s="50">
        <v>800</v>
      </c>
      <c r="F566" s="50">
        <v>10</v>
      </c>
      <c r="G566" s="50">
        <v>7920</v>
      </c>
    </row>
    <row r="567" spans="1:7" ht="16.5" x14ac:dyDescent="0.25">
      <c r="A567" s="50">
        <v>566</v>
      </c>
      <c r="B567" s="50" t="s">
        <v>2092</v>
      </c>
      <c r="C567" s="50">
        <v>5</v>
      </c>
      <c r="D567" s="50" t="s">
        <v>1171</v>
      </c>
      <c r="E567" s="50">
        <v>1500</v>
      </c>
      <c r="F567" s="50">
        <v>15</v>
      </c>
      <c r="G567" s="50">
        <v>6375</v>
      </c>
    </row>
    <row r="568" spans="1:7" ht="16.5" x14ac:dyDescent="0.25">
      <c r="A568" s="50">
        <v>567</v>
      </c>
      <c r="B568" s="50" t="s">
        <v>2094</v>
      </c>
      <c r="C568" s="50">
        <v>20</v>
      </c>
      <c r="D568" s="50" t="s">
        <v>1149</v>
      </c>
      <c r="E568" s="50">
        <v>1500</v>
      </c>
      <c r="F568" s="50">
        <v>0</v>
      </c>
      <c r="G568" s="50">
        <v>30000</v>
      </c>
    </row>
    <row r="569" spans="1:7" ht="16.5" x14ac:dyDescent="0.25">
      <c r="A569" s="50">
        <v>568</v>
      </c>
      <c r="B569" s="50" t="s">
        <v>2096</v>
      </c>
      <c r="C569" s="50">
        <v>11</v>
      </c>
      <c r="D569" s="50" t="s">
        <v>1240</v>
      </c>
      <c r="E569" s="50">
        <v>800</v>
      </c>
      <c r="F569" s="50">
        <v>0</v>
      </c>
      <c r="G569" s="50">
        <v>8800</v>
      </c>
    </row>
    <row r="570" spans="1:7" ht="16.5" x14ac:dyDescent="0.25">
      <c r="A570" s="50">
        <v>569</v>
      </c>
      <c r="B570" s="50" t="s">
        <v>2097</v>
      </c>
      <c r="C570" s="50">
        <v>20</v>
      </c>
      <c r="D570" s="50" t="s">
        <v>1152</v>
      </c>
      <c r="E570" s="50">
        <v>1500</v>
      </c>
      <c r="F570" s="50">
        <v>0</v>
      </c>
      <c r="G570" s="50">
        <v>30000</v>
      </c>
    </row>
    <row r="571" spans="1:7" ht="16.5" x14ac:dyDescent="0.25">
      <c r="A571" s="50">
        <v>570</v>
      </c>
      <c r="B571" s="50" t="s">
        <v>2098</v>
      </c>
      <c r="C571" s="50">
        <v>5</v>
      </c>
      <c r="D571" s="50" t="s">
        <v>1166</v>
      </c>
      <c r="E571" s="50">
        <v>1500</v>
      </c>
      <c r="F571" s="50">
        <v>15</v>
      </c>
      <c r="G571" s="50">
        <v>6375</v>
      </c>
    </row>
    <row r="572" spans="1:7" ht="16.5" x14ac:dyDescent="0.25">
      <c r="A572" s="50">
        <v>571</v>
      </c>
      <c r="B572" s="50" t="s">
        <v>2099</v>
      </c>
      <c r="C572" s="50">
        <v>9</v>
      </c>
      <c r="D572" s="50" t="s">
        <v>1198</v>
      </c>
      <c r="E572" s="50">
        <v>1500</v>
      </c>
      <c r="F572" s="50">
        <v>10</v>
      </c>
      <c r="G572" s="50">
        <v>12150</v>
      </c>
    </row>
    <row r="573" spans="1:7" ht="16.5" x14ac:dyDescent="0.25">
      <c r="A573" s="50">
        <v>572</v>
      </c>
      <c r="B573" s="50" t="s">
        <v>2100</v>
      </c>
      <c r="C573" s="50">
        <v>13</v>
      </c>
      <c r="D573" s="50" t="s">
        <v>1192</v>
      </c>
      <c r="E573" s="50">
        <v>1200</v>
      </c>
      <c r="F573" s="50">
        <v>5</v>
      </c>
      <c r="G573" s="50">
        <v>14820</v>
      </c>
    </row>
    <row r="574" spans="1:7" ht="16.5" x14ac:dyDescent="0.25">
      <c r="A574" s="50">
        <v>573</v>
      </c>
      <c r="B574" s="50" t="s">
        <v>2102</v>
      </c>
      <c r="C574" s="50">
        <v>14</v>
      </c>
      <c r="D574" s="50" t="s">
        <v>1187</v>
      </c>
      <c r="E574" s="50">
        <v>1200</v>
      </c>
      <c r="F574" s="50">
        <v>0</v>
      </c>
      <c r="G574" s="50">
        <v>16800</v>
      </c>
    </row>
    <row r="575" spans="1:7" ht="16.5" x14ac:dyDescent="0.25">
      <c r="A575" s="50">
        <v>574</v>
      </c>
      <c r="B575" s="50" t="s">
        <v>2104</v>
      </c>
      <c r="C575" s="50">
        <v>10</v>
      </c>
      <c r="D575" s="50" t="s">
        <v>1158</v>
      </c>
      <c r="E575" s="50">
        <v>1500</v>
      </c>
      <c r="F575" s="50">
        <v>15</v>
      </c>
      <c r="G575" s="50">
        <v>12750</v>
      </c>
    </row>
    <row r="576" spans="1:7" ht="16.5" x14ac:dyDescent="0.25">
      <c r="A576" s="50">
        <v>575</v>
      </c>
      <c r="B576" s="50" t="s">
        <v>2105</v>
      </c>
      <c r="C576" s="50">
        <v>15</v>
      </c>
      <c r="D576" s="50" t="s">
        <v>1229</v>
      </c>
      <c r="E576" s="50">
        <v>800</v>
      </c>
      <c r="F576" s="50">
        <v>5</v>
      </c>
      <c r="G576" s="50">
        <v>11400</v>
      </c>
    </row>
    <row r="577" spans="1:7" ht="16.5" x14ac:dyDescent="0.25">
      <c r="A577" s="50">
        <v>576</v>
      </c>
      <c r="B577" s="50" t="s">
        <v>2106</v>
      </c>
      <c r="C577" s="50">
        <v>17</v>
      </c>
      <c r="D577" s="50" t="s">
        <v>1201</v>
      </c>
      <c r="E577" s="50">
        <v>800</v>
      </c>
      <c r="F577" s="50">
        <v>5</v>
      </c>
      <c r="G577" s="50">
        <v>12920</v>
      </c>
    </row>
    <row r="578" spans="1:7" ht="16.5" x14ac:dyDescent="0.25">
      <c r="A578" s="50">
        <v>577</v>
      </c>
      <c r="B578" s="50" t="s">
        <v>2108</v>
      </c>
      <c r="C578" s="50">
        <v>11</v>
      </c>
      <c r="D578" s="50" t="s">
        <v>1192</v>
      </c>
      <c r="E578" s="50">
        <v>1200</v>
      </c>
      <c r="F578" s="50">
        <v>0</v>
      </c>
      <c r="G578" s="50">
        <v>13200</v>
      </c>
    </row>
    <row r="579" spans="1:7" ht="16.5" x14ac:dyDescent="0.25">
      <c r="A579" s="50">
        <v>578</v>
      </c>
      <c r="B579" s="50" t="s">
        <v>2110</v>
      </c>
      <c r="C579" s="50">
        <v>7</v>
      </c>
      <c r="D579" s="50" t="s">
        <v>1146</v>
      </c>
      <c r="E579" s="50">
        <v>1200</v>
      </c>
      <c r="F579" s="50">
        <v>10</v>
      </c>
      <c r="G579" s="50">
        <v>7560</v>
      </c>
    </row>
    <row r="580" spans="1:7" ht="16.5" x14ac:dyDescent="0.25">
      <c r="A580" s="50">
        <v>579</v>
      </c>
      <c r="B580" s="50" t="s">
        <v>2112</v>
      </c>
      <c r="C580" s="50">
        <v>19</v>
      </c>
      <c r="D580" s="50" t="s">
        <v>1143</v>
      </c>
      <c r="E580" s="50">
        <v>1500</v>
      </c>
      <c r="F580" s="50">
        <v>5</v>
      </c>
      <c r="G580" s="50">
        <v>27075</v>
      </c>
    </row>
    <row r="581" spans="1:7" ht="16.5" x14ac:dyDescent="0.25">
      <c r="A581" s="50">
        <v>580</v>
      </c>
      <c r="B581" s="50" t="s">
        <v>2113</v>
      </c>
      <c r="C581" s="50">
        <v>13</v>
      </c>
      <c r="D581" s="50" t="s">
        <v>1171</v>
      </c>
      <c r="E581" s="50">
        <v>800</v>
      </c>
      <c r="F581" s="50">
        <v>5</v>
      </c>
      <c r="G581" s="50">
        <v>9880</v>
      </c>
    </row>
    <row r="582" spans="1:7" ht="16.5" x14ac:dyDescent="0.25">
      <c r="A582" s="50">
        <v>581</v>
      </c>
      <c r="B582" s="50" t="s">
        <v>2115</v>
      </c>
      <c r="C582" s="50">
        <v>11</v>
      </c>
      <c r="D582" s="50" t="s">
        <v>1146</v>
      </c>
      <c r="E582" s="50">
        <v>1200</v>
      </c>
      <c r="F582" s="50">
        <v>0</v>
      </c>
      <c r="G582" s="50">
        <v>13200</v>
      </c>
    </row>
    <row r="583" spans="1:7" ht="16.5" x14ac:dyDescent="0.25">
      <c r="A583" s="50">
        <v>582</v>
      </c>
      <c r="B583" s="50" t="s">
        <v>2117</v>
      </c>
      <c r="C583" s="50">
        <v>20</v>
      </c>
      <c r="D583" s="50" t="s">
        <v>1201</v>
      </c>
      <c r="E583" s="50">
        <v>1200</v>
      </c>
      <c r="F583" s="50">
        <v>10</v>
      </c>
      <c r="G583" s="50">
        <v>21600</v>
      </c>
    </row>
    <row r="584" spans="1:7" ht="16.5" x14ac:dyDescent="0.25">
      <c r="A584" s="50">
        <v>583</v>
      </c>
      <c r="B584" s="50" t="s">
        <v>2118</v>
      </c>
      <c r="C584" s="50">
        <v>17</v>
      </c>
      <c r="D584" s="50" t="s">
        <v>1229</v>
      </c>
      <c r="E584" s="50">
        <v>1200</v>
      </c>
      <c r="F584" s="50">
        <v>15</v>
      </c>
      <c r="G584" s="50">
        <v>17340</v>
      </c>
    </row>
    <row r="585" spans="1:7" ht="16.5" x14ac:dyDescent="0.25">
      <c r="A585" s="50">
        <v>584</v>
      </c>
      <c r="B585" s="50" t="s">
        <v>2119</v>
      </c>
      <c r="C585" s="50">
        <v>6</v>
      </c>
      <c r="D585" s="50" t="s">
        <v>1262</v>
      </c>
      <c r="E585" s="50">
        <v>1500</v>
      </c>
      <c r="F585" s="50">
        <v>15</v>
      </c>
      <c r="G585" s="50">
        <v>7650</v>
      </c>
    </row>
    <row r="586" spans="1:7" ht="16.5" x14ac:dyDescent="0.25">
      <c r="A586" s="50">
        <v>585</v>
      </c>
      <c r="B586" s="50" t="s">
        <v>2120</v>
      </c>
      <c r="C586" s="50">
        <v>14</v>
      </c>
      <c r="D586" s="50" t="s">
        <v>1240</v>
      </c>
      <c r="E586" s="50">
        <v>1200</v>
      </c>
      <c r="F586" s="50">
        <v>15</v>
      </c>
      <c r="G586" s="50">
        <v>14280</v>
      </c>
    </row>
    <row r="587" spans="1:7" ht="16.5" x14ac:dyDescent="0.25">
      <c r="A587" s="50">
        <v>586</v>
      </c>
      <c r="B587" s="50" t="s">
        <v>2122</v>
      </c>
      <c r="C587" s="50">
        <v>5</v>
      </c>
      <c r="D587" s="50" t="s">
        <v>1137</v>
      </c>
      <c r="E587" s="50">
        <v>1500</v>
      </c>
      <c r="F587" s="50">
        <v>5</v>
      </c>
      <c r="G587" s="50">
        <v>7125</v>
      </c>
    </row>
    <row r="588" spans="1:7" ht="16.5" x14ac:dyDescent="0.25">
      <c r="A588" s="50">
        <v>587</v>
      </c>
      <c r="B588" s="50" t="s">
        <v>2124</v>
      </c>
      <c r="C588" s="50">
        <v>11</v>
      </c>
      <c r="D588" s="50" t="s">
        <v>1158</v>
      </c>
      <c r="E588" s="50">
        <v>1500</v>
      </c>
      <c r="F588" s="50">
        <v>10</v>
      </c>
      <c r="G588" s="50">
        <v>14850</v>
      </c>
    </row>
    <row r="589" spans="1:7" ht="16.5" x14ac:dyDescent="0.25">
      <c r="A589" s="50">
        <v>588</v>
      </c>
      <c r="B589" s="50" t="s">
        <v>2126</v>
      </c>
      <c r="C589" s="50">
        <v>2</v>
      </c>
      <c r="D589" s="50" t="s">
        <v>1137</v>
      </c>
      <c r="E589" s="50">
        <v>1200</v>
      </c>
      <c r="F589" s="50">
        <v>5</v>
      </c>
      <c r="G589" s="50">
        <v>2280</v>
      </c>
    </row>
    <row r="590" spans="1:7" ht="16.5" x14ac:dyDescent="0.25">
      <c r="A590" s="50">
        <v>589</v>
      </c>
      <c r="B590" s="50" t="s">
        <v>2127</v>
      </c>
      <c r="C590" s="50">
        <v>14</v>
      </c>
      <c r="D590" s="50" t="s">
        <v>1140</v>
      </c>
      <c r="E590" s="50">
        <v>1500</v>
      </c>
      <c r="F590" s="50">
        <v>15</v>
      </c>
      <c r="G590" s="50">
        <v>17850</v>
      </c>
    </row>
    <row r="591" spans="1:7" ht="16.5" x14ac:dyDescent="0.25">
      <c r="A591" s="50">
        <v>590</v>
      </c>
      <c r="B591" s="50" t="s">
        <v>2128</v>
      </c>
      <c r="C591" s="50">
        <v>10</v>
      </c>
      <c r="D591" s="50" t="s">
        <v>1174</v>
      </c>
      <c r="E591" s="50">
        <v>1200</v>
      </c>
      <c r="F591" s="50">
        <v>15</v>
      </c>
      <c r="G591" s="50">
        <v>10200</v>
      </c>
    </row>
    <row r="592" spans="1:7" ht="16.5" x14ac:dyDescent="0.25">
      <c r="A592" s="50">
        <v>591</v>
      </c>
      <c r="B592" s="50" t="s">
        <v>2129</v>
      </c>
      <c r="C592" s="50">
        <v>9</v>
      </c>
      <c r="D592" s="50" t="s">
        <v>1192</v>
      </c>
      <c r="E592" s="50">
        <v>800</v>
      </c>
      <c r="F592" s="50">
        <v>5</v>
      </c>
      <c r="G592" s="50">
        <v>6840</v>
      </c>
    </row>
    <row r="593" spans="1:7" ht="16.5" x14ac:dyDescent="0.25">
      <c r="A593" s="50">
        <v>592</v>
      </c>
      <c r="B593" s="50" t="s">
        <v>2130</v>
      </c>
      <c r="C593" s="50">
        <v>1</v>
      </c>
      <c r="D593" s="50" t="s">
        <v>1198</v>
      </c>
      <c r="E593" s="50">
        <v>1200</v>
      </c>
      <c r="F593" s="50">
        <v>10</v>
      </c>
      <c r="G593" s="50">
        <v>1080</v>
      </c>
    </row>
    <row r="594" spans="1:7" ht="16.5" x14ac:dyDescent="0.25">
      <c r="A594" s="50">
        <v>593</v>
      </c>
      <c r="B594" s="50" t="s">
        <v>1127</v>
      </c>
      <c r="C594" s="50">
        <v>7</v>
      </c>
      <c r="D594" s="50" t="s">
        <v>1198</v>
      </c>
      <c r="E594" s="50">
        <v>1200</v>
      </c>
      <c r="F594" s="50">
        <v>15</v>
      </c>
      <c r="G594" s="50">
        <v>7140</v>
      </c>
    </row>
    <row r="595" spans="1:7" ht="16.5" x14ac:dyDescent="0.25">
      <c r="A595" s="50">
        <v>594</v>
      </c>
      <c r="B595" s="50" t="s">
        <v>2132</v>
      </c>
      <c r="C595" s="50">
        <v>2</v>
      </c>
      <c r="D595" s="50" t="s">
        <v>1171</v>
      </c>
      <c r="E595" s="50">
        <v>800</v>
      </c>
      <c r="F595" s="50">
        <v>15</v>
      </c>
      <c r="G595" s="50">
        <v>1360</v>
      </c>
    </row>
    <row r="596" spans="1:7" ht="16.5" x14ac:dyDescent="0.25">
      <c r="A596" s="50">
        <v>595</v>
      </c>
      <c r="B596" s="50" t="s">
        <v>2133</v>
      </c>
      <c r="C596" s="50">
        <v>11</v>
      </c>
      <c r="D596" s="50" t="s">
        <v>1262</v>
      </c>
      <c r="E596" s="50">
        <v>1200</v>
      </c>
      <c r="F596" s="50">
        <v>0</v>
      </c>
      <c r="G596" s="50">
        <v>13200</v>
      </c>
    </row>
    <row r="597" spans="1:7" ht="16.5" x14ac:dyDescent="0.25">
      <c r="A597" s="50">
        <v>596</v>
      </c>
      <c r="B597" s="50" t="s">
        <v>2134</v>
      </c>
      <c r="C597" s="50">
        <v>9</v>
      </c>
      <c r="D597" s="50" t="s">
        <v>1140</v>
      </c>
      <c r="E597" s="50">
        <v>1200</v>
      </c>
      <c r="F597" s="50">
        <v>10</v>
      </c>
      <c r="G597" s="50">
        <v>9720</v>
      </c>
    </row>
    <row r="598" spans="1:7" ht="16.5" x14ac:dyDescent="0.25">
      <c r="A598" s="50">
        <v>597</v>
      </c>
      <c r="B598" s="50" t="s">
        <v>2135</v>
      </c>
      <c r="C598" s="50">
        <v>16</v>
      </c>
      <c r="D598" s="50" t="s">
        <v>1140</v>
      </c>
      <c r="E598" s="50">
        <v>1200</v>
      </c>
      <c r="F598" s="50">
        <v>0</v>
      </c>
      <c r="G598" s="50">
        <v>19200</v>
      </c>
    </row>
    <row r="599" spans="1:7" ht="16.5" x14ac:dyDescent="0.25">
      <c r="A599" s="50">
        <v>598</v>
      </c>
      <c r="B599" s="50" t="s">
        <v>2136</v>
      </c>
      <c r="C599" s="50">
        <v>17</v>
      </c>
      <c r="D599" s="50" t="s">
        <v>1192</v>
      </c>
      <c r="E599" s="50">
        <v>1500</v>
      </c>
      <c r="F599" s="50">
        <v>15</v>
      </c>
      <c r="G599" s="50">
        <v>21675</v>
      </c>
    </row>
    <row r="600" spans="1:7" ht="16.5" x14ac:dyDescent="0.25">
      <c r="A600" s="50">
        <v>599</v>
      </c>
      <c r="B600" s="50" t="s">
        <v>2137</v>
      </c>
      <c r="C600" s="50">
        <v>9</v>
      </c>
      <c r="D600" s="50" t="s">
        <v>1152</v>
      </c>
      <c r="E600" s="50">
        <v>1200</v>
      </c>
      <c r="F600" s="50">
        <v>15</v>
      </c>
      <c r="G600" s="50">
        <v>9180</v>
      </c>
    </row>
    <row r="601" spans="1:7" ht="16.5" x14ac:dyDescent="0.25">
      <c r="A601" s="50">
        <v>600</v>
      </c>
      <c r="B601" s="50" t="s">
        <v>2138</v>
      </c>
      <c r="C601" s="50">
        <v>16</v>
      </c>
      <c r="D601" s="50" t="s">
        <v>1198</v>
      </c>
      <c r="E601" s="50">
        <v>1500</v>
      </c>
      <c r="F601" s="50">
        <v>5</v>
      </c>
      <c r="G601" s="50">
        <v>22800</v>
      </c>
    </row>
    <row r="602" spans="1:7" ht="16.5" x14ac:dyDescent="0.25">
      <c r="A602" s="50">
        <v>601</v>
      </c>
      <c r="B602" s="50" t="s">
        <v>2139</v>
      </c>
      <c r="C602" s="50">
        <v>13</v>
      </c>
      <c r="D602" s="50" t="s">
        <v>1187</v>
      </c>
      <c r="E602" s="50">
        <v>1500</v>
      </c>
      <c r="F602" s="50">
        <v>10</v>
      </c>
      <c r="G602" s="50">
        <v>17550</v>
      </c>
    </row>
    <row r="603" spans="1:7" ht="16.5" x14ac:dyDescent="0.25">
      <c r="A603" s="50">
        <v>602</v>
      </c>
      <c r="B603" s="50" t="s">
        <v>2140</v>
      </c>
      <c r="C603" s="50">
        <v>7</v>
      </c>
      <c r="D603" s="50" t="s">
        <v>1161</v>
      </c>
      <c r="E603" s="50">
        <v>800</v>
      </c>
      <c r="F603" s="50">
        <v>15</v>
      </c>
      <c r="G603" s="50">
        <v>4760</v>
      </c>
    </row>
    <row r="604" spans="1:7" ht="16.5" x14ac:dyDescent="0.25">
      <c r="A604" s="50">
        <v>603</v>
      </c>
      <c r="B604" s="50" t="s">
        <v>2141</v>
      </c>
      <c r="C604" s="50">
        <v>18</v>
      </c>
      <c r="D604" s="50" t="s">
        <v>1218</v>
      </c>
      <c r="E604" s="50">
        <v>1200</v>
      </c>
      <c r="F604" s="50">
        <v>15</v>
      </c>
      <c r="G604" s="50">
        <v>18360</v>
      </c>
    </row>
    <row r="605" spans="1:7" ht="16.5" x14ac:dyDescent="0.25">
      <c r="A605" s="50">
        <v>604</v>
      </c>
      <c r="B605" s="50" t="s">
        <v>2143</v>
      </c>
      <c r="C605" s="50">
        <v>13</v>
      </c>
      <c r="D605" s="50" t="s">
        <v>1187</v>
      </c>
      <c r="E605" s="50">
        <v>1200</v>
      </c>
      <c r="F605" s="50">
        <v>5</v>
      </c>
      <c r="G605" s="50">
        <v>14820</v>
      </c>
    </row>
    <row r="606" spans="1:7" ht="16.5" x14ac:dyDescent="0.25">
      <c r="A606" s="50">
        <v>605</v>
      </c>
      <c r="B606" s="50" t="s">
        <v>2145</v>
      </c>
      <c r="C606" s="50">
        <v>14</v>
      </c>
      <c r="D606" s="50" t="s">
        <v>1171</v>
      </c>
      <c r="E606" s="50">
        <v>1500</v>
      </c>
      <c r="F606" s="50">
        <v>5</v>
      </c>
      <c r="G606" s="50">
        <v>19950</v>
      </c>
    </row>
    <row r="607" spans="1:7" ht="16.5" x14ac:dyDescent="0.25">
      <c r="A607" s="50">
        <v>606</v>
      </c>
      <c r="B607" s="50" t="s">
        <v>2147</v>
      </c>
      <c r="C607" s="50">
        <v>14</v>
      </c>
      <c r="D607" s="50" t="s">
        <v>1262</v>
      </c>
      <c r="E607" s="50">
        <v>1500</v>
      </c>
      <c r="F607" s="50">
        <v>15</v>
      </c>
      <c r="G607" s="50">
        <v>17850</v>
      </c>
    </row>
    <row r="608" spans="1:7" ht="16.5" x14ac:dyDescent="0.25">
      <c r="A608" s="50">
        <v>607</v>
      </c>
      <c r="B608" s="50" t="s">
        <v>2148</v>
      </c>
      <c r="C608" s="50">
        <v>16</v>
      </c>
      <c r="D608" s="50" t="s">
        <v>1149</v>
      </c>
      <c r="E608" s="50">
        <v>1200</v>
      </c>
      <c r="F608" s="50">
        <v>5</v>
      </c>
      <c r="G608" s="50">
        <v>18240</v>
      </c>
    </row>
    <row r="609" spans="1:7" ht="16.5" x14ac:dyDescent="0.25">
      <c r="A609" s="50">
        <v>608</v>
      </c>
      <c r="B609" s="50" t="s">
        <v>2150</v>
      </c>
      <c r="C609" s="50">
        <v>10</v>
      </c>
      <c r="D609" s="50" t="s">
        <v>1218</v>
      </c>
      <c r="E609" s="50">
        <v>1200</v>
      </c>
      <c r="F609" s="50">
        <v>0</v>
      </c>
      <c r="G609" s="50">
        <v>12000</v>
      </c>
    </row>
    <row r="610" spans="1:7" ht="16.5" x14ac:dyDescent="0.25">
      <c r="A610" s="50">
        <v>609</v>
      </c>
      <c r="B610" s="50" t="s">
        <v>2151</v>
      </c>
      <c r="C610" s="50">
        <v>3</v>
      </c>
      <c r="D610" s="50" t="s">
        <v>1140</v>
      </c>
      <c r="E610" s="50">
        <v>1200</v>
      </c>
      <c r="F610" s="50">
        <v>15</v>
      </c>
      <c r="G610" s="50">
        <v>3060</v>
      </c>
    </row>
    <row r="611" spans="1:7" ht="16.5" x14ac:dyDescent="0.25">
      <c r="A611" s="50">
        <v>610</v>
      </c>
      <c r="B611" s="50" t="s">
        <v>2152</v>
      </c>
      <c r="C611" s="50">
        <v>5</v>
      </c>
      <c r="D611" s="50" t="s">
        <v>1229</v>
      </c>
      <c r="E611" s="50">
        <v>800</v>
      </c>
      <c r="F611" s="50">
        <v>10</v>
      </c>
      <c r="G611" s="50">
        <v>3600</v>
      </c>
    </row>
    <row r="612" spans="1:7" ht="16.5" x14ac:dyDescent="0.25">
      <c r="A612" s="50">
        <v>611</v>
      </c>
      <c r="B612" s="50" t="s">
        <v>2153</v>
      </c>
      <c r="C612" s="50">
        <v>1</v>
      </c>
      <c r="D612" s="50" t="s">
        <v>1146</v>
      </c>
      <c r="E612" s="50">
        <v>1500</v>
      </c>
      <c r="F612" s="50">
        <v>15</v>
      </c>
      <c r="G612" s="50">
        <v>1275</v>
      </c>
    </row>
    <row r="613" spans="1:7" ht="16.5" x14ac:dyDescent="0.25">
      <c r="A613" s="50">
        <v>612</v>
      </c>
      <c r="B613" s="50" t="s">
        <v>2154</v>
      </c>
      <c r="C613" s="50">
        <v>16</v>
      </c>
      <c r="D613" s="50" t="s">
        <v>1218</v>
      </c>
      <c r="E613" s="50">
        <v>1500</v>
      </c>
      <c r="F613" s="50">
        <v>5</v>
      </c>
      <c r="G613" s="50">
        <v>22800</v>
      </c>
    </row>
    <row r="614" spans="1:7" ht="16.5" x14ac:dyDescent="0.25">
      <c r="A614" s="50">
        <v>613</v>
      </c>
      <c r="B614" s="50" t="s">
        <v>2155</v>
      </c>
      <c r="C614" s="50">
        <v>4</v>
      </c>
      <c r="D614" s="50" t="s">
        <v>1171</v>
      </c>
      <c r="E614" s="50">
        <v>800</v>
      </c>
      <c r="F614" s="50">
        <v>10</v>
      </c>
      <c r="G614" s="50">
        <v>2880</v>
      </c>
    </row>
    <row r="615" spans="1:7" ht="16.5" x14ac:dyDescent="0.25">
      <c r="A615" s="50">
        <v>614</v>
      </c>
      <c r="B615" s="50" t="s">
        <v>2156</v>
      </c>
      <c r="C615" s="50">
        <v>3</v>
      </c>
      <c r="D615" s="50" t="s">
        <v>1137</v>
      </c>
      <c r="E615" s="50">
        <v>800</v>
      </c>
      <c r="F615" s="50">
        <v>15</v>
      </c>
      <c r="G615" s="50">
        <v>2040</v>
      </c>
    </row>
    <row r="616" spans="1:7" ht="16.5" x14ac:dyDescent="0.25">
      <c r="A616" s="50">
        <v>615</v>
      </c>
      <c r="B616" s="50" t="s">
        <v>2158</v>
      </c>
      <c r="C616" s="50">
        <v>16</v>
      </c>
      <c r="D616" s="50" t="s">
        <v>1166</v>
      </c>
      <c r="E616" s="50">
        <v>1200</v>
      </c>
      <c r="F616" s="50">
        <v>0</v>
      </c>
      <c r="G616" s="50">
        <v>19200</v>
      </c>
    </row>
    <row r="617" spans="1:7" ht="16.5" x14ac:dyDescent="0.25">
      <c r="A617" s="50">
        <v>616</v>
      </c>
      <c r="B617" s="50" t="s">
        <v>2159</v>
      </c>
      <c r="C617" s="50">
        <v>14</v>
      </c>
      <c r="D617" s="50" t="s">
        <v>1201</v>
      </c>
      <c r="E617" s="50">
        <v>1200</v>
      </c>
      <c r="F617" s="50">
        <v>0</v>
      </c>
      <c r="G617" s="50">
        <v>16800</v>
      </c>
    </row>
    <row r="618" spans="1:7" ht="16.5" x14ac:dyDescent="0.25">
      <c r="A618" s="50">
        <v>617</v>
      </c>
      <c r="B618" s="50" t="s">
        <v>2160</v>
      </c>
      <c r="C618" s="50">
        <v>12</v>
      </c>
      <c r="D618" s="50" t="s">
        <v>1187</v>
      </c>
      <c r="E618" s="50">
        <v>1500</v>
      </c>
      <c r="F618" s="50">
        <v>0</v>
      </c>
      <c r="G618" s="50">
        <v>18000</v>
      </c>
    </row>
    <row r="619" spans="1:7" ht="16.5" x14ac:dyDescent="0.25">
      <c r="A619" s="50">
        <v>618</v>
      </c>
      <c r="B619" s="50" t="s">
        <v>2161</v>
      </c>
      <c r="C619" s="50">
        <v>12</v>
      </c>
      <c r="D619" s="50" t="s">
        <v>1171</v>
      </c>
      <c r="E619" s="50">
        <v>1500</v>
      </c>
      <c r="F619" s="50">
        <v>10</v>
      </c>
      <c r="G619" s="50">
        <v>16200</v>
      </c>
    </row>
    <row r="620" spans="1:7" ht="16.5" x14ac:dyDescent="0.25">
      <c r="A620" s="50">
        <v>619</v>
      </c>
      <c r="B620" s="50" t="s">
        <v>2162</v>
      </c>
      <c r="C620" s="50">
        <v>9</v>
      </c>
      <c r="D620" s="50" t="s">
        <v>1166</v>
      </c>
      <c r="E620" s="50">
        <v>1200</v>
      </c>
      <c r="F620" s="50">
        <v>15</v>
      </c>
      <c r="G620" s="50">
        <v>9180</v>
      </c>
    </row>
    <row r="621" spans="1:7" ht="16.5" x14ac:dyDescent="0.25">
      <c r="A621" s="50">
        <v>620</v>
      </c>
      <c r="B621" s="50" t="s">
        <v>2164</v>
      </c>
      <c r="C621" s="50">
        <v>5</v>
      </c>
      <c r="D621" s="50" t="s">
        <v>1155</v>
      </c>
      <c r="E621" s="50">
        <v>1200</v>
      </c>
      <c r="F621" s="50">
        <v>0</v>
      </c>
      <c r="G621" s="50">
        <v>6000</v>
      </c>
    </row>
    <row r="622" spans="1:7" ht="16.5" x14ac:dyDescent="0.25">
      <c r="A622" s="50">
        <v>621</v>
      </c>
      <c r="B622" s="50" t="s">
        <v>2165</v>
      </c>
      <c r="C622" s="50">
        <v>4</v>
      </c>
      <c r="D622" s="50" t="s">
        <v>1146</v>
      </c>
      <c r="E622" s="50">
        <v>800</v>
      </c>
      <c r="F622" s="50">
        <v>15</v>
      </c>
      <c r="G622" s="50">
        <v>2720</v>
      </c>
    </row>
    <row r="623" spans="1:7" ht="16.5" x14ac:dyDescent="0.25">
      <c r="A623" s="50">
        <v>622</v>
      </c>
      <c r="B623" s="50" t="s">
        <v>2167</v>
      </c>
      <c r="C623" s="50">
        <v>5</v>
      </c>
      <c r="D623" s="50" t="s">
        <v>1166</v>
      </c>
      <c r="E623" s="50">
        <v>800</v>
      </c>
      <c r="F623" s="50">
        <v>15</v>
      </c>
      <c r="G623" s="50">
        <v>3400</v>
      </c>
    </row>
    <row r="624" spans="1:7" ht="16.5" x14ac:dyDescent="0.25">
      <c r="A624" s="50">
        <v>623</v>
      </c>
      <c r="B624" s="50" t="s">
        <v>2169</v>
      </c>
      <c r="C624" s="50">
        <v>3</v>
      </c>
      <c r="D624" s="50" t="s">
        <v>1240</v>
      </c>
      <c r="E624" s="50">
        <v>1500</v>
      </c>
      <c r="F624" s="50">
        <v>15</v>
      </c>
      <c r="G624" s="50">
        <v>3825</v>
      </c>
    </row>
    <row r="625" spans="1:7" ht="16.5" x14ac:dyDescent="0.25">
      <c r="A625" s="50">
        <v>624</v>
      </c>
      <c r="B625" s="50" t="s">
        <v>2170</v>
      </c>
      <c r="C625" s="50">
        <v>15</v>
      </c>
      <c r="D625" s="50" t="s">
        <v>1192</v>
      </c>
      <c r="E625" s="50">
        <v>800</v>
      </c>
      <c r="F625" s="50">
        <v>5</v>
      </c>
      <c r="G625" s="50">
        <v>11400</v>
      </c>
    </row>
    <row r="626" spans="1:7" ht="16.5" x14ac:dyDescent="0.25">
      <c r="A626" s="50">
        <v>625</v>
      </c>
      <c r="B626" s="50" t="s">
        <v>2171</v>
      </c>
      <c r="C626" s="50">
        <v>6</v>
      </c>
      <c r="D626" s="50" t="s">
        <v>1166</v>
      </c>
      <c r="E626" s="50">
        <v>1200</v>
      </c>
      <c r="F626" s="50">
        <v>10</v>
      </c>
      <c r="G626" s="50">
        <v>6480</v>
      </c>
    </row>
    <row r="627" spans="1:7" ht="16.5" x14ac:dyDescent="0.25">
      <c r="A627" s="50">
        <v>626</v>
      </c>
      <c r="B627" s="50" t="s">
        <v>2173</v>
      </c>
      <c r="C627" s="50">
        <v>19</v>
      </c>
      <c r="D627" s="50" t="s">
        <v>1240</v>
      </c>
      <c r="E627" s="50">
        <v>800</v>
      </c>
      <c r="F627" s="50">
        <v>5</v>
      </c>
      <c r="G627" s="50">
        <v>14440</v>
      </c>
    </row>
    <row r="628" spans="1:7" ht="16.5" x14ac:dyDescent="0.25">
      <c r="A628" s="50">
        <v>627</v>
      </c>
      <c r="B628" s="50" t="s">
        <v>2174</v>
      </c>
      <c r="C628" s="50">
        <v>18</v>
      </c>
      <c r="D628" s="50" t="s">
        <v>1146</v>
      </c>
      <c r="E628" s="50">
        <v>1200</v>
      </c>
      <c r="F628" s="50">
        <v>15</v>
      </c>
      <c r="G628" s="50">
        <v>18360</v>
      </c>
    </row>
    <row r="629" spans="1:7" ht="16.5" x14ac:dyDescent="0.25">
      <c r="A629" s="50">
        <v>628</v>
      </c>
      <c r="B629" s="50" t="s">
        <v>2175</v>
      </c>
      <c r="C629" s="50">
        <v>4</v>
      </c>
      <c r="D629" s="50" t="s">
        <v>1240</v>
      </c>
      <c r="E629" s="50">
        <v>800</v>
      </c>
      <c r="F629" s="50">
        <v>10</v>
      </c>
      <c r="G629" s="50">
        <v>2880</v>
      </c>
    </row>
    <row r="630" spans="1:7" ht="16.5" x14ac:dyDescent="0.25">
      <c r="A630" s="50">
        <v>629</v>
      </c>
      <c r="B630" s="50" t="s">
        <v>2176</v>
      </c>
      <c r="C630" s="50">
        <v>20</v>
      </c>
      <c r="D630" s="50" t="s">
        <v>1174</v>
      </c>
      <c r="E630" s="50">
        <v>800</v>
      </c>
      <c r="F630" s="50">
        <v>15</v>
      </c>
      <c r="G630" s="50">
        <v>13600</v>
      </c>
    </row>
    <row r="631" spans="1:7" ht="16.5" x14ac:dyDescent="0.25">
      <c r="A631" s="50">
        <v>630</v>
      </c>
      <c r="B631" s="50" t="s">
        <v>2178</v>
      </c>
      <c r="C631" s="50">
        <v>17</v>
      </c>
      <c r="D631" s="50" t="s">
        <v>1140</v>
      </c>
      <c r="E631" s="50">
        <v>1500</v>
      </c>
      <c r="F631" s="50">
        <v>5</v>
      </c>
      <c r="G631" s="50">
        <v>24225</v>
      </c>
    </row>
    <row r="632" spans="1:7" ht="16.5" x14ac:dyDescent="0.25">
      <c r="A632" s="50">
        <v>631</v>
      </c>
      <c r="B632" s="50" t="s">
        <v>2180</v>
      </c>
      <c r="C632" s="50">
        <v>14</v>
      </c>
      <c r="D632" s="50" t="s">
        <v>1166</v>
      </c>
      <c r="E632" s="50">
        <v>1500</v>
      </c>
      <c r="F632" s="50">
        <v>15</v>
      </c>
      <c r="G632" s="50">
        <v>17850</v>
      </c>
    </row>
    <row r="633" spans="1:7" ht="16.5" x14ac:dyDescent="0.25">
      <c r="A633" s="50">
        <v>632</v>
      </c>
      <c r="B633" s="50" t="s">
        <v>2182</v>
      </c>
      <c r="C633" s="50">
        <v>17</v>
      </c>
      <c r="D633" s="50" t="s">
        <v>1192</v>
      </c>
      <c r="E633" s="50">
        <v>1500</v>
      </c>
      <c r="F633" s="50">
        <v>10</v>
      </c>
      <c r="G633" s="50">
        <v>22950</v>
      </c>
    </row>
    <row r="634" spans="1:7" ht="16.5" x14ac:dyDescent="0.25">
      <c r="A634" s="50">
        <v>633</v>
      </c>
      <c r="B634" s="50" t="s">
        <v>2183</v>
      </c>
      <c r="C634" s="50">
        <v>16</v>
      </c>
      <c r="D634" s="50" t="s">
        <v>1229</v>
      </c>
      <c r="E634" s="50">
        <v>1500</v>
      </c>
      <c r="F634" s="50">
        <v>10</v>
      </c>
      <c r="G634" s="50">
        <v>21600</v>
      </c>
    </row>
    <row r="635" spans="1:7" ht="16.5" x14ac:dyDescent="0.25">
      <c r="A635" s="50">
        <v>634</v>
      </c>
      <c r="B635" s="50" t="s">
        <v>2185</v>
      </c>
      <c r="C635" s="50">
        <v>1</v>
      </c>
      <c r="D635" s="50" t="s">
        <v>1198</v>
      </c>
      <c r="E635" s="50">
        <v>1200</v>
      </c>
      <c r="F635" s="50">
        <v>10</v>
      </c>
      <c r="G635" s="50">
        <v>1080</v>
      </c>
    </row>
    <row r="636" spans="1:7" ht="16.5" x14ac:dyDescent="0.25">
      <c r="A636" s="50">
        <v>635</v>
      </c>
      <c r="B636" s="50" t="s">
        <v>2187</v>
      </c>
      <c r="C636" s="50">
        <v>5</v>
      </c>
      <c r="D636" s="50" t="s">
        <v>1174</v>
      </c>
      <c r="E636" s="50">
        <v>800</v>
      </c>
      <c r="F636" s="50">
        <v>10</v>
      </c>
      <c r="G636" s="50">
        <v>3600</v>
      </c>
    </row>
    <row r="637" spans="1:7" ht="16.5" x14ac:dyDescent="0.25">
      <c r="A637" s="50">
        <v>636</v>
      </c>
      <c r="B637" s="50" t="s">
        <v>2188</v>
      </c>
      <c r="C637" s="50">
        <v>20</v>
      </c>
      <c r="D637" s="50" t="s">
        <v>1218</v>
      </c>
      <c r="E637" s="50">
        <v>1500</v>
      </c>
      <c r="F637" s="50">
        <v>0</v>
      </c>
      <c r="G637" s="50">
        <v>30000</v>
      </c>
    </row>
    <row r="638" spans="1:7" ht="16.5" x14ac:dyDescent="0.25">
      <c r="A638" s="50">
        <v>637</v>
      </c>
      <c r="B638" s="50" t="s">
        <v>2189</v>
      </c>
      <c r="C638" s="50">
        <v>7</v>
      </c>
      <c r="D638" s="50" t="s">
        <v>1155</v>
      </c>
      <c r="E638" s="50">
        <v>1200</v>
      </c>
      <c r="F638" s="50">
        <v>10</v>
      </c>
      <c r="G638" s="50">
        <v>7560</v>
      </c>
    </row>
    <row r="639" spans="1:7" ht="16.5" x14ac:dyDescent="0.25">
      <c r="A639" s="50">
        <v>638</v>
      </c>
      <c r="B639" s="50" t="s">
        <v>2190</v>
      </c>
      <c r="C639" s="50">
        <v>14</v>
      </c>
      <c r="D639" s="50" t="s">
        <v>1146</v>
      </c>
      <c r="E639" s="50">
        <v>800</v>
      </c>
      <c r="F639" s="50">
        <v>15</v>
      </c>
      <c r="G639" s="50">
        <v>9520</v>
      </c>
    </row>
    <row r="640" spans="1:7" ht="16.5" x14ac:dyDescent="0.25">
      <c r="A640" s="50">
        <v>639</v>
      </c>
      <c r="B640" s="50" t="s">
        <v>2191</v>
      </c>
      <c r="C640" s="50">
        <v>10</v>
      </c>
      <c r="D640" s="50" t="s">
        <v>1192</v>
      </c>
      <c r="E640" s="50">
        <v>1500</v>
      </c>
      <c r="F640" s="50">
        <v>15</v>
      </c>
      <c r="G640" s="50">
        <v>12750</v>
      </c>
    </row>
    <row r="641" spans="1:7" ht="16.5" x14ac:dyDescent="0.25">
      <c r="A641" s="50">
        <v>640</v>
      </c>
      <c r="B641" s="50" t="s">
        <v>2192</v>
      </c>
      <c r="C641" s="50">
        <v>14</v>
      </c>
      <c r="D641" s="50" t="s">
        <v>1166</v>
      </c>
      <c r="E641" s="50">
        <v>800</v>
      </c>
      <c r="F641" s="50">
        <v>0</v>
      </c>
      <c r="G641" s="50">
        <v>11200</v>
      </c>
    </row>
    <row r="642" spans="1:7" ht="16.5" x14ac:dyDescent="0.25">
      <c r="A642" s="50">
        <v>641</v>
      </c>
      <c r="B642" s="50" t="s">
        <v>2194</v>
      </c>
      <c r="C642" s="50">
        <v>2</v>
      </c>
      <c r="D642" s="50" t="s">
        <v>1192</v>
      </c>
      <c r="E642" s="50">
        <v>1200</v>
      </c>
      <c r="F642" s="50">
        <v>5</v>
      </c>
      <c r="G642" s="50">
        <v>2280</v>
      </c>
    </row>
    <row r="643" spans="1:7" ht="16.5" x14ac:dyDescent="0.25">
      <c r="A643" s="50">
        <v>642</v>
      </c>
      <c r="B643" s="50" t="s">
        <v>2195</v>
      </c>
      <c r="C643" s="50">
        <v>11</v>
      </c>
      <c r="D643" s="50" t="s">
        <v>1187</v>
      </c>
      <c r="E643" s="50">
        <v>1200</v>
      </c>
      <c r="F643" s="50">
        <v>5</v>
      </c>
      <c r="G643" s="50">
        <v>12540</v>
      </c>
    </row>
    <row r="644" spans="1:7" ht="16.5" x14ac:dyDescent="0.25">
      <c r="A644" s="50">
        <v>643</v>
      </c>
      <c r="B644" s="50" t="s">
        <v>2196</v>
      </c>
      <c r="C644" s="50">
        <v>5</v>
      </c>
      <c r="D644" s="50" t="s">
        <v>1158</v>
      </c>
      <c r="E644" s="50">
        <v>1500</v>
      </c>
      <c r="F644" s="50">
        <v>15</v>
      </c>
      <c r="G644" s="50">
        <v>6375</v>
      </c>
    </row>
    <row r="645" spans="1:7" ht="16.5" x14ac:dyDescent="0.25">
      <c r="A645" s="50">
        <v>644</v>
      </c>
      <c r="B645" s="50" t="s">
        <v>2197</v>
      </c>
      <c r="C645" s="50">
        <v>12</v>
      </c>
      <c r="D645" s="50" t="s">
        <v>1187</v>
      </c>
      <c r="E645" s="50">
        <v>800</v>
      </c>
      <c r="F645" s="50">
        <v>0</v>
      </c>
      <c r="G645" s="50">
        <v>9600</v>
      </c>
    </row>
    <row r="646" spans="1:7" ht="16.5" x14ac:dyDescent="0.25">
      <c r="A646" s="50">
        <v>645</v>
      </c>
      <c r="B646" s="50" t="s">
        <v>2198</v>
      </c>
      <c r="C646" s="50">
        <v>3</v>
      </c>
      <c r="D646" s="50" t="s">
        <v>1146</v>
      </c>
      <c r="E646" s="50">
        <v>800</v>
      </c>
      <c r="F646" s="50">
        <v>15</v>
      </c>
      <c r="G646" s="50">
        <v>2040</v>
      </c>
    </row>
    <row r="647" spans="1:7" ht="16.5" x14ac:dyDescent="0.25">
      <c r="A647" s="50">
        <v>646</v>
      </c>
      <c r="B647" s="50" t="s">
        <v>2199</v>
      </c>
      <c r="C647" s="50">
        <v>11</v>
      </c>
      <c r="D647" s="50" t="s">
        <v>1140</v>
      </c>
      <c r="E647" s="50">
        <v>1500</v>
      </c>
      <c r="F647" s="50">
        <v>10</v>
      </c>
      <c r="G647" s="50">
        <v>14850</v>
      </c>
    </row>
    <row r="648" spans="1:7" ht="16.5" x14ac:dyDescent="0.25">
      <c r="A648" s="50">
        <v>647</v>
      </c>
      <c r="B648" s="50" t="s">
        <v>2200</v>
      </c>
      <c r="C648" s="50">
        <v>18</v>
      </c>
      <c r="D648" s="50" t="s">
        <v>1152</v>
      </c>
      <c r="E648" s="50">
        <v>800</v>
      </c>
      <c r="F648" s="50">
        <v>0</v>
      </c>
      <c r="G648" s="50">
        <v>14400</v>
      </c>
    </row>
    <row r="649" spans="1:7" ht="16.5" x14ac:dyDescent="0.25">
      <c r="A649" s="50">
        <v>648</v>
      </c>
      <c r="B649" s="50" t="s">
        <v>2202</v>
      </c>
      <c r="C649" s="50">
        <v>18</v>
      </c>
      <c r="D649" s="50" t="s">
        <v>1155</v>
      </c>
      <c r="E649" s="50">
        <v>800</v>
      </c>
      <c r="F649" s="50">
        <v>0</v>
      </c>
      <c r="G649" s="50">
        <v>14400</v>
      </c>
    </row>
    <row r="650" spans="1:7" ht="16.5" x14ac:dyDescent="0.25">
      <c r="A650" s="50">
        <v>649</v>
      </c>
      <c r="B650" s="50" t="s">
        <v>2203</v>
      </c>
      <c r="C650" s="50">
        <v>2</v>
      </c>
      <c r="D650" s="50" t="s">
        <v>1146</v>
      </c>
      <c r="E650" s="50">
        <v>800</v>
      </c>
      <c r="F650" s="50">
        <v>0</v>
      </c>
      <c r="G650" s="50">
        <v>1600</v>
      </c>
    </row>
    <row r="651" spans="1:7" ht="16.5" x14ac:dyDescent="0.25">
      <c r="A651" s="50">
        <v>650</v>
      </c>
      <c r="B651" s="50" t="s">
        <v>2204</v>
      </c>
      <c r="C651" s="50">
        <v>12</v>
      </c>
      <c r="D651" s="50" t="s">
        <v>1262</v>
      </c>
      <c r="E651" s="50">
        <v>1500</v>
      </c>
      <c r="F651" s="50">
        <v>0</v>
      </c>
      <c r="G651" s="50">
        <v>18000</v>
      </c>
    </row>
    <row r="652" spans="1:7" ht="16.5" x14ac:dyDescent="0.25">
      <c r="A652" s="50">
        <v>651</v>
      </c>
      <c r="B652" s="50" t="s">
        <v>2205</v>
      </c>
      <c r="C652" s="50">
        <v>1</v>
      </c>
      <c r="D652" s="50" t="s">
        <v>1262</v>
      </c>
      <c r="E652" s="50">
        <v>800</v>
      </c>
      <c r="F652" s="50">
        <v>5</v>
      </c>
      <c r="G652" s="50">
        <v>760</v>
      </c>
    </row>
    <row r="653" spans="1:7" ht="16.5" x14ac:dyDescent="0.25">
      <c r="A653" s="50">
        <v>652</v>
      </c>
      <c r="B653" s="50" t="s">
        <v>2207</v>
      </c>
      <c r="C653" s="50">
        <v>9</v>
      </c>
      <c r="D653" s="50" t="s">
        <v>1174</v>
      </c>
      <c r="E653" s="50">
        <v>1200</v>
      </c>
      <c r="F653" s="50">
        <v>10</v>
      </c>
      <c r="G653" s="50">
        <v>9720</v>
      </c>
    </row>
    <row r="654" spans="1:7" ht="16.5" x14ac:dyDescent="0.25">
      <c r="A654" s="50">
        <v>653</v>
      </c>
      <c r="B654" s="50" t="s">
        <v>2208</v>
      </c>
      <c r="C654" s="50">
        <v>2</v>
      </c>
      <c r="D654" s="50" t="s">
        <v>1161</v>
      </c>
      <c r="E654" s="50">
        <v>800</v>
      </c>
      <c r="F654" s="50">
        <v>15</v>
      </c>
      <c r="G654" s="50">
        <v>1360</v>
      </c>
    </row>
    <row r="655" spans="1:7" ht="16.5" x14ac:dyDescent="0.25">
      <c r="A655" s="50">
        <v>654</v>
      </c>
      <c r="B655" s="50" t="s">
        <v>2210</v>
      </c>
      <c r="C655" s="50">
        <v>19</v>
      </c>
      <c r="D655" s="50" t="s">
        <v>1198</v>
      </c>
      <c r="E655" s="50">
        <v>1500</v>
      </c>
      <c r="F655" s="50">
        <v>0</v>
      </c>
      <c r="G655" s="50">
        <v>28500</v>
      </c>
    </row>
    <row r="656" spans="1:7" ht="16.5" x14ac:dyDescent="0.25">
      <c r="A656" s="50">
        <v>655</v>
      </c>
      <c r="B656" s="50" t="s">
        <v>2212</v>
      </c>
      <c r="C656" s="50">
        <v>19</v>
      </c>
      <c r="D656" s="50" t="s">
        <v>1146</v>
      </c>
      <c r="E656" s="50">
        <v>1200</v>
      </c>
      <c r="F656" s="50">
        <v>0</v>
      </c>
      <c r="G656" s="50">
        <v>22800</v>
      </c>
    </row>
    <row r="657" spans="1:7" ht="16.5" x14ac:dyDescent="0.25">
      <c r="A657" s="50">
        <v>656</v>
      </c>
      <c r="B657" s="50" t="s">
        <v>2213</v>
      </c>
      <c r="C657" s="50">
        <v>3</v>
      </c>
      <c r="D657" s="50" t="s">
        <v>1229</v>
      </c>
      <c r="E657" s="50">
        <v>1500</v>
      </c>
      <c r="F657" s="50">
        <v>10</v>
      </c>
      <c r="G657" s="50">
        <v>4050</v>
      </c>
    </row>
    <row r="658" spans="1:7" ht="16.5" x14ac:dyDescent="0.25">
      <c r="A658" s="50">
        <v>657</v>
      </c>
      <c r="B658" s="50" t="s">
        <v>2215</v>
      </c>
      <c r="C658" s="50">
        <v>7</v>
      </c>
      <c r="D658" s="50" t="s">
        <v>1201</v>
      </c>
      <c r="E658" s="50">
        <v>800</v>
      </c>
      <c r="F658" s="50">
        <v>5</v>
      </c>
      <c r="G658" s="50">
        <v>5320</v>
      </c>
    </row>
    <row r="659" spans="1:7" ht="16.5" x14ac:dyDescent="0.25">
      <c r="A659" s="50">
        <v>658</v>
      </c>
      <c r="B659" s="50" t="s">
        <v>2217</v>
      </c>
      <c r="C659" s="50">
        <v>20</v>
      </c>
      <c r="D659" s="50" t="s">
        <v>1143</v>
      </c>
      <c r="E659" s="50">
        <v>1200</v>
      </c>
      <c r="F659" s="50">
        <v>0</v>
      </c>
      <c r="G659" s="50">
        <v>24000</v>
      </c>
    </row>
    <row r="660" spans="1:7" ht="16.5" x14ac:dyDescent="0.25">
      <c r="A660" s="50">
        <v>659</v>
      </c>
      <c r="B660" s="50" t="s">
        <v>2218</v>
      </c>
      <c r="C660" s="50">
        <v>5</v>
      </c>
      <c r="D660" s="50" t="s">
        <v>1155</v>
      </c>
      <c r="E660" s="50">
        <v>1200</v>
      </c>
      <c r="F660" s="50">
        <v>0</v>
      </c>
      <c r="G660" s="50">
        <v>6000</v>
      </c>
    </row>
    <row r="661" spans="1:7" ht="16.5" x14ac:dyDescent="0.25">
      <c r="A661" s="50">
        <v>660</v>
      </c>
      <c r="B661" s="50" t="s">
        <v>2219</v>
      </c>
      <c r="C661" s="50">
        <v>14</v>
      </c>
      <c r="D661" s="50" t="s">
        <v>1240</v>
      </c>
      <c r="E661" s="50">
        <v>1500</v>
      </c>
      <c r="F661" s="50">
        <v>10</v>
      </c>
      <c r="G661" s="50">
        <v>18900</v>
      </c>
    </row>
    <row r="662" spans="1:7" ht="16.5" x14ac:dyDescent="0.25">
      <c r="A662" s="50">
        <v>661</v>
      </c>
      <c r="B662" s="50" t="s">
        <v>2220</v>
      </c>
      <c r="C662" s="50">
        <v>16</v>
      </c>
      <c r="D662" s="50" t="s">
        <v>1161</v>
      </c>
      <c r="E662" s="50">
        <v>800</v>
      </c>
      <c r="F662" s="50">
        <v>5</v>
      </c>
      <c r="G662" s="50">
        <v>12160</v>
      </c>
    </row>
    <row r="663" spans="1:7" ht="16.5" x14ac:dyDescent="0.25">
      <c r="A663" s="50">
        <v>662</v>
      </c>
      <c r="B663" s="50" t="s">
        <v>2221</v>
      </c>
      <c r="C663" s="50">
        <v>6</v>
      </c>
      <c r="D663" s="50" t="s">
        <v>1201</v>
      </c>
      <c r="E663" s="50">
        <v>1200</v>
      </c>
      <c r="F663" s="50">
        <v>5</v>
      </c>
      <c r="G663" s="50">
        <v>6840</v>
      </c>
    </row>
    <row r="664" spans="1:7" ht="16.5" x14ac:dyDescent="0.25">
      <c r="A664" s="50">
        <v>663</v>
      </c>
      <c r="B664" s="50" t="s">
        <v>2222</v>
      </c>
      <c r="C664" s="50">
        <v>1</v>
      </c>
      <c r="D664" s="50" t="s">
        <v>1155</v>
      </c>
      <c r="E664" s="50">
        <v>800</v>
      </c>
      <c r="F664" s="50">
        <v>5</v>
      </c>
      <c r="G664" s="50">
        <v>760</v>
      </c>
    </row>
    <row r="665" spans="1:7" ht="16.5" x14ac:dyDescent="0.25">
      <c r="A665" s="50">
        <v>664</v>
      </c>
      <c r="B665" s="50" t="s">
        <v>2223</v>
      </c>
      <c r="C665" s="50">
        <v>2</v>
      </c>
      <c r="D665" s="50" t="s">
        <v>1171</v>
      </c>
      <c r="E665" s="50">
        <v>1200</v>
      </c>
      <c r="F665" s="50">
        <v>15</v>
      </c>
      <c r="G665" s="50">
        <v>2040</v>
      </c>
    </row>
    <row r="666" spans="1:7" ht="16.5" x14ac:dyDescent="0.25">
      <c r="A666" s="50">
        <v>665</v>
      </c>
      <c r="B666" s="50" t="s">
        <v>2225</v>
      </c>
      <c r="C666" s="50">
        <v>1</v>
      </c>
      <c r="D666" s="50" t="s">
        <v>1140</v>
      </c>
      <c r="E666" s="50">
        <v>1500</v>
      </c>
      <c r="F666" s="50">
        <v>0</v>
      </c>
      <c r="G666" s="50">
        <v>1500</v>
      </c>
    </row>
    <row r="667" spans="1:7" ht="16.5" x14ac:dyDescent="0.25">
      <c r="A667" s="50">
        <v>666</v>
      </c>
      <c r="B667" s="50" t="s">
        <v>2227</v>
      </c>
      <c r="C667" s="50">
        <v>8</v>
      </c>
      <c r="D667" s="50" t="s">
        <v>1187</v>
      </c>
      <c r="E667" s="50">
        <v>800</v>
      </c>
      <c r="F667" s="50">
        <v>5</v>
      </c>
      <c r="G667" s="50">
        <v>6080</v>
      </c>
    </row>
    <row r="668" spans="1:7" ht="16.5" x14ac:dyDescent="0.25">
      <c r="A668" s="50">
        <v>667</v>
      </c>
      <c r="B668" s="50" t="s">
        <v>2228</v>
      </c>
      <c r="C668" s="50">
        <v>7</v>
      </c>
      <c r="D668" s="50" t="s">
        <v>1161</v>
      </c>
      <c r="E668" s="50">
        <v>1200</v>
      </c>
      <c r="F668" s="50">
        <v>5</v>
      </c>
      <c r="G668" s="50">
        <v>7980</v>
      </c>
    </row>
    <row r="669" spans="1:7" ht="16.5" x14ac:dyDescent="0.25">
      <c r="A669" s="50">
        <v>668</v>
      </c>
      <c r="B669" s="50" t="s">
        <v>2229</v>
      </c>
      <c r="C669" s="50">
        <v>10</v>
      </c>
      <c r="D669" s="50" t="s">
        <v>1152</v>
      </c>
      <c r="E669" s="50">
        <v>1200</v>
      </c>
      <c r="F669" s="50">
        <v>15</v>
      </c>
      <c r="G669" s="50">
        <v>10200</v>
      </c>
    </row>
    <row r="670" spans="1:7" ht="16.5" x14ac:dyDescent="0.25">
      <c r="A670" s="50">
        <v>669</v>
      </c>
      <c r="B670" s="50" t="s">
        <v>2230</v>
      </c>
      <c r="C670" s="50">
        <v>7</v>
      </c>
      <c r="D670" s="50" t="s">
        <v>1146</v>
      </c>
      <c r="E670" s="50">
        <v>1200</v>
      </c>
      <c r="F670" s="50">
        <v>0</v>
      </c>
      <c r="G670" s="50">
        <v>8400</v>
      </c>
    </row>
    <row r="671" spans="1:7" ht="16.5" x14ac:dyDescent="0.25">
      <c r="A671" s="50">
        <v>670</v>
      </c>
      <c r="B671" s="50" t="s">
        <v>2232</v>
      </c>
      <c r="C671" s="50">
        <v>16</v>
      </c>
      <c r="D671" s="50" t="s">
        <v>1174</v>
      </c>
      <c r="E671" s="50">
        <v>1500</v>
      </c>
      <c r="F671" s="50">
        <v>10</v>
      </c>
      <c r="G671" s="50">
        <v>21600</v>
      </c>
    </row>
    <row r="672" spans="1:7" ht="16.5" x14ac:dyDescent="0.25">
      <c r="A672" s="50">
        <v>671</v>
      </c>
      <c r="B672" s="50" t="s">
        <v>2233</v>
      </c>
      <c r="C672" s="50">
        <v>8</v>
      </c>
      <c r="D672" s="50" t="s">
        <v>1262</v>
      </c>
      <c r="E672" s="50">
        <v>800</v>
      </c>
      <c r="F672" s="50">
        <v>15</v>
      </c>
      <c r="G672" s="50">
        <v>5440</v>
      </c>
    </row>
    <row r="673" spans="1:7" ht="16.5" x14ac:dyDescent="0.25">
      <c r="A673" s="50">
        <v>672</v>
      </c>
      <c r="B673" s="50" t="s">
        <v>2234</v>
      </c>
      <c r="C673" s="50">
        <v>9</v>
      </c>
      <c r="D673" s="50" t="s">
        <v>1166</v>
      </c>
      <c r="E673" s="50">
        <v>1200</v>
      </c>
      <c r="F673" s="50">
        <v>10</v>
      </c>
      <c r="G673" s="50">
        <v>9720</v>
      </c>
    </row>
    <row r="674" spans="1:7" ht="16.5" x14ac:dyDescent="0.25">
      <c r="A674" s="50">
        <v>673</v>
      </c>
      <c r="B674" s="50" t="s">
        <v>2235</v>
      </c>
      <c r="C674" s="50">
        <v>3</v>
      </c>
      <c r="D674" s="50" t="s">
        <v>1152</v>
      </c>
      <c r="E674" s="50">
        <v>1500</v>
      </c>
      <c r="F674" s="50">
        <v>0</v>
      </c>
      <c r="G674" s="50">
        <v>4500</v>
      </c>
    </row>
    <row r="675" spans="1:7" ht="16.5" x14ac:dyDescent="0.25">
      <c r="A675" s="50">
        <v>674</v>
      </c>
      <c r="B675" s="50" t="s">
        <v>2237</v>
      </c>
      <c r="C675" s="50">
        <v>18</v>
      </c>
      <c r="D675" s="50" t="s">
        <v>1174</v>
      </c>
      <c r="E675" s="50">
        <v>800</v>
      </c>
      <c r="F675" s="50">
        <v>10</v>
      </c>
      <c r="G675" s="50">
        <v>12960</v>
      </c>
    </row>
    <row r="676" spans="1:7" ht="16.5" x14ac:dyDescent="0.25">
      <c r="A676" s="50">
        <v>675</v>
      </c>
      <c r="B676" s="50" t="s">
        <v>2238</v>
      </c>
      <c r="C676" s="50">
        <v>17</v>
      </c>
      <c r="D676" s="50" t="s">
        <v>1174</v>
      </c>
      <c r="E676" s="50">
        <v>1200</v>
      </c>
      <c r="F676" s="50">
        <v>10</v>
      </c>
      <c r="G676" s="50">
        <v>18360</v>
      </c>
    </row>
    <row r="677" spans="1:7" ht="16.5" x14ac:dyDescent="0.25">
      <c r="A677" s="50">
        <v>676</v>
      </c>
      <c r="B677" s="50" t="s">
        <v>2240</v>
      </c>
      <c r="C677" s="50">
        <v>11</v>
      </c>
      <c r="D677" s="50" t="s">
        <v>1201</v>
      </c>
      <c r="E677" s="50">
        <v>1500</v>
      </c>
      <c r="F677" s="50">
        <v>0</v>
      </c>
      <c r="G677" s="50">
        <v>16500</v>
      </c>
    </row>
    <row r="678" spans="1:7" ht="16.5" x14ac:dyDescent="0.25">
      <c r="A678" s="50">
        <v>677</v>
      </c>
      <c r="B678" s="50" t="s">
        <v>2241</v>
      </c>
      <c r="C678" s="50">
        <v>4</v>
      </c>
      <c r="D678" s="50" t="s">
        <v>1262</v>
      </c>
      <c r="E678" s="50">
        <v>1200</v>
      </c>
      <c r="F678" s="50">
        <v>15</v>
      </c>
      <c r="G678" s="50">
        <v>4080</v>
      </c>
    </row>
    <row r="679" spans="1:7" ht="16.5" x14ac:dyDescent="0.25">
      <c r="A679" s="50">
        <v>678</v>
      </c>
      <c r="B679" s="50" t="s">
        <v>2242</v>
      </c>
      <c r="C679" s="50">
        <v>4</v>
      </c>
      <c r="D679" s="50" t="s">
        <v>1187</v>
      </c>
      <c r="E679" s="50">
        <v>800</v>
      </c>
      <c r="F679" s="50">
        <v>15</v>
      </c>
      <c r="G679" s="50">
        <v>2720</v>
      </c>
    </row>
    <row r="680" spans="1:7" ht="16.5" x14ac:dyDescent="0.25">
      <c r="A680" s="50">
        <v>679</v>
      </c>
      <c r="B680" s="50" t="s">
        <v>2243</v>
      </c>
      <c r="C680" s="50">
        <v>9</v>
      </c>
      <c r="D680" s="50" t="s">
        <v>1140</v>
      </c>
      <c r="E680" s="50">
        <v>1200</v>
      </c>
      <c r="F680" s="50">
        <v>10</v>
      </c>
      <c r="G680" s="50">
        <v>9720</v>
      </c>
    </row>
    <row r="681" spans="1:7" ht="16.5" x14ac:dyDescent="0.25">
      <c r="A681" s="50">
        <v>680</v>
      </c>
      <c r="B681" s="50" t="s">
        <v>2244</v>
      </c>
      <c r="C681" s="50">
        <v>20</v>
      </c>
      <c r="D681" s="50" t="s">
        <v>1198</v>
      </c>
      <c r="E681" s="50">
        <v>800</v>
      </c>
      <c r="F681" s="50">
        <v>10</v>
      </c>
      <c r="G681" s="50">
        <v>14400</v>
      </c>
    </row>
    <row r="682" spans="1:7" ht="16.5" x14ac:dyDescent="0.25">
      <c r="A682" s="50">
        <v>681</v>
      </c>
      <c r="B682" s="50" t="s">
        <v>2246</v>
      </c>
      <c r="C682" s="50">
        <v>8</v>
      </c>
      <c r="D682" s="50" t="s">
        <v>1198</v>
      </c>
      <c r="E682" s="50">
        <v>1500</v>
      </c>
      <c r="F682" s="50">
        <v>5</v>
      </c>
      <c r="G682" s="50">
        <v>11400</v>
      </c>
    </row>
    <row r="683" spans="1:7" ht="16.5" x14ac:dyDescent="0.25">
      <c r="A683" s="50">
        <v>682</v>
      </c>
      <c r="B683" s="50" t="s">
        <v>2248</v>
      </c>
      <c r="C683" s="50">
        <v>17</v>
      </c>
      <c r="D683" s="50" t="s">
        <v>1166</v>
      </c>
      <c r="E683" s="50">
        <v>1200</v>
      </c>
      <c r="F683" s="50">
        <v>5</v>
      </c>
      <c r="G683" s="50">
        <v>19380</v>
      </c>
    </row>
    <row r="684" spans="1:7" ht="16.5" x14ac:dyDescent="0.25">
      <c r="A684" s="50">
        <v>683</v>
      </c>
      <c r="B684" s="50" t="s">
        <v>2249</v>
      </c>
      <c r="C684" s="50">
        <v>5</v>
      </c>
      <c r="D684" s="50" t="s">
        <v>1155</v>
      </c>
      <c r="E684" s="50">
        <v>1500</v>
      </c>
      <c r="F684" s="50">
        <v>0</v>
      </c>
      <c r="G684" s="50">
        <v>7500</v>
      </c>
    </row>
    <row r="685" spans="1:7" ht="16.5" x14ac:dyDescent="0.25">
      <c r="A685" s="50">
        <v>684</v>
      </c>
      <c r="B685" s="50" t="s">
        <v>2250</v>
      </c>
      <c r="C685" s="50">
        <v>6</v>
      </c>
      <c r="D685" s="50" t="s">
        <v>1262</v>
      </c>
      <c r="E685" s="50">
        <v>1500</v>
      </c>
      <c r="F685" s="50">
        <v>10</v>
      </c>
      <c r="G685" s="50">
        <v>8100</v>
      </c>
    </row>
    <row r="686" spans="1:7" ht="16.5" x14ac:dyDescent="0.25">
      <c r="A686" s="50">
        <v>685</v>
      </c>
      <c r="B686" s="50" t="s">
        <v>2252</v>
      </c>
      <c r="C686" s="50">
        <v>11</v>
      </c>
      <c r="D686" s="50" t="s">
        <v>1342</v>
      </c>
      <c r="E686" s="50">
        <v>1200</v>
      </c>
      <c r="F686" s="50">
        <v>15</v>
      </c>
      <c r="G686" s="50">
        <v>11220</v>
      </c>
    </row>
    <row r="687" spans="1:7" ht="16.5" x14ac:dyDescent="0.25">
      <c r="A687" s="50">
        <v>686</v>
      </c>
      <c r="B687" s="50" t="s">
        <v>2254</v>
      </c>
      <c r="C687" s="50">
        <v>16</v>
      </c>
      <c r="D687" s="50" t="s">
        <v>1137</v>
      </c>
      <c r="E687" s="50">
        <v>1500</v>
      </c>
      <c r="F687" s="50">
        <v>15</v>
      </c>
      <c r="G687" s="50">
        <v>20400</v>
      </c>
    </row>
    <row r="688" spans="1:7" ht="16.5" x14ac:dyDescent="0.25">
      <c r="A688" s="50">
        <v>687</v>
      </c>
      <c r="B688" s="50" t="s">
        <v>2255</v>
      </c>
      <c r="C688" s="50">
        <v>8</v>
      </c>
      <c r="D688" s="50" t="s">
        <v>1140</v>
      </c>
      <c r="E688" s="50">
        <v>1200</v>
      </c>
      <c r="F688" s="50">
        <v>0</v>
      </c>
      <c r="G688" s="50">
        <v>9600</v>
      </c>
    </row>
    <row r="689" spans="1:7" ht="16.5" x14ac:dyDescent="0.25">
      <c r="A689" s="50">
        <v>688</v>
      </c>
      <c r="B689" s="50" t="s">
        <v>2256</v>
      </c>
      <c r="C689" s="50">
        <v>2</v>
      </c>
      <c r="D689" s="50" t="s">
        <v>1166</v>
      </c>
      <c r="E689" s="50">
        <v>800</v>
      </c>
      <c r="F689" s="50">
        <v>5</v>
      </c>
      <c r="G689" s="50">
        <v>1520</v>
      </c>
    </row>
    <row r="690" spans="1:7" ht="16.5" x14ac:dyDescent="0.25">
      <c r="A690" s="50">
        <v>689</v>
      </c>
      <c r="B690" s="50" t="s">
        <v>2258</v>
      </c>
      <c r="C690" s="50">
        <v>3</v>
      </c>
      <c r="D690" s="50" t="s">
        <v>1201</v>
      </c>
      <c r="E690" s="50">
        <v>1200</v>
      </c>
      <c r="F690" s="50">
        <v>15</v>
      </c>
      <c r="G690" s="50">
        <v>3060</v>
      </c>
    </row>
    <row r="691" spans="1:7" ht="16.5" x14ac:dyDescent="0.25">
      <c r="A691" s="50">
        <v>690</v>
      </c>
      <c r="B691" s="50" t="s">
        <v>2260</v>
      </c>
      <c r="C691" s="50">
        <v>12</v>
      </c>
      <c r="D691" s="50" t="s">
        <v>1171</v>
      </c>
      <c r="E691" s="50">
        <v>800</v>
      </c>
      <c r="F691" s="50">
        <v>10</v>
      </c>
      <c r="G691" s="50">
        <v>8640</v>
      </c>
    </row>
    <row r="692" spans="1:7" ht="16.5" x14ac:dyDescent="0.25">
      <c r="A692" s="50">
        <v>691</v>
      </c>
      <c r="B692" s="50" t="s">
        <v>2261</v>
      </c>
      <c r="C692" s="50">
        <v>2</v>
      </c>
      <c r="D692" s="50" t="s">
        <v>1149</v>
      </c>
      <c r="E692" s="50">
        <v>1500</v>
      </c>
      <c r="F692" s="50">
        <v>10</v>
      </c>
      <c r="G692" s="50">
        <v>2700</v>
      </c>
    </row>
    <row r="693" spans="1:7" ht="16.5" x14ac:dyDescent="0.25">
      <c r="A693" s="50">
        <v>692</v>
      </c>
      <c r="B693" s="50" t="s">
        <v>2262</v>
      </c>
      <c r="C693" s="50">
        <v>10</v>
      </c>
      <c r="D693" s="50" t="s">
        <v>1143</v>
      </c>
      <c r="E693" s="50">
        <v>1500</v>
      </c>
      <c r="F693" s="50">
        <v>10</v>
      </c>
      <c r="G693" s="50">
        <v>13500</v>
      </c>
    </row>
    <row r="694" spans="1:7" ht="16.5" x14ac:dyDescent="0.25">
      <c r="A694" s="50">
        <v>693</v>
      </c>
      <c r="B694" s="50" t="s">
        <v>2263</v>
      </c>
      <c r="C694" s="50">
        <v>19</v>
      </c>
      <c r="D694" s="50" t="s">
        <v>1137</v>
      </c>
      <c r="E694" s="50">
        <v>1200</v>
      </c>
      <c r="F694" s="50">
        <v>15</v>
      </c>
      <c r="G694" s="50">
        <v>19380</v>
      </c>
    </row>
    <row r="695" spans="1:7" ht="16.5" x14ac:dyDescent="0.25">
      <c r="A695" s="50">
        <v>694</v>
      </c>
      <c r="B695" s="50" t="s">
        <v>2265</v>
      </c>
      <c r="C695" s="50">
        <v>16</v>
      </c>
      <c r="D695" s="50" t="s">
        <v>1137</v>
      </c>
      <c r="E695" s="50">
        <v>800</v>
      </c>
      <c r="F695" s="50">
        <v>0</v>
      </c>
      <c r="G695" s="50">
        <v>12800</v>
      </c>
    </row>
    <row r="696" spans="1:7" ht="16.5" x14ac:dyDescent="0.25">
      <c r="A696" s="50">
        <v>695</v>
      </c>
      <c r="B696" s="50" t="s">
        <v>2266</v>
      </c>
      <c r="C696" s="50">
        <v>3</v>
      </c>
      <c r="D696" s="50" t="s">
        <v>1229</v>
      </c>
      <c r="E696" s="50">
        <v>1200</v>
      </c>
      <c r="F696" s="50">
        <v>5</v>
      </c>
      <c r="G696" s="50">
        <v>3420</v>
      </c>
    </row>
    <row r="697" spans="1:7" ht="16.5" x14ac:dyDescent="0.25">
      <c r="A697" s="50">
        <v>696</v>
      </c>
      <c r="B697" s="50" t="s">
        <v>2268</v>
      </c>
      <c r="C697" s="50">
        <v>2</v>
      </c>
      <c r="D697" s="50" t="s">
        <v>1166</v>
      </c>
      <c r="E697" s="50">
        <v>1500</v>
      </c>
      <c r="F697" s="50">
        <v>0</v>
      </c>
      <c r="G697" s="50">
        <v>3000</v>
      </c>
    </row>
    <row r="698" spans="1:7" ht="16.5" x14ac:dyDescent="0.25">
      <c r="A698" s="50">
        <v>697</v>
      </c>
      <c r="B698" s="50" t="s">
        <v>2269</v>
      </c>
      <c r="C698" s="50">
        <v>10</v>
      </c>
      <c r="D698" s="50" t="s">
        <v>1171</v>
      </c>
      <c r="E698" s="50">
        <v>800</v>
      </c>
      <c r="F698" s="50">
        <v>15</v>
      </c>
      <c r="G698" s="50">
        <v>6800</v>
      </c>
    </row>
    <row r="699" spans="1:7" ht="16.5" x14ac:dyDescent="0.25">
      <c r="A699" s="50">
        <v>698</v>
      </c>
      <c r="B699" s="50" t="s">
        <v>2270</v>
      </c>
      <c r="C699" s="50">
        <v>10</v>
      </c>
      <c r="D699" s="50" t="s">
        <v>1149</v>
      </c>
      <c r="E699" s="50">
        <v>800</v>
      </c>
      <c r="F699" s="50">
        <v>15</v>
      </c>
      <c r="G699" s="50">
        <v>6800</v>
      </c>
    </row>
    <row r="700" spans="1:7" ht="16.5" x14ac:dyDescent="0.25">
      <c r="A700" s="50">
        <v>699</v>
      </c>
      <c r="B700" s="50" t="s">
        <v>2271</v>
      </c>
      <c r="C700" s="50">
        <v>8</v>
      </c>
      <c r="D700" s="50" t="s">
        <v>1166</v>
      </c>
      <c r="E700" s="50">
        <v>1200</v>
      </c>
      <c r="F700" s="50">
        <v>10</v>
      </c>
      <c r="G700" s="50">
        <v>8640</v>
      </c>
    </row>
    <row r="701" spans="1:7" ht="16.5" x14ac:dyDescent="0.25">
      <c r="A701" s="50">
        <v>700</v>
      </c>
      <c r="B701" s="50" t="s">
        <v>2272</v>
      </c>
      <c r="C701" s="50">
        <v>14</v>
      </c>
      <c r="D701" s="50" t="s">
        <v>1198</v>
      </c>
      <c r="E701" s="50">
        <v>1500</v>
      </c>
      <c r="F701" s="50">
        <v>15</v>
      </c>
      <c r="G701" s="50">
        <v>17850</v>
      </c>
    </row>
    <row r="702" spans="1:7" ht="16.5" x14ac:dyDescent="0.25">
      <c r="A702" s="50">
        <v>701</v>
      </c>
      <c r="B702" s="50" t="s">
        <v>2273</v>
      </c>
      <c r="C702" s="50">
        <v>11</v>
      </c>
      <c r="D702" s="50" t="s">
        <v>1155</v>
      </c>
      <c r="E702" s="50">
        <v>1200</v>
      </c>
      <c r="F702" s="50">
        <v>15</v>
      </c>
      <c r="G702" s="50">
        <v>11220</v>
      </c>
    </row>
    <row r="703" spans="1:7" ht="16.5" x14ac:dyDescent="0.25">
      <c r="A703" s="50">
        <v>702</v>
      </c>
      <c r="B703" s="50" t="s">
        <v>2274</v>
      </c>
      <c r="C703" s="50">
        <v>13</v>
      </c>
      <c r="D703" s="50" t="s">
        <v>1192</v>
      </c>
      <c r="E703" s="50">
        <v>1200</v>
      </c>
      <c r="F703" s="50">
        <v>15</v>
      </c>
      <c r="G703" s="50">
        <v>13260</v>
      </c>
    </row>
    <row r="704" spans="1:7" ht="16.5" x14ac:dyDescent="0.25">
      <c r="A704" s="50">
        <v>703</v>
      </c>
      <c r="B704" s="50" t="s">
        <v>2275</v>
      </c>
      <c r="C704" s="50">
        <v>9</v>
      </c>
      <c r="D704" s="50" t="s">
        <v>1137</v>
      </c>
      <c r="E704" s="50">
        <v>1200</v>
      </c>
      <c r="F704" s="50">
        <v>15</v>
      </c>
      <c r="G704" s="50">
        <v>9180</v>
      </c>
    </row>
    <row r="705" spans="1:7" ht="16.5" x14ac:dyDescent="0.25">
      <c r="A705" s="50">
        <v>704</v>
      </c>
      <c r="B705" s="50" t="s">
        <v>2276</v>
      </c>
      <c r="C705" s="50">
        <v>17</v>
      </c>
      <c r="D705" s="50" t="s">
        <v>1149</v>
      </c>
      <c r="E705" s="50">
        <v>800</v>
      </c>
      <c r="F705" s="50">
        <v>0</v>
      </c>
      <c r="G705" s="50">
        <v>13600</v>
      </c>
    </row>
    <row r="706" spans="1:7" ht="16.5" x14ac:dyDescent="0.25">
      <c r="A706" s="50">
        <v>705</v>
      </c>
      <c r="B706" s="50" t="s">
        <v>2277</v>
      </c>
      <c r="C706" s="50">
        <v>4</v>
      </c>
      <c r="D706" s="50" t="s">
        <v>1158</v>
      </c>
      <c r="E706" s="50">
        <v>800</v>
      </c>
      <c r="F706" s="50">
        <v>15</v>
      </c>
      <c r="G706" s="50">
        <v>2720</v>
      </c>
    </row>
    <row r="707" spans="1:7" ht="16.5" x14ac:dyDescent="0.25">
      <c r="A707" s="50">
        <v>706</v>
      </c>
      <c r="B707" s="50" t="s">
        <v>2278</v>
      </c>
      <c r="C707" s="50">
        <v>5</v>
      </c>
      <c r="D707" s="50" t="s">
        <v>1187</v>
      </c>
      <c r="E707" s="50">
        <v>1200</v>
      </c>
      <c r="F707" s="50">
        <v>15</v>
      </c>
      <c r="G707" s="50">
        <v>5100</v>
      </c>
    </row>
    <row r="708" spans="1:7" ht="16.5" x14ac:dyDescent="0.25">
      <c r="A708" s="50">
        <v>707</v>
      </c>
      <c r="B708" s="50" t="s">
        <v>2279</v>
      </c>
      <c r="C708" s="50">
        <v>16</v>
      </c>
      <c r="D708" s="50" t="s">
        <v>1240</v>
      </c>
      <c r="E708" s="50">
        <v>800</v>
      </c>
      <c r="F708" s="50">
        <v>10</v>
      </c>
      <c r="G708" s="50">
        <v>11520</v>
      </c>
    </row>
    <row r="709" spans="1:7" ht="16.5" x14ac:dyDescent="0.25">
      <c r="A709" s="50">
        <v>708</v>
      </c>
      <c r="B709" s="50" t="s">
        <v>2280</v>
      </c>
      <c r="C709" s="50">
        <v>1</v>
      </c>
      <c r="D709" s="50" t="s">
        <v>1137</v>
      </c>
      <c r="E709" s="50">
        <v>1200</v>
      </c>
      <c r="F709" s="50">
        <v>10</v>
      </c>
      <c r="G709" s="50">
        <v>1080</v>
      </c>
    </row>
    <row r="710" spans="1:7" ht="16.5" x14ac:dyDescent="0.25">
      <c r="A710" s="50">
        <v>709</v>
      </c>
      <c r="B710" s="50" t="s">
        <v>2281</v>
      </c>
      <c r="C710" s="50">
        <v>18</v>
      </c>
      <c r="D710" s="50" t="s">
        <v>1152</v>
      </c>
      <c r="E710" s="50">
        <v>800</v>
      </c>
      <c r="F710" s="50">
        <v>10</v>
      </c>
      <c r="G710" s="50">
        <v>12960</v>
      </c>
    </row>
    <row r="711" spans="1:7" ht="16.5" x14ac:dyDescent="0.25">
      <c r="A711" s="50">
        <v>710</v>
      </c>
      <c r="B711" s="50" t="s">
        <v>2282</v>
      </c>
      <c r="C711" s="50">
        <v>6</v>
      </c>
      <c r="D711" s="50" t="s">
        <v>1201</v>
      </c>
      <c r="E711" s="50">
        <v>1500</v>
      </c>
      <c r="F711" s="50">
        <v>10</v>
      </c>
      <c r="G711" s="50">
        <v>8100</v>
      </c>
    </row>
    <row r="712" spans="1:7" ht="16.5" x14ac:dyDescent="0.25">
      <c r="A712" s="50">
        <v>711</v>
      </c>
      <c r="B712" s="50" t="s">
        <v>2283</v>
      </c>
      <c r="C712" s="50">
        <v>14</v>
      </c>
      <c r="D712" s="50" t="s">
        <v>1137</v>
      </c>
      <c r="E712" s="50">
        <v>800</v>
      </c>
      <c r="F712" s="50">
        <v>15</v>
      </c>
      <c r="G712" s="50">
        <v>9520</v>
      </c>
    </row>
    <row r="713" spans="1:7" ht="16.5" x14ac:dyDescent="0.25">
      <c r="A713" s="50">
        <v>712</v>
      </c>
      <c r="B713" s="50" t="s">
        <v>2285</v>
      </c>
      <c r="C713" s="50">
        <v>9</v>
      </c>
      <c r="D713" s="50" t="s">
        <v>1342</v>
      </c>
      <c r="E713" s="50">
        <v>1500</v>
      </c>
      <c r="F713" s="50">
        <v>15</v>
      </c>
      <c r="G713" s="50">
        <v>11475</v>
      </c>
    </row>
    <row r="714" spans="1:7" ht="16.5" x14ac:dyDescent="0.25">
      <c r="A714" s="50">
        <v>713</v>
      </c>
      <c r="B714" s="50" t="s">
        <v>2286</v>
      </c>
      <c r="C714" s="50">
        <v>17</v>
      </c>
      <c r="D714" s="50" t="s">
        <v>1158</v>
      </c>
      <c r="E714" s="50">
        <v>1500</v>
      </c>
      <c r="F714" s="50">
        <v>0</v>
      </c>
      <c r="G714" s="50">
        <v>25500</v>
      </c>
    </row>
    <row r="715" spans="1:7" ht="16.5" x14ac:dyDescent="0.25">
      <c r="A715" s="50">
        <v>714</v>
      </c>
      <c r="B715" s="50" t="s">
        <v>2288</v>
      </c>
      <c r="C715" s="50">
        <v>17</v>
      </c>
      <c r="D715" s="50" t="s">
        <v>1143</v>
      </c>
      <c r="E715" s="50">
        <v>800</v>
      </c>
      <c r="F715" s="50">
        <v>5</v>
      </c>
      <c r="G715" s="50">
        <v>12920</v>
      </c>
    </row>
    <row r="716" spans="1:7" ht="16.5" x14ac:dyDescent="0.25">
      <c r="A716" s="50">
        <v>715</v>
      </c>
      <c r="B716" s="50" t="s">
        <v>2289</v>
      </c>
      <c r="C716" s="50">
        <v>16</v>
      </c>
      <c r="D716" s="50" t="s">
        <v>1262</v>
      </c>
      <c r="E716" s="50">
        <v>1200</v>
      </c>
      <c r="F716" s="50">
        <v>15</v>
      </c>
      <c r="G716" s="50">
        <v>16320</v>
      </c>
    </row>
    <row r="717" spans="1:7" ht="16.5" x14ac:dyDescent="0.25">
      <c r="A717" s="50">
        <v>716</v>
      </c>
      <c r="B717" s="50" t="s">
        <v>2290</v>
      </c>
      <c r="C717" s="50">
        <v>2</v>
      </c>
      <c r="D717" s="50" t="s">
        <v>1198</v>
      </c>
      <c r="E717" s="50">
        <v>1500</v>
      </c>
      <c r="F717" s="50">
        <v>0</v>
      </c>
      <c r="G717" s="50">
        <v>3000</v>
      </c>
    </row>
    <row r="718" spans="1:7" ht="16.5" x14ac:dyDescent="0.25">
      <c r="A718" s="50">
        <v>717</v>
      </c>
      <c r="B718" s="50" t="s">
        <v>2292</v>
      </c>
      <c r="C718" s="50">
        <v>17</v>
      </c>
      <c r="D718" s="50" t="s">
        <v>1240</v>
      </c>
      <c r="E718" s="50">
        <v>1500</v>
      </c>
      <c r="F718" s="50">
        <v>5</v>
      </c>
      <c r="G718" s="50">
        <v>24225</v>
      </c>
    </row>
    <row r="719" spans="1:7" ht="16.5" x14ac:dyDescent="0.25">
      <c r="A719" s="50">
        <v>718</v>
      </c>
      <c r="B719" s="50" t="s">
        <v>2294</v>
      </c>
      <c r="C719" s="50">
        <v>8</v>
      </c>
      <c r="D719" s="50" t="s">
        <v>1198</v>
      </c>
      <c r="E719" s="50">
        <v>800</v>
      </c>
      <c r="F719" s="50">
        <v>15</v>
      </c>
      <c r="G719" s="50">
        <v>5440</v>
      </c>
    </row>
    <row r="720" spans="1:7" ht="16.5" x14ac:dyDescent="0.25">
      <c r="A720" s="50">
        <v>719</v>
      </c>
      <c r="B720" s="50" t="s">
        <v>2295</v>
      </c>
      <c r="C720" s="50">
        <v>10</v>
      </c>
      <c r="D720" s="50" t="s">
        <v>1161</v>
      </c>
      <c r="E720" s="50">
        <v>1500</v>
      </c>
      <c r="F720" s="50">
        <v>10</v>
      </c>
      <c r="G720" s="50">
        <v>13500</v>
      </c>
    </row>
    <row r="721" spans="1:7" ht="16.5" x14ac:dyDescent="0.25">
      <c r="A721" s="50">
        <v>720</v>
      </c>
      <c r="B721" s="50" t="s">
        <v>2296</v>
      </c>
      <c r="C721" s="50">
        <v>3</v>
      </c>
      <c r="D721" s="50" t="s">
        <v>1198</v>
      </c>
      <c r="E721" s="50">
        <v>1200</v>
      </c>
      <c r="F721" s="50">
        <v>15</v>
      </c>
      <c r="G721" s="50">
        <v>3060</v>
      </c>
    </row>
    <row r="722" spans="1:7" ht="16.5" x14ac:dyDescent="0.25">
      <c r="A722" s="50">
        <v>721</v>
      </c>
      <c r="B722" s="50" t="s">
        <v>2297</v>
      </c>
      <c r="C722" s="50">
        <v>10</v>
      </c>
      <c r="D722" s="50" t="s">
        <v>1174</v>
      </c>
      <c r="E722" s="50">
        <v>1200</v>
      </c>
      <c r="F722" s="50">
        <v>0</v>
      </c>
      <c r="G722" s="50">
        <v>12000</v>
      </c>
    </row>
    <row r="723" spans="1:7" ht="16.5" x14ac:dyDescent="0.25">
      <c r="A723" s="50">
        <v>722</v>
      </c>
      <c r="B723" s="50" t="s">
        <v>2299</v>
      </c>
      <c r="C723" s="50">
        <v>13</v>
      </c>
      <c r="D723" s="50" t="s">
        <v>1143</v>
      </c>
      <c r="E723" s="50">
        <v>1500</v>
      </c>
      <c r="F723" s="50">
        <v>10</v>
      </c>
      <c r="G723" s="50">
        <v>17550</v>
      </c>
    </row>
    <row r="724" spans="1:7" ht="16.5" x14ac:dyDescent="0.25">
      <c r="A724" s="50">
        <v>723</v>
      </c>
      <c r="B724" s="50" t="s">
        <v>2300</v>
      </c>
      <c r="C724" s="50">
        <v>7</v>
      </c>
      <c r="D724" s="50" t="s">
        <v>1166</v>
      </c>
      <c r="E724" s="50">
        <v>1200</v>
      </c>
      <c r="F724" s="50">
        <v>15</v>
      </c>
      <c r="G724" s="50">
        <v>7140</v>
      </c>
    </row>
    <row r="725" spans="1:7" ht="16.5" x14ac:dyDescent="0.25">
      <c r="A725" s="50">
        <v>724</v>
      </c>
      <c r="B725" s="50" t="s">
        <v>2301</v>
      </c>
      <c r="C725" s="50">
        <v>9</v>
      </c>
      <c r="D725" s="50" t="s">
        <v>1262</v>
      </c>
      <c r="E725" s="50">
        <v>1200</v>
      </c>
      <c r="F725" s="50">
        <v>5</v>
      </c>
      <c r="G725" s="50">
        <v>10260</v>
      </c>
    </row>
    <row r="726" spans="1:7" ht="16.5" x14ac:dyDescent="0.25">
      <c r="A726" s="50">
        <v>725</v>
      </c>
      <c r="B726" s="50" t="s">
        <v>2302</v>
      </c>
      <c r="C726" s="50">
        <v>2</v>
      </c>
      <c r="D726" s="50" t="s">
        <v>1166</v>
      </c>
      <c r="E726" s="50">
        <v>800</v>
      </c>
      <c r="F726" s="50">
        <v>5</v>
      </c>
      <c r="G726" s="50">
        <v>1520</v>
      </c>
    </row>
    <row r="727" spans="1:7" ht="16.5" x14ac:dyDescent="0.25">
      <c r="A727" s="50">
        <v>726</v>
      </c>
      <c r="B727" s="50" t="s">
        <v>2303</v>
      </c>
      <c r="C727" s="50">
        <v>8</v>
      </c>
      <c r="D727" s="50" t="s">
        <v>1240</v>
      </c>
      <c r="E727" s="50">
        <v>800</v>
      </c>
      <c r="F727" s="50">
        <v>0</v>
      </c>
      <c r="G727" s="50">
        <v>6400</v>
      </c>
    </row>
    <row r="728" spans="1:7" ht="16.5" x14ac:dyDescent="0.25">
      <c r="A728" s="50">
        <v>727</v>
      </c>
      <c r="B728" s="50" t="s">
        <v>2305</v>
      </c>
      <c r="C728" s="50">
        <v>4</v>
      </c>
      <c r="D728" s="50" t="s">
        <v>1152</v>
      </c>
      <c r="E728" s="50">
        <v>800</v>
      </c>
      <c r="F728" s="50">
        <v>5</v>
      </c>
      <c r="G728" s="50">
        <v>3040</v>
      </c>
    </row>
    <row r="729" spans="1:7" ht="16.5" x14ac:dyDescent="0.25">
      <c r="A729" s="50">
        <v>728</v>
      </c>
      <c r="B729" s="50" t="s">
        <v>2307</v>
      </c>
      <c r="C729" s="50">
        <v>17</v>
      </c>
      <c r="D729" s="50" t="s">
        <v>1187</v>
      </c>
      <c r="E729" s="50">
        <v>1500</v>
      </c>
      <c r="F729" s="50">
        <v>5</v>
      </c>
      <c r="G729" s="50">
        <v>24225</v>
      </c>
    </row>
    <row r="730" spans="1:7" ht="16.5" x14ac:dyDescent="0.25">
      <c r="A730" s="50">
        <v>729</v>
      </c>
      <c r="B730" s="50" t="s">
        <v>2308</v>
      </c>
      <c r="C730" s="50">
        <v>16</v>
      </c>
      <c r="D730" s="50" t="s">
        <v>1201</v>
      </c>
      <c r="E730" s="50">
        <v>1500</v>
      </c>
      <c r="F730" s="50">
        <v>5</v>
      </c>
      <c r="G730" s="50">
        <v>22800</v>
      </c>
    </row>
    <row r="731" spans="1:7" ht="16.5" x14ac:dyDescent="0.25">
      <c r="A731" s="50">
        <v>730</v>
      </c>
      <c r="B731" s="50" t="s">
        <v>2310</v>
      </c>
      <c r="C731" s="50">
        <v>9</v>
      </c>
      <c r="D731" s="50" t="s">
        <v>1201</v>
      </c>
      <c r="E731" s="50">
        <v>1200</v>
      </c>
      <c r="F731" s="50">
        <v>0</v>
      </c>
      <c r="G731" s="50">
        <v>10800</v>
      </c>
    </row>
    <row r="732" spans="1:7" ht="16.5" x14ac:dyDescent="0.25">
      <c r="A732" s="50">
        <v>731</v>
      </c>
      <c r="B732" s="50" t="s">
        <v>2311</v>
      </c>
      <c r="C732" s="50">
        <v>20</v>
      </c>
      <c r="D732" s="50" t="s">
        <v>1262</v>
      </c>
      <c r="E732" s="50">
        <v>800</v>
      </c>
      <c r="F732" s="50">
        <v>0</v>
      </c>
      <c r="G732" s="50">
        <v>16000</v>
      </c>
    </row>
    <row r="733" spans="1:7" ht="16.5" x14ac:dyDescent="0.25">
      <c r="A733" s="50">
        <v>732</v>
      </c>
      <c r="B733" s="50" t="s">
        <v>2312</v>
      </c>
      <c r="C733" s="50">
        <v>8</v>
      </c>
      <c r="D733" s="50" t="s">
        <v>1137</v>
      </c>
      <c r="E733" s="50">
        <v>1200</v>
      </c>
      <c r="F733" s="50">
        <v>5</v>
      </c>
      <c r="G733" s="50">
        <v>9120</v>
      </c>
    </row>
    <row r="734" spans="1:7" ht="16.5" x14ac:dyDescent="0.25">
      <c r="A734" s="50">
        <v>733</v>
      </c>
      <c r="B734" s="50" t="s">
        <v>2313</v>
      </c>
      <c r="C734" s="50">
        <v>11</v>
      </c>
      <c r="D734" s="50" t="s">
        <v>1201</v>
      </c>
      <c r="E734" s="50">
        <v>800</v>
      </c>
      <c r="F734" s="50">
        <v>10</v>
      </c>
      <c r="G734" s="50">
        <v>7920</v>
      </c>
    </row>
    <row r="735" spans="1:7" ht="16.5" x14ac:dyDescent="0.25">
      <c r="A735" s="50">
        <v>734</v>
      </c>
      <c r="B735" s="50" t="s">
        <v>2315</v>
      </c>
      <c r="C735" s="50">
        <v>16</v>
      </c>
      <c r="D735" s="50" t="s">
        <v>1187</v>
      </c>
      <c r="E735" s="50">
        <v>1200</v>
      </c>
      <c r="F735" s="50">
        <v>15</v>
      </c>
      <c r="G735" s="50">
        <v>16320</v>
      </c>
    </row>
    <row r="736" spans="1:7" ht="16.5" x14ac:dyDescent="0.25">
      <c r="A736" s="50">
        <v>735</v>
      </c>
      <c r="B736" s="50" t="s">
        <v>2317</v>
      </c>
      <c r="C736" s="50">
        <v>14</v>
      </c>
      <c r="D736" s="50" t="s">
        <v>1240</v>
      </c>
      <c r="E736" s="50">
        <v>1200</v>
      </c>
      <c r="F736" s="50">
        <v>10</v>
      </c>
      <c r="G736" s="50">
        <v>15120</v>
      </c>
    </row>
    <row r="737" spans="1:7" ht="16.5" x14ac:dyDescent="0.25">
      <c r="A737" s="50">
        <v>736</v>
      </c>
      <c r="B737" s="50" t="s">
        <v>2319</v>
      </c>
      <c r="C737" s="50">
        <v>2</v>
      </c>
      <c r="D737" s="50" t="s">
        <v>1342</v>
      </c>
      <c r="E737" s="50">
        <v>800</v>
      </c>
      <c r="F737" s="50">
        <v>0</v>
      </c>
      <c r="G737" s="50">
        <v>1600</v>
      </c>
    </row>
    <row r="738" spans="1:7" ht="16.5" x14ac:dyDescent="0.25">
      <c r="A738" s="50">
        <v>737</v>
      </c>
      <c r="B738" s="50" t="s">
        <v>2320</v>
      </c>
      <c r="C738" s="50">
        <v>9</v>
      </c>
      <c r="D738" s="50" t="s">
        <v>1192</v>
      </c>
      <c r="E738" s="50">
        <v>1500</v>
      </c>
      <c r="F738" s="50">
        <v>10</v>
      </c>
      <c r="G738" s="50">
        <v>12150</v>
      </c>
    </row>
    <row r="739" spans="1:7" ht="16.5" x14ac:dyDescent="0.25">
      <c r="A739" s="50">
        <v>738</v>
      </c>
      <c r="B739" s="50" t="s">
        <v>2322</v>
      </c>
      <c r="C739" s="50">
        <v>12</v>
      </c>
      <c r="D739" s="50" t="s">
        <v>1192</v>
      </c>
      <c r="E739" s="50">
        <v>1500</v>
      </c>
      <c r="F739" s="50">
        <v>10</v>
      </c>
      <c r="G739" s="50">
        <v>16200</v>
      </c>
    </row>
    <row r="740" spans="1:7" ht="16.5" x14ac:dyDescent="0.25">
      <c r="A740" s="50">
        <v>739</v>
      </c>
      <c r="B740" s="50" t="s">
        <v>2324</v>
      </c>
      <c r="C740" s="50">
        <v>14</v>
      </c>
      <c r="D740" s="50" t="s">
        <v>1192</v>
      </c>
      <c r="E740" s="50">
        <v>800</v>
      </c>
      <c r="F740" s="50">
        <v>10</v>
      </c>
      <c r="G740" s="50">
        <v>10080</v>
      </c>
    </row>
    <row r="741" spans="1:7" ht="16.5" x14ac:dyDescent="0.25">
      <c r="A741" s="50">
        <v>740</v>
      </c>
      <c r="B741" s="50" t="s">
        <v>2326</v>
      </c>
      <c r="C741" s="50">
        <v>7</v>
      </c>
      <c r="D741" s="50" t="s">
        <v>1152</v>
      </c>
      <c r="E741" s="50">
        <v>1200</v>
      </c>
      <c r="F741" s="50">
        <v>0</v>
      </c>
      <c r="G741" s="50">
        <v>8400</v>
      </c>
    </row>
    <row r="742" spans="1:7" ht="16.5" x14ac:dyDescent="0.25">
      <c r="A742" s="50">
        <v>741</v>
      </c>
      <c r="B742" s="50" t="s">
        <v>2327</v>
      </c>
      <c r="C742" s="50">
        <v>2</v>
      </c>
      <c r="D742" s="50" t="s">
        <v>1174</v>
      </c>
      <c r="E742" s="50">
        <v>1200</v>
      </c>
      <c r="F742" s="50">
        <v>5</v>
      </c>
      <c r="G742" s="50">
        <v>2280</v>
      </c>
    </row>
    <row r="743" spans="1:7" ht="16.5" x14ac:dyDescent="0.25">
      <c r="A743" s="50">
        <v>742</v>
      </c>
      <c r="B743" s="50" t="s">
        <v>2328</v>
      </c>
      <c r="C743" s="50">
        <v>1</v>
      </c>
      <c r="D743" s="50" t="s">
        <v>1161</v>
      </c>
      <c r="E743" s="50">
        <v>1200</v>
      </c>
      <c r="F743" s="50">
        <v>10</v>
      </c>
      <c r="G743" s="50">
        <v>1080</v>
      </c>
    </row>
    <row r="744" spans="1:7" ht="16.5" x14ac:dyDescent="0.25">
      <c r="A744" s="50">
        <v>743</v>
      </c>
      <c r="B744" s="50" t="s">
        <v>2329</v>
      </c>
      <c r="C744" s="50">
        <v>17</v>
      </c>
      <c r="D744" s="50" t="s">
        <v>1146</v>
      </c>
      <c r="E744" s="50">
        <v>800</v>
      </c>
      <c r="F744" s="50">
        <v>0</v>
      </c>
      <c r="G744" s="50">
        <v>13600</v>
      </c>
    </row>
    <row r="745" spans="1:7" ht="16.5" x14ac:dyDescent="0.25">
      <c r="A745" s="50">
        <v>744</v>
      </c>
      <c r="B745" s="50" t="s">
        <v>2330</v>
      </c>
      <c r="C745" s="50">
        <v>15</v>
      </c>
      <c r="D745" s="50" t="s">
        <v>1262</v>
      </c>
      <c r="E745" s="50">
        <v>1500</v>
      </c>
      <c r="F745" s="50">
        <v>0</v>
      </c>
      <c r="G745" s="50">
        <v>22500</v>
      </c>
    </row>
    <row r="746" spans="1:7" ht="16.5" x14ac:dyDescent="0.25">
      <c r="A746" s="50">
        <v>745</v>
      </c>
      <c r="B746" s="50" t="s">
        <v>2331</v>
      </c>
      <c r="C746" s="50">
        <v>4</v>
      </c>
      <c r="D746" s="50" t="s">
        <v>1218</v>
      </c>
      <c r="E746" s="50">
        <v>800</v>
      </c>
      <c r="F746" s="50">
        <v>15</v>
      </c>
      <c r="G746" s="50">
        <v>2720</v>
      </c>
    </row>
    <row r="747" spans="1:7" ht="16.5" x14ac:dyDescent="0.25">
      <c r="A747" s="50">
        <v>746</v>
      </c>
      <c r="B747" s="50" t="s">
        <v>2333</v>
      </c>
      <c r="C747" s="50">
        <v>2</v>
      </c>
      <c r="D747" s="50" t="s">
        <v>1198</v>
      </c>
      <c r="E747" s="50">
        <v>800</v>
      </c>
      <c r="F747" s="50">
        <v>5</v>
      </c>
      <c r="G747" s="50">
        <v>1520</v>
      </c>
    </row>
    <row r="748" spans="1:7" ht="16.5" x14ac:dyDescent="0.25">
      <c r="A748" s="50">
        <v>747</v>
      </c>
      <c r="B748" s="50" t="s">
        <v>2335</v>
      </c>
      <c r="C748" s="50">
        <v>18</v>
      </c>
      <c r="D748" s="50" t="s">
        <v>1201</v>
      </c>
      <c r="E748" s="50">
        <v>1200</v>
      </c>
      <c r="F748" s="50">
        <v>0</v>
      </c>
      <c r="G748" s="50">
        <v>21600</v>
      </c>
    </row>
    <row r="749" spans="1:7" ht="16.5" x14ac:dyDescent="0.25">
      <c r="A749" s="50">
        <v>748</v>
      </c>
      <c r="B749" s="50" t="s">
        <v>2336</v>
      </c>
      <c r="C749" s="50">
        <v>4</v>
      </c>
      <c r="D749" s="50" t="s">
        <v>1174</v>
      </c>
      <c r="E749" s="50">
        <v>1200</v>
      </c>
      <c r="F749" s="50">
        <v>10</v>
      </c>
      <c r="G749" s="50">
        <v>4320</v>
      </c>
    </row>
    <row r="750" spans="1:7" ht="16.5" x14ac:dyDescent="0.25">
      <c r="A750" s="50">
        <v>749</v>
      </c>
      <c r="B750" s="50" t="s">
        <v>2338</v>
      </c>
      <c r="C750" s="50">
        <v>20</v>
      </c>
      <c r="D750" s="50" t="s">
        <v>1201</v>
      </c>
      <c r="E750" s="50">
        <v>1500</v>
      </c>
      <c r="F750" s="50">
        <v>10</v>
      </c>
      <c r="G750" s="50">
        <v>27000</v>
      </c>
    </row>
    <row r="751" spans="1:7" ht="16.5" x14ac:dyDescent="0.25">
      <c r="A751" s="50">
        <v>750</v>
      </c>
      <c r="B751" s="50" t="s">
        <v>2340</v>
      </c>
      <c r="C751" s="50">
        <v>19</v>
      </c>
      <c r="D751" s="50" t="s">
        <v>1152</v>
      </c>
      <c r="E751" s="50">
        <v>1200</v>
      </c>
      <c r="F751" s="50">
        <v>10</v>
      </c>
      <c r="G751" s="50">
        <v>20520</v>
      </c>
    </row>
    <row r="752" spans="1:7" ht="16.5" x14ac:dyDescent="0.25">
      <c r="A752" s="50">
        <v>751</v>
      </c>
      <c r="B752" s="50" t="s">
        <v>2341</v>
      </c>
      <c r="C752" s="50">
        <v>6</v>
      </c>
      <c r="D752" s="50" t="s">
        <v>1262</v>
      </c>
      <c r="E752" s="50">
        <v>800</v>
      </c>
      <c r="F752" s="50">
        <v>5</v>
      </c>
      <c r="G752" s="50">
        <v>4560</v>
      </c>
    </row>
    <row r="753" spans="1:7" ht="16.5" x14ac:dyDescent="0.25">
      <c r="A753" s="50">
        <v>752</v>
      </c>
      <c r="B753" s="50" t="s">
        <v>2342</v>
      </c>
      <c r="C753" s="50">
        <v>12</v>
      </c>
      <c r="D753" s="50" t="s">
        <v>1262</v>
      </c>
      <c r="E753" s="50">
        <v>1500</v>
      </c>
      <c r="F753" s="50">
        <v>15</v>
      </c>
      <c r="G753" s="50">
        <v>15300</v>
      </c>
    </row>
    <row r="754" spans="1:7" ht="16.5" x14ac:dyDescent="0.25">
      <c r="A754" s="50">
        <v>753</v>
      </c>
      <c r="B754" s="50" t="s">
        <v>2343</v>
      </c>
      <c r="C754" s="50">
        <v>13</v>
      </c>
      <c r="D754" s="50" t="s">
        <v>1140</v>
      </c>
      <c r="E754" s="50">
        <v>800</v>
      </c>
      <c r="F754" s="50">
        <v>15</v>
      </c>
      <c r="G754" s="50">
        <v>8840</v>
      </c>
    </row>
    <row r="755" spans="1:7" ht="16.5" x14ac:dyDescent="0.25">
      <c r="A755" s="50">
        <v>754</v>
      </c>
      <c r="B755" s="50" t="s">
        <v>2345</v>
      </c>
      <c r="C755" s="50">
        <v>20</v>
      </c>
      <c r="D755" s="50" t="s">
        <v>1171</v>
      </c>
      <c r="E755" s="50">
        <v>1200</v>
      </c>
      <c r="F755" s="50">
        <v>10</v>
      </c>
      <c r="G755" s="50">
        <v>21600</v>
      </c>
    </row>
    <row r="756" spans="1:7" ht="16.5" x14ac:dyDescent="0.25">
      <c r="A756" s="50">
        <v>755</v>
      </c>
      <c r="B756" s="50" t="s">
        <v>2347</v>
      </c>
      <c r="C756" s="50">
        <v>15</v>
      </c>
      <c r="D756" s="50" t="s">
        <v>1155</v>
      </c>
      <c r="E756" s="50">
        <v>1200</v>
      </c>
      <c r="F756" s="50">
        <v>15</v>
      </c>
      <c r="G756" s="50">
        <v>15300</v>
      </c>
    </row>
    <row r="757" spans="1:7" ht="16.5" x14ac:dyDescent="0.25">
      <c r="A757" s="50">
        <v>756</v>
      </c>
      <c r="B757" s="50" t="s">
        <v>2349</v>
      </c>
      <c r="C757" s="50">
        <v>10</v>
      </c>
      <c r="D757" s="50" t="s">
        <v>1137</v>
      </c>
      <c r="E757" s="50">
        <v>1200</v>
      </c>
      <c r="F757" s="50">
        <v>5</v>
      </c>
      <c r="G757" s="50">
        <v>11400</v>
      </c>
    </row>
    <row r="758" spans="1:7" ht="16.5" x14ac:dyDescent="0.25">
      <c r="A758" s="50">
        <v>757</v>
      </c>
      <c r="B758" s="50" t="s">
        <v>2350</v>
      </c>
      <c r="C758" s="50">
        <v>2</v>
      </c>
      <c r="D758" s="50" t="s">
        <v>1149</v>
      </c>
      <c r="E758" s="50">
        <v>1200</v>
      </c>
      <c r="F758" s="50">
        <v>0</v>
      </c>
      <c r="G758" s="50">
        <v>2400</v>
      </c>
    </row>
    <row r="759" spans="1:7" ht="16.5" x14ac:dyDescent="0.25">
      <c r="A759" s="50">
        <v>758</v>
      </c>
      <c r="B759" s="50" t="s">
        <v>2351</v>
      </c>
      <c r="C759" s="50">
        <v>16</v>
      </c>
      <c r="D759" s="50" t="s">
        <v>1240</v>
      </c>
      <c r="E759" s="50">
        <v>1500</v>
      </c>
      <c r="F759" s="50">
        <v>0</v>
      </c>
      <c r="G759" s="50">
        <v>24000</v>
      </c>
    </row>
    <row r="760" spans="1:7" ht="16.5" x14ac:dyDescent="0.25">
      <c r="A760" s="50">
        <v>759</v>
      </c>
      <c r="B760" s="50" t="s">
        <v>2353</v>
      </c>
      <c r="C760" s="50">
        <v>4</v>
      </c>
      <c r="D760" s="50" t="s">
        <v>1201</v>
      </c>
      <c r="E760" s="50">
        <v>1200</v>
      </c>
      <c r="F760" s="50">
        <v>0</v>
      </c>
      <c r="G760" s="50">
        <v>4800</v>
      </c>
    </row>
    <row r="761" spans="1:7" ht="16.5" x14ac:dyDescent="0.25">
      <c r="A761" s="50">
        <v>760</v>
      </c>
      <c r="B761" s="50" t="s">
        <v>2354</v>
      </c>
      <c r="C761" s="50">
        <v>15</v>
      </c>
      <c r="D761" s="50" t="s">
        <v>1192</v>
      </c>
      <c r="E761" s="50">
        <v>1200</v>
      </c>
      <c r="F761" s="50">
        <v>15</v>
      </c>
      <c r="G761" s="50">
        <v>15300</v>
      </c>
    </row>
    <row r="762" spans="1:7" ht="16.5" x14ac:dyDescent="0.25">
      <c r="A762" s="50">
        <v>761</v>
      </c>
      <c r="B762" s="50" t="s">
        <v>2356</v>
      </c>
      <c r="C762" s="50">
        <v>12</v>
      </c>
      <c r="D762" s="50" t="s">
        <v>1140</v>
      </c>
      <c r="E762" s="50">
        <v>800</v>
      </c>
      <c r="F762" s="50">
        <v>0</v>
      </c>
      <c r="G762" s="50">
        <v>9600</v>
      </c>
    </row>
    <row r="763" spans="1:7" ht="16.5" x14ac:dyDescent="0.25">
      <c r="A763" s="50">
        <v>762</v>
      </c>
      <c r="B763" s="50" t="s">
        <v>2357</v>
      </c>
      <c r="C763" s="50">
        <v>4</v>
      </c>
      <c r="D763" s="50" t="s">
        <v>1149</v>
      </c>
      <c r="E763" s="50">
        <v>800</v>
      </c>
      <c r="F763" s="50">
        <v>5</v>
      </c>
      <c r="G763" s="50">
        <v>3040</v>
      </c>
    </row>
    <row r="764" spans="1:7" ht="16.5" x14ac:dyDescent="0.25">
      <c r="A764" s="50">
        <v>763</v>
      </c>
      <c r="B764" s="50" t="s">
        <v>2358</v>
      </c>
      <c r="C764" s="50">
        <v>8</v>
      </c>
      <c r="D764" s="50" t="s">
        <v>1229</v>
      </c>
      <c r="E764" s="50">
        <v>800</v>
      </c>
      <c r="F764" s="50">
        <v>0</v>
      </c>
      <c r="G764" s="50">
        <v>6400</v>
      </c>
    </row>
    <row r="765" spans="1:7" ht="16.5" x14ac:dyDescent="0.25">
      <c r="A765" s="50">
        <v>764</v>
      </c>
      <c r="B765" s="50" t="s">
        <v>2359</v>
      </c>
      <c r="C765" s="50">
        <v>14</v>
      </c>
      <c r="D765" s="50" t="s">
        <v>1155</v>
      </c>
      <c r="E765" s="50">
        <v>1200</v>
      </c>
      <c r="F765" s="50">
        <v>10</v>
      </c>
      <c r="G765" s="50">
        <v>15120</v>
      </c>
    </row>
    <row r="766" spans="1:7" ht="16.5" x14ac:dyDescent="0.25">
      <c r="A766" s="50">
        <v>765</v>
      </c>
      <c r="B766" s="50" t="s">
        <v>2360</v>
      </c>
      <c r="C766" s="50">
        <v>9</v>
      </c>
      <c r="D766" s="50" t="s">
        <v>1158</v>
      </c>
      <c r="E766" s="50">
        <v>1200</v>
      </c>
      <c r="F766" s="50">
        <v>0</v>
      </c>
      <c r="G766" s="50">
        <v>10800</v>
      </c>
    </row>
    <row r="767" spans="1:7" ht="16.5" x14ac:dyDescent="0.25">
      <c r="A767" s="50">
        <v>766</v>
      </c>
      <c r="B767" s="50" t="s">
        <v>2361</v>
      </c>
      <c r="C767" s="50">
        <v>18</v>
      </c>
      <c r="D767" s="50" t="s">
        <v>1137</v>
      </c>
      <c r="E767" s="50">
        <v>1200</v>
      </c>
      <c r="F767" s="50">
        <v>10</v>
      </c>
      <c r="G767" s="50">
        <v>19440</v>
      </c>
    </row>
    <row r="768" spans="1:7" ht="16.5" x14ac:dyDescent="0.25">
      <c r="A768" s="50">
        <v>767</v>
      </c>
      <c r="B768" s="50" t="s">
        <v>2362</v>
      </c>
      <c r="C768" s="50">
        <v>8</v>
      </c>
      <c r="D768" s="50" t="s">
        <v>1161</v>
      </c>
      <c r="E768" s="50">
        <v>1200</v>
      </c>
      <c r="F768" s="50">
        <v>15</v>
      </c>
      <c r="G768" s="50">
        <v>8160</v>
      </c>
    </row>
    <row r="769" spans="1:7" ht="16.5" x14ac:dyDescent="0.25">
      <c r="A769" s="50">
        <v>768</v>
      </c>
      <c r="B769" s="50" t="s">
        <v>2363</v>
      </c>
      <c r="C769" s="50">
        <v>12</v>
      </c>
      <c r="D769" s="50" t="s">
        <v>1262</v>
      </c>
      <c r="E769" s="50">
        <v>800</v>
      </c>
      <c r="F769" s="50">
        <v>15</v>
      </c>
      <c r="G769" s="50">
        <v>8160</v>
      </c>
    </row>
    <row r="770" spans="1:7" ht="16.5" x14ac:dyDescent="0.25">
      <c r="A770" s="50">
        <v>769</v>
      </c>
      <c r="B770" s="50" t="s">
        <v>2364</v>
      </c>
      <c r="C770" s="50">
        <v>1</v>
      </c>
      <c r="D770" s="50" t="s">
        <v>1192</v>
      </c>
      <c r="E770" s="50">
        <v>1500</v>
      </c>
      <c r="F770" s="50">
        <v>15</v>
      </c>
      <c r="G770" s="50">
        <v>1275</v>
      </c>
    </row>
    <row r="771" spans="1:7" ht="16.5" x14ac:dyDescent="0.25">
      <c r="A771" s="50">
        <v>770</v>
      </c>
      <c r="B771" s="50" t="s">
        <v>2365</v>
      </c>
      <c r="C771" s="50">
        <v>8</v>
      </c>
      <c r="D771" s="50" t="s">
        <v>1149</v>
      </c>
      <c r="E771" s="50">
        <v>800</v>
      </c>
      <c r="F771" s="50">
        <v>10</v>
      </c>
      <c r="G771" s="50">
        <v>5760</v>
      </c>
    </row>
    <row r="772" spans="1:7" ht="16.5" x14ac:dyDescent="0.25">
      <c r="A772" s="50">
        <v>771</v>
      </c>
      <c r="B772" s="50" t="s">
        <v>2366</v>
      </c>
      <c r="C772" s="50">
        <v>20</v>
      </c>
      <c r="D772" s="50" t="s">
        <v>1240</v>
      </c>
      <c r="E772" s="50">
        <v>1200</v>
      </c>
      <c r="F772" s="50">
        <v>0</v>
      </c>
      <c r="G772" s="50">
        <v>24000</v>
      </c>
    </row>
    <row r="773" spans="1:7" ht="16.5" x14ac:dyDescent="0.25">
      <c r="A773" s="50">
        <v>772</v>
      </c>
      <c r="B773" s="50" t="s">
        <v>2368</v>
      </c>
      <c r="C773" s="50">
        <v>20</v>
      </c>
      <c r="D773" s="50" t="s">
        <v>1166</v>
      </c>
      <c r="E773" s="50">
        <v>1200</v>
      </c>
      <c r="F773" s="50">
        <v>10</v>
      </c>
      <c r="G773" s="50">
        <v>21600</v>
      </c>
    </row>
    <row r="774" spans="1:7" ht="16.5" x14ac:dyDescent="0.25">
      <c r="A774" s="50">
        <v>773</v>
      </c>
      <c r="B774" s="50" t="s">
        <v>2370</v>
      </c>
      <c r="C774" s="50">
        <v>12</v>
      </c>
      <c r="D774" s="50" t="s">
        <v>1240</v>
      </c>
      <c r="E774" s="50">
        <v>800</v>
      </c>
      <c r="F774" s="50">
        <v>15</v>
      </c>
      <c r="G774" s="50">
        <v>8160</v>
      </c>
    </row>
    <row r="775" spans="1:7" ht="16.5" x14ac:dyDescent="0.25">
      <c r="A775" s="50">
        <v>774</v>
      </c>
      <c r="B775" s="50" t="s">
        <v>2371</v>
      </c>
      <c r="C775" s="50">
        <v>10</v>
      </c>
      <c r="D775" s="50" t="s">
        <v>1192</v>
      </c>
      <c r="E775" s="50">
        <v>1200</v>
      </c>
      <c r="F775" s="50">
        <v>10</v>
      </c>
      <c r="G775" s="50">
        <v>10800</v>
      </c>
    </row>
    <row r="776" spans="1:7" ht="16.5" x14ac:dyDescent="0.25">
      <c r="A776" s="50">
        <v>775</v>
      </c>
      <c r="B776" s="50" t="s">
        <v>2372</v>
      </c>
      <c r="C776" s="50">
        <v>15</v>
      </c>
      <c r="D776" s="50" t="s">
        <v>1152</v>
      </c>
      <c r="E776" s="50">
        <v>1200</v>
      </c>
      <c r="F776" s="50">
        <v>10</v>
      </c>
      <c r="G776" s="50">
        <v>16200</v>
      </c>
    </row>
    <row r="777" spans="1:7" ht="16.5" x14ac:dyDescent="0.25">
      <c r="A777" s="50">
        <v>776</v>
      </c>
      <c r="B777" s="50" t="s">
        <v>2373</v>
      </c>
      <c r="C777" s="50">
        <v>20</v>
      </c>
      <c r="D777" s="50" t="s">
        <v>1171</v>
      </c>
      <c r="E777" s="50">
        <v>1200</v>
      </c>
      <c r="F777" s="50">
        <v>10</v>
      </c>
      <c r="G777" s="50">
        <v>21600</v>
      </c>
    </row>
    <row r="778" spans="1:7" ht="16.5" x14ac:dyDescent="0.25">
      <c r="A778" s="50">
        <v>777</v>
      </c>
      <c r="B778" s="50" t="s">
        <v>2374</v>
      </c>
      <c r="C778" s="50">
        <v>10</v>
      </c>
      <c r="D778" s="50" t="s">
        <v>1218</v>
      </c>
      <c r="E778" s="50">
        <v>1500</v>
      </c>
      <c r="F778" s="50">
        <v>0</v>
      </c>
      <c r="G778" s="50">
        <v>15000</v>
      </c>
    </row>
    <row r="779" spans="1:7" ht="16.5" x14ac:dyDescent="0.25">
      <c r="A779" s="50">
        <v>778</v>
      </c>
      <c r="B779" s="50" t="s">
        <v>2375</v>
      </c>
      <c r="C779" s="50">
        <v>12</v>
      </c>
      <c r="D779" s="50" t="s">
        <v>1166</v>
      </c>
      <c r="E779" s="50">
        <v>1200</v>
      </c>
      <c r="F779" s="50">
        <v>5</v>
      </c>
      <c r="G779" s="50">
        <v>13680</v>
      </c>
    </row>
    <row r="780" spans="1:7" ht="16.5" x14ac:dyDescent="0.25">
      <c r="A780" s="50">
        <v>779</v>
      </c>
      <c r="B780" s="50" t="s">
        <v>2376</v>
      </c>
      <c r="C780" s="50">
        <v>1</v>
      </c>
      <c r="D780" s="50" t="s">
        <v>1158</v>
      </c>
      <c r="E780" s="50">
        <v>1200</v>
      </c>
      <c r="F780" s="50">
        <v>5</v>
      </c>
      <c r="G780" s="50">
        <v>1140</v>
      </c>
    </row>
    <row r="781" spans="1:7" ht="16.5" x14ac:dyDescent="0.25">
      <c r="A781" s="50">
        <v>780</v>
      </c>
      <c r="B781" s="50" t="s">
        <v>2377</v>
      </c>
      <c r="C781" s="50">
        <v>17</v>
      </c>
      <c r="D781" s="50" t="s">
        <v>1161</v>
      </c>
      <c r="E781" s="50">
        <v>1200</v>
      </c>
      <c r="F781" s="50">
        <v>10</v>
      </c>
      <c r="G781" s="50">
        <v>18360</v>
      </c>
    </row>
    <row r="782" spans="1:7" ht="16.5" x14ac:dyDescent="0.25">
      <c r="A782" s="50">
        <v>781</v>
      </c>
      <c r="B782" s="50" t="s">
        <v>2379</v>
      </c>
      <c r="C782" s="50">
        <v>18</v>
      </c>
      <c r="D782" s="50" t="s">
        <v>1342</v>
      </c>
      <c r="E782" s="50">
        <v>1200</v>
      </c>
      <c r="F782" s="50">
        <v>0</v>
      </c>
      <c r="G782" s="50">
        <v>21600</v>
      </c>
    </row>
    <row r="783" spans="1:7" ht="16.5" x14ac:dyDescent="0.25">
      <c r="A783" s="50">
        <v>782</v>
      </c>
      <c r="B783" s="50" t="s">
        <v>2380</v>
      </c>
      <c r="C783" s="50">
        <v>2</v>
      </c>
      <c r="D783" s="50" t="s">
        <v>1143</v>
      </c>
      <c r="E783" s="50">
        <v>1500</v>
      </c>
      <c r="F783" s="50">
        <v>5</v>
      </c>
      <c r="G783" s="50">
        <v>2850</v>
      </c>
    </row>
    <row r="784" spans="1:7" ht="16.5" x14ac:dyDescent="0.25">
      <c r="A784" s="50">
        <v>783</v>
      </c>
      <c r="B784" s="50" t="s">
        <v>2381</v>
      </c>
      <c r="C784" s="50">
        <v>2</v>
      </c>
      <c r="D784" s="50" t="s">
        <v>1161</v>
      </c>
      <c r="E784" s="50">
        <v>1500</v>
      </c>
      <c r="F784" s="50">
        <v>5</v>
      </c>
      <c r="G784" s="50">
        <v>2850</v>
      </c>
    </row>
    <row r="785" spans="1:7" ht="16.5" x14ac:dyDescent="0.25">
      <c r="A785" s="50">
        <v>784</v>
      </c>
      <c r="B785" s="50" t="s">
        <v>2382</v>
      </c>
      <c r="C785" s="50">
        <v>5</v>
      </c>
      <c r="D785" s="50" t="s">
        <v>1174</v>
      </c>
      <c r="E785" s="50">
        <v>1500</v>
      </c>
      <c r="F785" s="50">
        <v>5</v>
      </c>
      <c r="G785" s="50">
        <v>7125</v>
      </c>
    </row>
    <row r="786" spans="1:7" ht="16.5" x14ac:dyDescent="0.25">
      <c r="A786" s="50">
        <v>785</v>
      </c>
      <c r="B786" s="50" t="s">
        <v>2383</v>
      </c>
      <c r="C786" s="50">
        <v>10</v>
      </c>
      <c r="D786" s="50" t="s">
        <v>1149</v>
      </c>
      <c r="E786" s="50">
        <v>800</v>
      </c>
      <c r="F786" s="50">
        <v>5</v>
      </c>
      <c r="G786" s="50">
        <v>7600</v>
      </c>
    </row>
    <row r="787" spans="1:7" ht="16.5" x14ac:dyDescent="0.25">
      <c r="A787" s="50">
        <v>786</v>
      </c>
      <c r="B787" s="50" t="s">
        <v>2385</v>
      </c>
      <c r="C787" s="50">
        <v>11</v>
      </c>
      <c r="D787" s="50" t="s">
        <v>1158</v>
      </c>
      <c r="E787" s="50">
        <v>1500</v>
      </c>
      <c r="F787" s="50">
        <v>0</v>
      </c>
      <c r="G787" s="50">
        <v>16500</v>
      </c>
    </row>
    <row r="788" spans="1:7" ht="16.5" x14ac:dyDescent="0.25">
      <c r="A788" s="50">
        <v>787</v>
      </c>
      <c r="B788" s="50" t="s">
        <v>2386</v>
      </c>
      <c r="C788" s="50">
        <v>15</v>
      </c>
      <c r="D788" s="50" t="s">
        <v>1161</v>
      </c>
      <c r="E788" s="50">
        <v>1500</v>
      </c>
      <c r="F788" s="50">
        <v>0</v>
      </c>
      <c r="G788" s="50">
        <v>22500</v>
      </c>
    </row>
    <row r="789" spans="1:7" ht="16.5" x14ac:dyDescent="0.25">
      <c r="A789" s="50">
        <v>788</v>
      </c>
      <c r="B789" s="50" t="s">
        <v>2387</v>
      </c>
      <c r="C789" s="50">
        <v>17</v>
      </c>
      <c r="D789" s="50" t="s">
        <v>1218</v>
      </c>
      <c r="E789" s="50">
        <v>800</v>
      </c>
      <c r="F789" s="50">
        <v>10</v>
      </c>
      <c r="G789" s="50">
        <v>12240</v>
      </c>
    </row>
    <row r="790" spans="1:7" ht="16.5" x14ac:dyDescent="0.25">
      <c r="A790" s="50">
        <v>789</v>
      </c>
      <c r="B790" s="50" t="s">
        <v>2388</v>
      </c>
      <c r="C790" s="50">
        <v>7</v>
      </c>
      <c r="D790" s="50" t="s">
        <v>1342</v>
      </c>
      <c r="E790" s="50">
        <v>1500</v>
      </c>
      <c r="F790" s="50">
        <v>15</v>
      </c>
      <c r="G790" s="50">
        <v>8925</v>
      </c>
    </row>
    <row r="791" spans="1:7" ht="16.5" x14ac:dyDescent="0.25">
      <c r="A791" s="50">
        <v>790</v>
      </c>
      <c r="B791" s="50" t="s">
        <v>2389</v>
      </c>
      <c r="C791" s="50">
        <v>19</v>
      </c>
      <c r="D791" s="50" t="s">
        <v>1152</v>
      </c>
      <c r="E791" s="50">
        <v>1200</v>
      </c>
      <c r="F791" s="50">
        <v>15</v>
      </c>
      <c r="G791" s="50">
        <v>19380</v>
      </c>
    </row>
    <row r="792" spans="1:7" ht="16.5" x14ac:dyDescent="0.25">
      <c r="A792" s="50">
        <v>791</v>
      </c>
      <c r="B792" s="50" t="s">
        <v>2391</v>
      </c>
      <c r="C792" s="50">
        <v>20</v>
      </c>
      <c r="D792" s="50" t="s">
        <v>1342</v>
      </c>
      <c r="E792" s="50">
        <v>1200</v>
      </c>
      <c r="F792" s="50">
        <v>5</v>
      </c>
      <c r="G792" s="50">
        <v>22800</v>
      </c>
    </row>
    <row r="793" spans="1:7" ht="16.5" x14ac:dyDescent="0.25">
      <c r="A793" s="50">
        <v>792</v>
      </c>
      <c r="B793" s="50" t="s">
        <v>2393</v>
      </c>
      <c r="C793" s="50">
        <v>13</v>
      </c>
      <c r="D793" s="50" t="s">
        <v>1149</v>
      </c>
      <c r="E793" s="50">
        <v>1500</v>
      </c>
      <c r="F793" s="50">
        <v>5</v>
      </c>
      <c r="G793" s="50">
        <v>18525</v>
      </c>
    </row>
    <row r="794" spans="1:7" ht="16.5" x14ac:dyDescent="0.25">
      <c r="A794" s="50">
        <v>793</v>
      </c>
      <c r="B794" s="50" t="s">
        <v>2395</v>
      </c>
      <c r="C794" s="50">
        <v>14</v>
      </c>
      <c r="D794" s="50" t="s">
        <v>1155</v>
      </c>
      <c r="E794" s="50">
        <v>800</v>
      </c>
      <c r="F794" s="50">
        <v>15</v>
      </c>
      <c r="G794" s="50">
        <v>9520</v>
      </c>
    </row>
    <row r="795" spans="1:7" ht="16.5" x14ac:dyDescent="0.25">
      <c r="A795" s="50">
        <v>794</v>
      </c>
      <c r="B795" s="50" t="s">
        <v>2396</v>
      </c>
      <c r="C795" s="50">
        <v>10</v>
      </c>
      <c r="D795" s="50" t="s">
        <v>1198</v>
      </c>
      <c r="E795" s="50">
        <v>1500</v>
      </c>
      <c r="F795" s="50">
        <v>10</v>
      </c>
      <c r="G795" s="50">
        <v>13500</v>
      </c>
    </row>
    <row r="796" spans="1:7" ht="16.5" x14ac:dyDescent="0.25">
      <c r="A796" s="50">
        <v>795</v>
      </c>
      <c r="B796" s="50" t="s">
        <v>2397</v>
      </c>
      <c r="C796" s="50">
        <v>11</v>
      </c>
      <c r="D796" s="50" t="s">
        <v>1161</v>
      </c>
      <c r="E796" s="50">
        <v>1500</v>
      </c>
      <c r="F796" s="50">
        <v>10</v>
      </c>
      <c r="G796" s="50">
        <v>14850</v>
      </c>
    </row>
    <row r="797" spans="1:7" ht="16.5" x14ac:dyDescent="0.25">
      <c r="A797" s="50">
        <v>796</v>
      </c>
      <c r="B797" s="50" t="s">
        <v>2398</v>
      </c>
      <c r="C797" s="50">
        <v>7</v>
      </c>
      <c r="D797" s="50" t="s">
        <v>1143</v>
      </c>
      <c r="E797" s="50">
        <v>1500</v>
      </c>
      <c r="F797" s="50">
        <v>0</v>
      </c>
      <c r="G797" s="50">
        <v>10500</v>
      </c>
    </row>
    <row r="798" spans="1:7" ht="16.5" x14ac:dyDescent="0.25">
      <c r="A798" s="50">
        <v>797</v>
      </c>
      <c r="B798" s="50" t="s">
        <v>2400</v>
      </c>
      <c r="C798" s="50">
        <v>10</v>
      </c>
      <c r="D798" s="50" t="s">
        <v>1229</v>
      </c>
      <c r="E798" s="50">
        <v>1200</v>
      </c>
      <c r="F798" s="50">
        <v>5</v>
      </c>
      <c r="G798" s="50">
        <v>11400</v>
      </c>
    </row>
    <row r="799" spans="1:7" ht="16.5" x14ac:dyDescent="0.25">
      <c r="A799" s="50">
        <v>798</v>
      </c>
      <c r="B799" s="50" t="s">
        <v>2401</v>
      </c>
      <c r="C799" s="50">
        <v>15</v>
      </c>
      <c r="D799" s="50" t="s">
        <v>1137</v>
      </c>
      <c r="E799" s="50">
        <v>1500</v>
      </c>
      <c r="F799" s="50">
        <v>0</v>
      </c>
      <c r="G799" s="50">
        <v>22500</v>
      </c>
    </row>
    <row r="800" spans="1:7" ht="16.5" x14ac:dyDescent="0.25">
      <c r="A800" s="50">
        <v>799</v>
      </c>
      <c r="B800" s="50" t="s">
        <v>2403</v>
      </c>
      <c r="C800" s="50">
        <v>13</v>
      </c>
      <c r="D800" s="50" t="s">
        <v>1155</v>
      </c>
      <c r="E800" s="50">
        <v>1500</v>
      </c>
      <c r="F800" s="50">
        <v>5</v>
      </c>
      <c r="G800" s="50">
        <v>18525</v>
      </c>
    </row>
    <row r="801" spans="1:7" ht="16.5" x14ac:dyDescent="0.25">
      <c r="A801" s="50">
        <v>800</v>
      </c>
      <c r="B801" s="50" t="s">
        <v>2404</v>
      </c>
      <c r="C801" s="50">
        <v>15</v>
      </c>
      <c r="D801" s="50" t="s">
        <v>1174</v>
      </c>
      <c r="E801" s="50">
        <v>800</v>
      </c>
      <c r="F801" s="50">
        <v>10</v>
      </c>
      <c r="G801" s="50">
        <v>10800</v>
      </c>
    </row>
    <row r="802" spans="1:7" ht="16.5" x14ac:dyDescent="0.25">
      <c r="A802" s="50">
        <v>801</v>
      </c>
      <c r="B802" s="50" t="s">
        <v>2405</v>
      </c>
      <c r="C802" s="50">
        <v>19</v>
      </c>
      <c r="D802" s="50" t="s">
        <v>1198</v>
      </c>
      <c r="E802" s="50">
        <v>1500</v>
      </c>
      <c r="F802" s="50">
        <v>5</v>
      </c>
      <c r="G802" s="50">
        <v>27075</v>
      </c>
    </row>
    <row r="803" spans="1:7" ht="16.5" x14ac:dyDescent="0.25">
      <c r="A803" s="50">
        <v>802</v>
      </c>
      <c r="B803" s="50" t="s">
        <v>2406</v>
      </c>
      <c r="C803" s="50">
        <v>1</v>
      </c>
      <c r="D803" s="50" t="s">
        <v>1140</v>
      </c>
      <c r="E803" s="50">
        <v>1500</v>
      </c>
      <c r="F803" s="50">
        <v>10</v>
      </c>
      <c r="G803" s="50">
        <v>1350</v>
      </c>
    </row>
    <row r="804" spans="1:7" ht="16.5" x14ac:dyDescent="0.25">
      <c r="A804" s="50">
        <v>803</v>
      </c>
      <c r="B804" s="50" t="s">
        <v>2408</v>
      </c>
      <c r="C804" s="50">
        <v>17</v>
      </c>
      <c r="D804" s="50" t="s">
        <v>1174</v>
      </c>
      <c r="E804" s="50">
        <v>1500</v>
      </c>
      <c r="F804" s="50">
        <v>15</v>
      </c>
      <c r="G804" s="50">
        <v>21675</v>
      </c>
    </row>
    <row r="805" spans="1:7" ht="16.5" x14ac:dyDescent="0.25">
      <c r="A805" s="50">
        <v>804</v>
      </c>
      <c r="B805" s="50" t="s">
        <v>2409</v>
      </c>
      <c r="C805" s="50">
        <v>16</v>
      </c>
      <c r="D805" s="50" t="s">
        <v>1198</v>
      </c>
      <c r="E805" s="50">
        <v>1200</v>
      </c>
      <c r="F805" s="50">
        <v>5</v>
      </c>
      <c r="G805" s="50">
        <v>18240</v>
      </c>
    </row>
    <row r="806" spans="1:7" ht="16.5" x14ac:dyDescent="0.25">
      <c r="A806" s="50">
        <v>805</v>
      </c>
      <c r="B806" s="50" t="s">
        <v>2410</v>
      </c>
      <c r="C806" s="50">
        <v>1</v>
      </c>
      <c r="D806" s="50" t="s">
        <v>1187</v>
      </c>
      <c r="E806" s="50">
        <v>1500</v>
      </c>
      <c r="F806" s="50">
        <v>0</v>
      </c>
      <c r="G806" s="50">
        <v>1500</v>
      </c>
    </row>
    <row r="807" spans="1:7" ht="16.5" x14ac:dyDescent="0.25">
      <c r="A807" s="50">
        <v>806</v>
      </c>
      <c r="B807" s="50" t="s">
        <v>2411</v>
      </c>
      <c r="C807" s="50">
        <v>3</v>
      </c>
      <c r="D807" s="50" t="s">
        <v>1342</v>
      </c>
      <c r="E807" s="50">
        <v>1500</v>
      </c>
      <c r="F807" s="50">
        <v>15</v>
      </c>
      <c r="G807" s="50">
        <v>3825</v>
      </c>
    </row>
    <row r="808" spans="1:7" ht="16.5" x14ac:dyDescent="0.25">
      <c r="A808" s="50">
        <v>807</v>
      </c>
      <c r="B808" s="50" t="s">
        <v>2413</v>
      </c>
      <c r="C808" s="50">
        <v>7</v>
      </c>
      <c r="D808" s="50" t="s">
        <v>1262</v>
      </c>
      <c r="E808" s="50">
        <v>800</v>
      </c>
      <c r="F808" s="50">
        <v>0</v>
      </c>
      <c r="G808" s="50">
        <v>5600</v>
      </c>
    </row>
    <row r="809" spans="1:7" ht="16.5" x14ac:dyDescent="0.25">
      <c r="A809" s="50">
        <v>808</v>
      </c>
      <c r="B809" s="50" t="s">
        <v>2414</v>
      </c>
      <c r="C809" s="50">
        <v>1</v>
      </c>
      <c r="D809" s="50" t="s">
        <v>1166</v>
      </c>
      <c r="E809" s="50">
        <v>1200</v>
      </c>
      <c r="F809" s="50">
        <v>15</v>
      </c>
      <c r="G809" s="50">
        <v>1020</v>
      </c>
    </row>
    <row r="810" spans="1:7" ht="16.5" x14ac:dyDescent="0.25">
      <c r="A810" s="50">
        <v>809</v>
      </c>
      <c r="B810" s="50" t="s">
        <v>2415</v>
      </c>
      <c r="C810" s="50">
        <v>20</v>
      </c>
      <c r="D810" s="50" t="s">
        <v>1198</v>
      </c>
      <c r="E810" s="50">
        <v>800</v>
      </c>
      <c r="F810" s="50">
        <v>10</v>
      </c>
      <c r="G810" s="50">
        <v>14400</v>
      </c>
    </row>
    <row r="811" spans="1:7" ht="16.5" x14ac:dyDescent="0.25">
      <c r="A811" s="50">
        <v>810</v>
      </c>
      <c r="B811" s="50" t="s">
        <v>2417</v>
      </c>
      <c r="C811" s="50">
        <v>10</v>
      </c>
      <c r="D811" s="50" t="s">
        <v>1161</v>
      </c>
      <c r="E811" s="50">
        <v>1200</v>
      </c>
      <c r="F811" s="50">
        <v>10</v>
      </c>
      <c r="G811" s="50">
        <v>10800</v>
      </c>
    </row>
    <row r="812" spans="1:7" ht="16.5" x14ac:dyDescent="0.25">
      <c r="A812" s="50">
        <v>811</v>
      </c>
      <c r="B812" s="50" t="s">
        <v>2418</v>
      </c>
      <c r="C812" s="50">
        <v>11</v>
      </c>
      <c r="D812" s="50" t="s">
        <v>1143</v>
      </c>
      <c r="E812" s="50">
        <v>1500</v>
      </c>
      <c r="F812" s="50">
        <v>15</v>
      </c>
      <c r="G812" s="50">
        <v>14025</v>
      </c>
    </row>
    <row r="813" spans="1:7" ht="16.5" x14ac:dyDescent="0.25">
      <c r="A813" s="50">
        <v>812</v>
      </c>
      <c r="B813" s="50" t="s">
        <v>2419</v>
      </c>
      <c r="C813" s="50">
        <v>18</v>
      </c>
      <c r="D813" s="50" t="s">
        <v>1152</v>
      </c>
      <c r="E813" s="50">
        <v>800</v>
      </c>
      <c r="F813" s="50">
        <v>10</v>
      </c>
      <c r="G813" s="50">
        <v>12960</v>
      </c>
    </row>
    <row r="814" spans="1:7" ht="16.5" x14ac:dyDescent="0.25">
      <c r="A814" s="50">
        <v>813</v>
      </c>
      <c r="B814" s="50" t="s">
        <v>2420</v>
      </c>
      <c r="C814" s="50">
        <v>7</v>
      </c>
      <c r="D814" s="50" t="s">
        <v>1143</v>
      </c>
      <c r="E814" s="50">
        <v>800</v>
      </c>
      <c r="F814" s="50">
        <v>0</v>
      </c>
      <c r="G814" s="50">
        <v>5600</v>
      </c>
    </row>
    <row r="815" spans="1:7" ht="16.5" x14ac:dyDescent="0.25">
      <c r="A815" s="50">
        <v>814</v>
      </c>
      <c r="B815" s="50" t="s">
        <v>2421</v>
      </c>
      <c r="C815" s="50">
        <v>11</v>
      </c>
      <c r="D815" s="50" t="s">
        <v>1229</v>
      </c>
      <c r="E815" s="50">
        <v>1500</v>
      </c>
      <c r="F815" s="50">
        <v>0</v>
      </c>
      <c r="G815" s="50">
        <v>16500</v>
      </c>
    </row>
    <row r="816" spans="1:7" ht="16.5" x14ac:dyDescent="0.25">
      <c r="A816" s="50">
        <v>815</v>
      </c>
      <c r="B816" s="50" t="s">
        <v>2422</v>
      </c>
      <c r="C816" s="50">
        <v>1</v>
      </c>
      <c r="D816" s="50" t="s">
        <v>1192</v>
      </c>
      <c r="E816" s="50">
        <v>1500</v>
      </c>
      <c r="F816" s="50">
        <v>15</v>
      </c>
      <c r="G816" s="50">
        <v>1275</v>
      </c>
    </row>
    <row r="817" spans="1:7" ht="16.5" x14ac:dyDescent="0.25">
      <c r="A817" s="50">
        <v>816</v>
      </c>
      <c r="B817" s="50" t="s">
        <v>2423</v>
      </c>
      <c r="C817" s="50">
        <v>15</v>
      </c>
      <c r="D817" s="50" t="s">
        <v>1342</v>
      </c>
      <c r="E817" s="50">
        <v>800</v>
      </c>
      <c r="F817" s="50">
        <v>5</v>
      </c>
      <c r="G817" s="50">
        <v>11400</v>
      </c>
    </row>
    <row r="818" spans="1:7" ht="16.5" x14ac:dyDescent="0.25">
      <c r="A818" s="50">
        <v>817</v>
      </c>
      <c r="B818" s="50" t="s">
        <v>2424</v>
      </c>
      <c r="C818" s="50">
        <v>20</v>
      </c>
      <c r="D818" s="50" t="s">
        <v>1158</v>
      </c>
      <c r="E818" s="50">
        <v>1200</v>
      </c>
      <c r="F818" s="50">
        <v>15</v>
      </c>
      <c r="G818" s="50">
        <v>20400</v>
      </c>
    </row>
    <row r="819" spans="1:7" ht="16.5" x14ac:dyDescent="0.25">
      <c r="A819" s="50">
        <v>818</v>
      </c>
      <c r="B819" s="50" t="s">
        <v>2425</v>
      </c>
      <c r="C819" s="50">
        <v>12</v>
      </c>
      <c r="D819" s="50" t="s">
        <v>1146</v>
      </c>
      <c r="E819" s="50">
        <v>1500</v>
      </c>
      <c r="F819" s="50">
        <v>5</v>
      </c>
      <c r="G819" s="50">
        <v>17100</v>
      </c>
    </row>
    <row r="820" spans="1:7" ht="16.5" x14ac:dyDescent="0.25">
      <c r="A820" s="50">
        <v>819</v>
      </c>
      <c r="B820" s="50" t="s">
        <v>2426</v>
      </c>
      <c r="C820" s="50">
        <v>7</v>
      </c>
      <c r="D820" s="50" t="s">
        <v>1149</v>
      </c>
      <c r="E820" s="50">
        <v>800</v>
      </c>
      <c r="F820" s="50">
        <v>10</v>
      </c>
      <c r="G820" s="50">
        <v>5040</v>
      </c>
    </row>
    <row r="821" spans="1:7" ht="16.5" x14ac:dyDescent="0.25">
      <c r="A821" s="50">
        <v>820</v>
      </c>
      <c r="B821" s="50" t="s">
        <v>2427</v>
      </c>
      <c r="C821" s="50">
        <v>9</v>
      </c>
      <c r="D821" s="50" t="s">
        <v>1152</v>
      </c>
      <c r="E821" s="50">
        <v>800</v>
      </c>
      <c r="F821" s="50">
        <v>15</v>
      </c>
      <c r="G821" s="50">
        <v>6120</v>
      </c>
    </row>
    <row r="822" spans="1:7" ht="16.5" x14ac:dyDescent="0.25">
      <c r="A822" s="50">
        <v>821</v>
      </c>
      <c r="B822" s="50" t="s">
        <v>2428</v>
      </c>
      <c r="C822" s="50">
        <v>10</v>
      </c>
      <c r="D822" s="50" t="s">
        <v>1171</v>
      </c>
      <c r="E822" s="50">
        <v>1200</v>
      </c>
      <c r="F822" s="50">
        <v>15</v>
      </c>
      <c r="G822" s="50">
        <v>10200</v>
      </c>
    </row>
    <row r="823" spans="1:7" ht="16.5" x14ac:dyDescent="0.25">
      <c r="A823" s="50">
        <v>822</v>
      </c>
      <c r="B823" s="50" t="s">
        <v>2430</v>
      </c>
      <c r="C823" s="50">
        <v>14</v>
      </c>
      <c r="D823" s="50" t="s">
        <v>1155</v>
      </c>
      <c r="E823" s="50">
        <v>1200</v>
      </c>
      <c r="F823" s="50">
        <v>5</v>
      </c>
      <c r="G823" s="50">
        <v>15960</v>
      </c>
    </row>
    <row r="824" spans="1:7" ht="16.5" x14ac:dyDescent="0.25">
      <c r="A824" s="50">
        <v>823</v>
      </c>
      <c r="B824" s="50" t="s">
        <v>2431</v>
      </c>
      <c r="C824" s="50">
        <v>14</v>
      </c>
      <c r="D824" s="50" t="s">
        <v>1342</v>
      </c>
      <c r="E824" s="50">
        <v>800</v>
      </c>
      <c r="F824" s="50">
        <v>10</v>
      </c>
      <c r="G824" s="50">
        <v>10080</v>
      </c>
    </row>
    <row r="825" spans="1:7" ht="16.5" x14ac:dyDescent="0.25">
      <c r="A825" s="50">
        <v>824</v>
      </c>
      <c r="B825" s="50" t="s">
        <v>2432</v>
      </c>
      <c r="C825" s="50">
        <v>9</v>
      </c>
      <c r="D825" s="50" t="s">
        <v>1342</v>
      </c>
      <c r="E825" s="50">
        <v>800</v>
      </c>
      <c r="F825" s="50">
        <v>5</v>
      </c>
      <c r="G825" s="50">
        <v>6840</v>
      </c>
    </row>
    <row r="826" spans="1:7" ht="16.5" x14ac:dyDescent="0.25">
      <c r="A826" s="50">
        <v>825</v>
      </c>
      <c r="B826" s="50" t="s">
        <v>2433</v>
      </c>
      <c r="C826" s="50">
        <v>10</v>
      </c>
      <c r="D826" s="50" t="s">
        <v>1171</v>
      </c>
      <c r="E826" s="50">
        <v>800</v>
      </c>
      <c r="F826" s="50">
        <v>10</v>
      </c>
      <c r="G826" s="50">
        <v>7200</v>
      </c>
    </row>
    <row r="827" spans="1:7" ht="16.5" x14ac:dyDescent="0.25">
      <c r="A827" s="50">
        <v>826</v>
      </c>
      <c r="B827" s="50" t="s">
        <v>2434</v>
      </c>
      <c r="C827" s="50">
        <v>2</v>
      </c>
      <c r="D827" s="50" t="s">
        <v>1218</v>
      </c>
      <c r="E827" s="50">
        <v>800</v>
      </c>
      <c r="F827" s="50">
        <v>0</v>
      </c>
      <c r="G827" s="50">
        <v>1600</v>
      </c>
    </row>
    <row r="828" spans="1:7" ht="16.5" x14ac:dyDescent="0.25">
      <c r="A828" s="50">
        <v>827</v>
      </c>
      <c r="B828" s="50" t="s">
        <v>2435</v>
      </c>
      <c r="C828" s="50">
        <v>5</v>
      </c>
      <c r="D828" s="50" t="s">
        <v>1198</v>
      </c>
      <c r="E828" s="50">
        <v>800</v>
      </c>
      <c r="F828" s="50">
        <v>10</v>
      </c>
      <c r="G828" s="50">
        <v>3600</v>
      </c>
    </row>
    <row r="829" spans="1:7" ht="16.5" x14ac:dyDescent="0.25">
      <c r="A829" s="50">
        <v>828</v>
      </c>
      <c r="B829" s="50" t="s">
        <v>2436</v>
      </c>
      <c r="C829" s="50">
        <v>3</v>
      </c>
      <c r="D829" s="50" t="s">
        <v>1152</v>
      </c>
      <c r="E829" s="50">
        <v>1200</v>
      </c>
      <c r="F829" s="50">
        <v>10</v>
      </c>
      <c r="G829" s="50">
        <v>3240</v>
      </c>
    </row>
    <row r="830" spans="1:7" ht="16.5" x14ac:dyDescent="0.25">
      <c r="A830" s="50">
        <v>829</v>
      </c>
      <c r="B830" s="50" t="s">
        <v>2437</v>
      </c>
      <c r="C830" s="50">
        <v>10</v>
      </c>
      <c r="D830" s="50" t="s">
        <v>1171</v>
      </c>
      <c r="E830" s="50">
        <v>1200</v>
      </c>
      <c r="F830" s="50">
        <v>5</v>
      </c>
      <c r="G830" s="50">
        <v>11400</v>
      </c>
    </row>
    <row r="831" spans="1:7" ht="16.5" x14ac:dyDescent="0.25">
      <c r="A831" s="50">
        <v>830</v>
      </c>
      <c r="B831" s="50" t="s">
        <v>2439</v>
      </c>
      <c r="C831" s="50">
        <v>6</v>
      </c>
      <c r="D831" s="50" t="s">
        <v>1140</v>
      </c>
      <c r="E831" s="50">
        <v>1500</v>
      </c>
      <c r="F831" s="50">
        <v>10</v>
      </c>
      <c r="G831" s="50">
        <v>8100</v>
      </c>
    </row>
    <row r="832" spans="1:7" ht="16.5" x14ac:dyDescent="0.25">
      <c r="A832" s="50">
        <v>831</v>
      </c>
      <c r="B832" s="50" t="s">
        <v>2441</v>
      </c>
      <c r="C832" s="50">
        <v>11</v>
      </c>
      <c r="D832" s="50" t="s">
        <v>1192</v>
      </c>
      <c r="E832" s="50">
        <v>1200</v>
      </c>
      <c r="F832" s="50">
        <v>5</v>
      </c>
      <c r="G832" s="50">
        <v>12540</v>
      </c>
    </row>
    <row r="833" spans="1:7" ht="16.5" x14ac:dyDescent="0.25">
      <c r="A833" s="50">
        <v>832</v>
      </c>
      <c r="B833" s="50" t="s">
        <v>2442</v>
      </c>
      <c r="C833" s="50">
        <v>18</v>
      </c>
      <c r="D833" s="50" t="s">
        <v>1152</v>
      </c>
      <c r="E833" s="50">
        <v>800</v>
      </c>
      <c r="F833" s="50">
        <v>15</v>
      </c>
      <c r="G833" s="50">
        <v>12240</v>
      </c>
    </row>
    <row r="834" spans="1:7" ht="16.5" x14ac:dyDescent="0.25">
      <c r="A834" s="50">
        <v>833</v>
      </c>
      <c r="B834" s="50" t="s">
        <v>2443</v>
      </c>
      <c r="C834" s="50">
        <v>8</v>
      </c>
      <c r="D834" s="50" t="s">
        <v>1158</v>
      </c>
      <c r="E834" s="50">
        <v>1500</v>
      </c>
      <c r="F834" s="50">
        <v>15</v>
      </c>
      <c r="G834" s="50">
        <v>10200</v>
      </c>
    </row>
    <row r="835" spans="1:7" ht="16.5" x14ac:dyDescent="0.25">
      <c r="A835" s="50">
        <v>834</v>
      </c>
      <c r="B835" s="50" t="s">
        <v>2444</v>
      </c>
      <c r="C835" s="50">
        <v>5</v>
      </c>
      <c r="D835" s="50" t="s">
        <v>1155</v>
      </c>
      <c r="E835" s="50">
        <v>1200</v>
      </c>
      <c r="F835" s="50">
        <v>0</v>
      </c>
      <c r="G835" s="50">
        <v>6000</v>
      </c>
    </row>
    <row r="836" spans="1:7" ht="16.5" x14ac:dyDescent="0.25">
      <c r="A836" s="50">
        <v>835</v>
      </c>
      <c r="B836" s="50" t="s">
        <v>2445</v>
      </c>
      <c r="C836" s="50">
        <v>5</v>
      </c>
      <c r="D836" s="50" t="s">
        <v>1161</v>
      </c>
      <c r="E836" s="50">
        <v>1200</v>
      </c>
      <c r="F836" s="50">
        <v>0</v>
      </c>
      <c r="G836" s="50">
        <v>6000</v>
      </c>
    </row>
    <row r="837" spans="1:7" ht="16.5" x14ac:dyDescent="0.25">
      <c r="A837" s="50">
        <v>836</v>
      </c>
      <c r="B837" s="50" t="s">
        <v>2447</v>
      </c>
      <c r="C837" s="50">
        <v>6</v>
      </c>
      <c r="D837" s="50" t="s">
        <v>1174</v>
      </c>
      <c r="E837" s="50">
        <v>800</v>
      </c>
      <c r="F837" s="50">
        <v>5</v>
      </c>
      <c r="G837" s="50">
        <v>4560</v>
      </c>
    </row>
    <row r="838" spans="1:7" ht="16.5" x14ac:dyDescent="0.25">
      <c r="A838" s="50">
        <v>837</v>
      </c>
      <c r="B838" s="50" t="s">
        <v>2448</v>
      </c>
      <c r="C838" s="50">
        <v>19</v>
      </c>
      <c r="D838" s="50" t="s">
        <v>1262</v>
      </c>
      <c r="E838" s="50">
        <v>1500</v>
      </c>
      <c r="F838" s="50">
        <v>10</v>
      </c>
      <c r="G838" s="50">
        <v>25650</v>
      </c>
    </row>
    <row r="839" spans="1:7" ht="16.5" x14ac:dyDescent="0.25">
      <c r="A839" s="50">
        <v>838</v>
      </c>
      <c r="B839" s="50" t="s">
        <v>2449</v>
      </c>
      <c r="C839" s="50">
        <v>9</v>
      </c>
      <c r="D839" s="50" t="s">
        <v>1149</v>
      </c>
      <c r="E839" s="50">
        <v>1500</v>
      </c>
      <c r="F839" s="50">
        <v>10</v>
      </c>
      <c r="G839" s="50">
        <v>12150</v>
      </c>
    </row>
    <row r="840" spans="1:7" ht="16.5" x14ac:dyDescent="0.25">
      <c r="A840" s="50">
        <v>839</v>
      </c>
      <c r="B840" s="50" t="s">
        <v>2450</v>
      </c>
      <c r="C840" s="50">
        <v>1</v>
      </c>
      <c r="D840" s="50" t="s">
        <v>1146</v>
      </c>
      <c r="E840" s="50">
        <v>1500</v>
      </c>
      <c r="F840" s="50">
        <v>15</v>
      </c>
      <c r="G840" s="50">
        <v>1275</v>
      </c>
    </row>
    <row r="841" spans="1:7" ht="16.5" x14ac:dyDescent="0.25">
      <c r="A841" s="50">
        <v>840</v>
      </c>
      <c r="B841" s="50" t="s">
        <v>2451</v>
      </c>
      <c r="C841" s="50">
        <v>3</v>
      </c>
      <c r="D841" s="50" t="s">
        <v>1187</v>
      </c>
      <c r="E841" s="50">
        <v>800</v>
      </c>
      <c r="F841" s="50">
        <v>15</v>
      </c>
      <c r="G841" s="50">
        <v>2040</v>
      </c>
    </row>
    <row r="842" spans="1:7" ht="16.5" x14ac:dyDescent="0.25">
      <c r="A842" s="50">
        <v>841</v>
      </c>
      <c r="B842" s="50" t="s">
        <v>2452</v>
      </c>
      <c r="C842" s="50">
        <v>6</v>
      </c>
      <c r="D842" s="50" t="s">
        <v>1198</v>
      </c>
      <c r="E842" s="50">
        <v>1500</v>
      </c>
      <c r="F842" s="50">
        <v>10</v>
      </c>
      <c r="G842" s="50">
        <v>8100</v>
      </c>
    </row>
    <row r="843" spans="1:7" ht="16.5" x14ac:dyDescent="0.25">
      <c r="A843" s="50">
        <v>842</v>
      </c>
      <c r="B843" s="50" t="s">
        <v>2453</v>
      </c>
      <c r="C843" s="50">
        <v>17</v>
      </c>
      <c r="D843" s="50" t="s">
        <v>1146</v>
      </c>
      <c r="E843" s="50">
        <v>1500</v>
      </c>
      <c r="F843" s="50">
        <v>15</v>
      </c>
      <c r="G843" s="50">
        <v>21675</v>
      </c>
    </row>
    <row r="844" spans="1:7" ht="16.5" x14ac:dyDescent="0.25">
      <c r="A844" s="50">
        <v>843</v>
      </c>
      <c r="B844" s="50" t="s">
        <v>2454</v>
      </c>
      <c r="C844" s="50">
        <v>15</v>
      </c>
      <c r="D844" s="50" t="s">
        <v>1201</v>
      </c>
      <c r="E844" s="50">
        <v>1200</v>
      </c>
      <c r="F844" s="50">
        <v>5</v>
      </c>
      <c r="G844" s="50">
        <v>17100</v>
      </c>
    </row>
    <row r="845" spans="1:7" ht="16.5" x14ac:dyDescent="0.25">
      <c r="A845" s="50">
        <v>844</v>
      </c>
      <c r="B845" s="50" t="s">
        <v>2455</v>
      </c>
      <c r="C845" s="50">
        <v>5</v>
      </c>
      <c r="D845" s="50" t="s">
        <v>1166</v>
      </c>
      <c r="E845" s="50">
        <v>1500</v>
      </c>
      <c r="F845" s="50">
        <v>0</v>
      </c>
      <c r="G845" s="50">
        <v>7500</v>
      </c>
    </row>
    <row r="846" spans="1:7" ht="16.5" x14ac:dyDescent="0.25">
      <c r="A846" s="50">
        <v>845</v>
      </c>
      <c r="B846" s="50" t="s">
        <v>2456</v>
      </c>
      <c r="C846" s="50">
        <v>16</v>
      </c>
      <c r="D846" s="50" t="s">
        <v>1342</v>
      </c>
      <c r="E846" s="50">
        <v>800</v>
      </c>
      <c r="F846" s="50">
        <v>5</v>
      </c>
      <c r="G846" s="50">
        <v>12160</v>
      </c>
    </row>
    <row r="847" spans="1:7" ht="16.5" x14ac:dyDescent="0.25">
      <c r="A847" s="50">
        <v>846</v>
      </c>
      <c r="B847" s="50" t="s">
        <v>2457</v>
      </c>
      <c r="C847" s="50">
        <v>7</v>
      </c>
      <c r="D847" s="50" t="s">
        <v>1192</v>
      </c>
      <c r="E847" s="50">
        <v>1500</v>
      </c>
      <c r="F847" s="50">
        <v>0</v>
      </c>
      <c r="G847" s="50">
        <v>10500</v>
      </c>
    </row>
    <row r="848" spans="1:7" ht="16.5" x14ac:dyDescent="0.25">
      <c r="A848" s="50">
        <v>847</v>
      </c>
      <c r="B848" s="50" t="s">
        <v>2458</v>
      </c>
      <c r="C848" s="50">
        <v>19</v>
      </c>
      <c r="D848" s="50" t="s">
        <v>1137</v>
      </c>
      <c r="E848" s="50">
        <v>1200</v>
      </c>
      <c r="F848" s="50">
        <v>5</v>
      </c>
      <c r="G848" s="50">
        <v>21660</v>
      </c>
    </row>
    <row r="849" spans="1:7" ht="16.5" x14ac:dyDescent="0.25">
      <c r="A849" s="50">
        <v>848</v>
      </c>
      <c r="B849" s="50" t="s">
        <v>2459</v>
      </c>
      <c r="C849" s="50">
        <v>4</v>
      </c>
      <c r="D849" s="50" t="s">
        <v>1192</v>
      </c>
      <c r="E849" s="50">
        <v>1500</v>
      </c>
      <c r="F849" s="50">
        <v>15</v>
      </c>
      <c r="G849" s="50">
        <v>5100</v>
      </c>
    </row>
    <row r="850" spans="1:7" ht="16.5" x14ac:dyDescent="0.25">
      <c r="A850" s="50">
        <v>849</v>
      </c>
      <c r="B850" s="50" t="s">
        <v>2460</v>
      </c>
      <c r="C850" s="50">
        <v>3</v>
      </c>
      <c r="D850" s="50" t="s">
        <v>1198</v>
      </c>
      <c r="E850" s="50">
        <v>1200</v>
      </c>
      <c r="F850" s="50">
        <v>5</v>
      </c>
      <c r="G850" s="50">
        <v>3420</v>
      </c>
    </row>
    <row r="851" spans="1:7" ht="16.5" x14ac:dyDescent="0.25">
      <c r="A851" s="50">
        <v>850</v>
      </c>
      <c r="B851" s="50" t="s">
        <v>2462</v>
      </c>
      <c r="C851" s="50">
        <v>6</v>
      </c>
      <c r="D851" s="50" t="s">
        <v>1143</v>
      </c>
      <c r="E851" s="50">
        <v>1500</v>
      </c>
      <c r="F851" s="50">
        <v>0</v>
      </c>
      <c r="G851" s="50">
        <v>9000</v>
      </c>
    </row>
    <row r="852" spans="1:7" ht="16.5" x14ac:dyDescent="0.25">
      <c r="A852" s="50">
        <v>851</v>
      </c>
      <c r="B852" s="50" t="s">
        <v>2463</v>
      </c>
      <c r="C852" s="50">
        <v>9</v>
      </c>
      <c r="D852" s="50" t="s">
        <v>1152</v>
      </c>
      <c r="E852" s="50">
        <v>800</v>
      </c>
      <c r="F852" s="50">
        <v>15</v>
      </c>
      <c r="G852" s="50">
        <v>6120</v>
      </c>
    </row>
    <row r="853" spans="1:7" ht="16.5" x14ac:dyDescent="0.25">
      <c r="A853" s="50">
        <v>852</v>
      </c>
      <c r="B853" s="50" t="s">
        <v>2465</v>
      </c>
      <c r="C853" s="50">
        <v>10</v>
      </c>
      <c r="D853" s="50" t="s">
        <v>1155</v>
      </c>
      <c r="E853" s="50">
        <v>1200</v>
      </c>
      <c r="F853" s="50">
        <v>5</v>
      </c>
      <c r="G853" s="50">
        <v>11400</v>
      </c>
    </row>
    <row r="854" spans="1:7" ht="16.5" x14ac:dyDescent="0.25">
      <c r="A854" s="50">
        <v>853</v>
      </c>
      <c r="B854" s="50" t="s">
        <v>2467</v>
      </c>
      <c r="C854" s="50">
        <v>10</v>
      </c>
      <c r="D854" s="50" t="s">
        <v>1161</v>
      </c>
      <c r="E854" s="50">
        <v>1200</v>
      </c>
      <c r="F854" s="50">
        <v>15</v>
      </c>
      <c r="G854" s="50">
        <v>10200</v>
      </c>
    </row>
    <row r="855" spans="1:7" ht="16.5" x14ac:dyDescent="0.25">
      <c r="A855" s="50">
        <v>854</v>
      </c>
      <c r="B855" s="50" t="s">
        <v>2468</v>
      </c>
      <c r="C855" s="50">
        <v>1</v>
      </c>
      <c r="D855" s="50" t="s">
        <v>1342</v>
      </c>
      <c r="E855" s="50">
        <v>1200</v>
      </c>
      <c r="F855" s="50">
        <v>10</v>
      </c>
      <c r="G855" s="50">
        <v>1080</v>
      </c>
    </row>
    <row r="856" spans="1:7" ht="16.5" x14ac:dyDescent="0.25">
      <c r="A856" s="50">
        <v>855</v>
      </c>
      <c r="B856" s="50" t="s">
        <v>2469</v>
      </c>
      <c r="C856" s="50">
        <v>20</v>
      </c>
      <c r="D856" s="50" t="s">
        <v>1143</v>
      </c>
      <c r="E856" s="50">
        <v>1500</v>
      </c>
      <c r="F856" s="50">
        <v>10</v>
      </c>
      <c r="G856" s="50">
        <v>27000</v>
      </c>
    </row>
    <row r="857" spans="1:7" ht="16.5" x14ac:dyDescent="0.25">
      <c r="A857" s="50">
        <v>856</v>
      </c>
      <c r="B857" s="50" t="s">
        <v>2470</v>
      </c>
      <c r="C857" s="50">
        <v>12</v>
      </c>
      <c r="D857" s="50" t="s">
        <v>1146</v>
      </c>
      <c r="E857" s="50">
        <v>1500</v>
      </c>
      <c r="F857" s="50">
        <v>0</v>
      </c>
      <c r="G857" s="50">
        <v>18000</v>
      </c>
    </row>
    <row r="858" spans="1:7" ht="16.5" x14ac:dyDescent="0.25">
      <c r="A858" s="50">
        <v>857</v>
      </c>
      <c r="B858" s="50" t="s">
        <v>2471</v>
      </c>
      <c r="C858" s="50">
        <v>19</v>
      </c>
      <c r="D858" s="50" t="s">
        <v>1192</v>
      </c>
      <c r="E858" s="50">
        <v>1500</v>
      </c>
      <c r="F858" s="50">
        <v>10</v>
      </c>
      <c r="G858" s="50">
        <v>25650</v>
      </c>
    </row>
    <row r="859" spans="1:7" ht="16.5" x14ac:dyDescent="0.25">
      <c r="A859" s="50">
        <v>858</v>
      </c>
      <c r="B859" s="50" t="s">
        <v>2473</v>
      </c>
      <c r="C859" s="50">
        <v>11</v>
      </c>
      <c r="D859" s="50" t="s">
        <v>1155</v>
      </c>
      <c r="E859" s="50">
        <v>800</v>
      </c>
      <c r="F859" s="50">
        <v>0</v>
      </c>
      <c r="G859" s="50">
        <v>8800</v>
      </c>
    </row>
    <row r="860" spans="1:7" ht="16.5" x14ac:dyDescent="0.25">
      <c r="A860" s="50">
        <v>859</v>
      </c>
      <c r="B860" s="50" t="s">
        <v>2474</v>
      </c>
      <c r="C860" s="50">
        <v>7</v>
      </c>
      <c r="D860" s="50" t="s">
        <v>1161</v>
      </c>
      <c r="E860" s="50">
        <v>1500</v>
      </c>
      <c r="F860" s="50">
        <v>5</v>
      </c>
      <c r="G860" s="50">
        <v>9975</v>
      </c>
    </row>
    <row r="861" spans="1:7" ht="16.5" x14ac:dyDescent="0.25">
      <c r="A861" s="50">
        <v>860</v>
      </c>
      <c r="B861" s="50" t="s">
        <v>2475</v>
      </c>
      <c r="C861" s="50">
        <v>18</v>
      </c>
      <c r="D861" s="50" t="s">
        <v>1192</v>
      </c>
      <c r="E861" s="50">
        <v>800</v>
      </c>
      <c r="F861" s="50">
        <v>15</v>
      </c>
      <c r="G861" s="50">
        <v>12240</v>
      </c>
    </row>
    <row r="862" spans="1:7" ht="16.5" x14ac:dyDescent="0.25">
      <c r="A862" s="50">
        <v>861</v>
      </c>
      <c r="B862" s="50" t="s">
        <v>2476</v>
      </c>
      <c r="C862" s="50">
        <v>19</v>
      </c>
      <c r="D862" s="50" t="s">
        <v>1143</v>
      </c>
      <c r="E862" s="50">
        <v>800</v>
      </c>
      <c r="F862" s="50">
        <v>15</v>
      </c>
      <c r="G862" s="50">
        <v>12920</v>
      </c>
    </row>
    <row r="863" spans="1:7" ht="16.5" x14ac:dyDescent="0.25">
      <c r="A863" s="50">
        <v>862</v>
      </c>
      <c r="B863" s="50" t="s">
        <v>2478</v>
      </c>
      <c r="C863" s="50">
        <v>7</v>
      </c>
      <c r="D863" s="50" t="s">
        <v>1161</v>
      </c>
      <c r="E863" s="50">
        <v>1200</v>
      </c>
      <c r="F863" s="50">
        <v>5</v>
      </c>
      <c r="G863" s="50">
        <v>7980</v>
      </c>
    </row>
    <row r="864" spans="1:7" ht="16.5" x14ac:dyDescent="0.25">
      <c r="A864" s="50">
        <v>863</v>
      </c>
      <c r="B864" s="50" t="s">
        <v>2479</v>
      </c>
      <c r="C864" s="50">
        <v>7</v>
      </c>
      <c r="D864" s="50" t="s">
        <v>1218</v>
      </c>
      <c r="E864" s="50">
        <v>800</v>
      </c>
      <c r="F864" s="50">
        <v>15</v>
      </c>
      <c r="G864" s="50">
        <v>4760</v>
      </c>
    </row>
    <row r="865" spans="1:7" ht="16.5" x14ac:dyDescent="0.25">
      <c r="A865" s="50">
        <v>864</v>
      </c>
      <c r="B865" s="50" t="s">
        <v>2481</v>
      </c>
      <c r="C865" s="50">
        <v>16</v>
      </c>
      <c r="D865" s="50" t="s">
        <v>1140</v>
      </c>
      <c r="E865" s="50">
        <v>1200</v>
      </c>
      <c r="F865" s="50">
        <v>15</v>
      </c>
      <c r="G865" s="50">
        <v>16320</v>
      </c>
    </row>
    <row r="866" spans="1:7" ht="16.5" x14ac:dyDescent="0.25">
      <c r="A866" s="50">
        <v>865</v>
      </c>
      <c r="B866" s="50" t="s">
        <v>2482</v>
      </c>
      <c r="C866" s="50">
        <v>5</v>
      </c>
      <c r="D866" s="50" t="s">
        <v>1137</v>
      </c>
      <c r="E866" s="50">
        <v>800</v>
      </c>
      <c r="F866" s="50">
        <v>10</v>
      </c>
      <c r="G866" s="50">
        <v>3600</v>
      </c>
    </row>
    <row r="867" spans="1:7" ht="16.5" x14ac:dyDescent="0.25">
      <c r="A867" s="50">
        <v>866</v>
      </c>
      <c r="B867" s="50" t="s">
        <v>2483</v>
      </c>
      <c r="C867" s="50">
        <v>12</v>
      </c>
      <c r="D867" s="50" t="s">
        <v>1262</v>
      </c>
      <c r="E867" s="50">
        <v>1200</v>
      </c>
      <c r="F867" s="50">
        <v>0</v>
      </c>
      <c r="G867" s="50">
        <v>14400</v>
      </c>
    </row>
    <row r="868" spans="1:7" ht="16.5" x14ac:dyDescent="0.25">
      <c r="A868" s="50">
        <v>867</v>
      </c>
      <c r="B868" s="50" t="s">
        <v>2485</v>
      </c>
      <c r="C868" s="50">
        <v>15</v>
      </c>
      <c r="D868" s="50" t="s">
        <v>1218</v>
      </c>
      <c r="E868" s="50">
        <v>1200</v>
      </c>
      <c r="F868" s="50">
        <v>0</v>
      </c>
      <c r="G868" s="50">
        <v>18000</v>
      </c>
    </row>
    <row r="869" spans="1:7" ht="16.5" x14ac:dyDescent="0.25">
      <c r="A869" s="50">
        <v>868</v>
      </c>
      <c r="B869" s="50" t="s">
        <v>2486</v>
      </c>
      <c r="C869" s="50">
        <v>7</v>
      </c>
      <c r="D869" s="50" t="s">
        <v>1155</v>
      </c>
      <c r="E869" s="50">
        <v>1200</v>
      </c>
      <c r="F869" s="50">
        <v>0</v>
      </c>
      <c r="G869" s="50">
        <v>8400</v>
      </c>
    </row>
    <row r="870" spans="1:7" ht="16.5" x14ac:dyDescent="0.25">
      <c r="A870" s="50">
        <v>869</v>
      </c>
      <c r="B870" s="50" t="s">
        <v>2488</v>
      </c>
      <c r="C870" s="50">
        <v>12</v>
      </c>
      <c r="D870" s="50" t="s">
        <v>1171</v>
      </c>
      <c r="E870" s="50">
        <v>1500</v>
      </c>
      <c r="F870" s="50">
        <v>5</v>
      </c>
      <c r="G870" s="50">
        <v>17100</v>
      </c>
    </row>
    <row r="871" spans="1:7" ht="16.5" x14ac:dyDescent="0.25">
      <c r="A871" s="50">
        <v>870</v>
      </c>
      <c r="B871" s="50" t="s">
        <v>2489</v>
      </c>
      <c r="C871" s="50">
        <v>5</v>
      </c>
      <c r="D871" s="50" t="s">
        <v>1218</v>
      </c>
      <c r="E871" s="50">
        <v>1500</v>
      </c>
      <c r="F871" s="50">
        <v>15</v>
      </c>
      <c r="G871" s="50">
        <v>6375</v>
      </c>
    </row>
    <row r="872" spans="1:7" ht="16.5" x14ac:dyDescent="0.25">
      <c r="A872" s="50">
        <v>871</v>
      </c>
      <c r="B872" s="50" t="s">
        <v>2490</v>
      </c>
      <c r="C872" s="50">
        <v>17</v>
      </c>
      <c r="D872" s="50" t="s">
        <v>1218</v>
      </c>
      <c r="E872" s="50">
        <v>1500</v>
      </c>
      <c r="F872" s="50">
        <v>5</v>
      </c>
      <c r="G872" s="50">
        <v>24225</v>
      </c>
    </row>
    <row r="873" spans="1:7" ht="16.5" x14ac:dyDescent="0.25">
      <c r="A873" s="50">
        <v>872</v>
      </c>
      <c r="B873" s="50" t="s">
        <v>2491</v>
      </c>
      <c r="C873" s="50">
        <v>3</v>
      </c>
      <c r="D873" s="50" t="s">
        <v>1174</v>
      </c>
      <c r="E873" s="50">
        <v>1500</v>
      </c>
      <c r="F873" s="50">
        <v>0</v>
      </c>
      <c r="G873" s="50">
        <v>4500</v>
      </c>
    </row>
    <row r="874" spans="1:7" ht="16.5" x14ac:dyDescent="0.25">
      <c r="A874" s="50">
        <v>873</v>
      </c>
      <c r="B874" s="50" t="s">
        <v>2493</v>
      </c>
      <c r="C874" s="50">
        <v>11</v>
      </c>
      <c r="D874" s="50" t="s">
        <v>1201</v>
      </c>
      <c r="E874" s="50">
        <v>1200</v>
      </c>
      <c r="F874" s="50">
        <v>10</v>
      </c>
      <c r="G874" s="50">
        <v>11880</v>
      </c>
    </row>
    <row r="875" spans="1:7" ht="16.5" x14ac:dyDescent="0.25">
      <c r="A875" s="50">
        <v>874</v>
      </c>
      <c r="B875" s="50" t="s">
        <v>2494</v>
      </c>
      <c r="C875" s="50">
        <v>17</v>
      </c>
      <c r="D875" s="50" t="s">
        <v>1229</v>
      </c>
      <c r="E875" s="50">
        <v>1200</v>
      </c>
      <c r="F875" s="50">
        <v>10</v>
      </c>
      <c r="G875" s="50">
        <v>18360</v>
      </c>
    </row>
    <row r="876" spans="1:7" ht="16.5" x14ac:dyDescent="0.25">
      <c r="A876" s="50">
        <v>875</v>
      </c>
      <c r="B876" s="50" t="s">
        <v>2495</v>
      </c>
      <c r="C876" s="50">
        <v>10</v>
      </c>
      <c r="D876" s="50" t="s">
        <v>1158</v>
      </c>
      <c r="E876" s="50">
        <v>1200</v>
      </c>
      <c r="F876" s="50">
        <v>5</v>
      </c>
      <c r="G876" s="50">
        <v>11400</v>
      </c>
    </row>
    <row r="877" spans="1:7" ht="16.5" x14ac:dyDescent="0.25">
      <c r="A877" s="50">
        <v>876</v>
      </c>
      <c r="B877" s="50" t="s">
        <v>2496</v>
      </c>
      <c r="C877" s="50">
        <v>3</v>
      </c>
      <c r="D877" s="50" t="s">
        <v>1155</v>
      </c>
      <c r="E877" s="50">
        <v>1200</v>
      </c>
      <c r="F877" s="50">
        <v>15</v>
      </c>
      <c r="G877" s="50">
        <v>3060</v>
      </c>
    </row>
    <row r="878" spans="1:7" ht="16.5" x14ac:dyDescent="0.25">
      <c r="A878" s="50">
        <v>877</v>
      </c>
      <c r="B878" s="50" t="s">
        <v>2498</v>
      </c>
      <c r="C878" s="50">
        <v>2</v>
      </c>
      <c r="D878" s="50" t="s">
        <v>1229</v>
      </c>
      <c r="E878" s="50">
        <v>800</v>
      </c>
      <c r="F878" s="50">
        <v>5</v>
      </c>
      <c r="G878" s="50">
        <v>1520</v>
      </c>
    </row>
    <row r="879" spans="1:7" ht="16.5" x14ac:dyDescent="0.25">
      <c r="A879" s="50">
        <v>878</v>
      </c>
      <c r="B879" s="50" t="s">
        <v>2499</v>
      </c>
      <c r="C879" s="50">
        <v>5</v>
      </c>
      <c r="D879" s="50" t="s">
        <v>1218</v>
      </c>
      <c r="E879" s="50">
        <v>1500</v>
      </c>
      <c r="F879" s="50">
        <v>5</v>
      </c>
      <c r="G879" s="50">
        <v>7125</v>
      </c>
    </row>
    <row r="880" spans="1:7" ht="16.5" x14ac:dyDescent="0.25">
      <c r="A880" s="50">
        <v>879</v>
      </c>
      <c r="B880" s="50" t="s">
        <v>2500</v>
      </c>
      <c r="C880" s="50">
        <v>13</v>
      </c>
      <c r="D880" s="50" t="s">
        <v>1166</v>
      </c>
      <c r="E880" s="50">
        <v>800</v>
      </c>
      <c r="F880" s="50">
        <v>5</v>
      </c>
      <c r="G880" s="50">
        <v>9880</v>
      </c>
    </row>
    <row r="881" spans="1:7" ht="16.5" x14ac:dyDescent="0.25">
      <c r="A881" s="50">
        <v>880</v>
      </c>
      <c r="B881" s="50" t="s">
        <v>2501</v>
      </c>
      <c r="C881" s="50">
        <v>20</v>
      </c>
      <c r="D881" s="50" t="s">
        <v>1342</v>
      </c>
      <c r="E881" s="50">
        <v>1500</v>
      </c>
      <c r="F881" s="50">
        <v>10</v>
      </c>
      <c r="G881" s="50">
        <v>27000</v>
      </c>
    </row>
    <row r="882" spans="1:7" ht="16.5" x14ac:dyDescent="0.25">
      <c r="A882" s="50">
        <v>881</v>
      </c>
      <c r="B882" s="50" t="s">
        <v>2502</v>
      </c>
      <c r="C882" s="50">
        <v>4</v>
      </c>
      <c r="D882" s="50" t="s">
        <v>1149</v>
      </c>
      <c r="E882" s="50">
        <v>1200</v>
      </c>
      <c r="F882" s="50">
        <v>0</v>
      </c>
      <c r="G882" s="50">
        <v>4800</v>
      </c>
    </row>
    <row r="883" spans="1:7" ht="16.5" x14ac:dyDescent="0.25">
      <c r="A883" s="50">
        <v>882</v>
      </c>
      <c r="B883" s="50" t="s">
        <v>2504</v>
      </c>
      <c r="C883" s="50">
        <v>14</v>
      </c>
      <c r="D883" s="50" t="s">
        <v>1201</v>
      </c>
      <c r="E883" s="50">
        <v>1200</v>
      </c>
      <c r="F883" s="50">
        <v>0</v>
      </c>
      <c r="G883" s="50">
        <v>16800</v>
      </c>
    </row>
    <row r="884" spans="1:7" ht="16.5" x14ac:dyDescent="0.25">
      <c r="A884" s="50">
        <v>883</v>
      </c>
      <c r="B884" s="50" t="s">
        <v>2505</v>
      </c>
      <c r="C884" s="50">
        <v>1</v>
      </c>
      <c r="D884" s="50" t="s">
        <v>1198</v>
      </c>
      <c r="E884" s="50">
        <v>1200</v>
      </c>
      <c r="F884" s="50">
        <v>0</v>
      </c>
      <c r="G884" s="50">
        <v>1200</v>
      </c>
    </row>
    <row r="885" spans="1:7" ht="16.5" x14ac:dyDescent="0.25">
      <c r="A885" s="50">
        <v>884</v>
      </c>
      <c r="B885" s="50" t="s">
        <v>2506</v>
      </c>
      <c r="C885" s="50">
        <v>3</v>
      </c>
      <c r="D885" s="50" t="s">
        <v>1201</v>
      </c>
      <c r="E885" s="50">
        <v>800</v>
      </c>
      <c r="F885" s="50">
        <v>5</v>
      </c>
      <c r="G885" s="50">
        <v>2280</v>
      </c>
    </row>
    <row r="886" spans="1:7" ht="16.5" x14ac:dyDescent="0.25">
      <c r="A886" s="50">
        <v>885</v>
      </c>
      <c r="B886" s="50" t="s">
        <v>2507</v>
      </c>
      <c r="C886" s="50">
        <v>9</v>
      </c>
      <c r="D886" s="50" t="s">
        <v>1201</v>
      </c>
      <c r="E886" s="50">
        <v>800</v>
      </c>
      <c r="F886" s="50">
        <v>5</v>
      </c>
      <c r="G886" s="50">
        <v>6840</v>
      </c>
    </row>
    <row r="887" spans="1:7" ht="16.5" x14ac:dyDescent="0.25">
      <c r="A887" s="50">
        <v>886</v>
      </c>
      <c r="B887" s="50" t="s">
        <v>2508</v>
      </c>
      <c r="C887" s="50">
        <v>20</v>
      </c>
      <c r="D887" s="50" t="s">
        <v>1155</v>
      </c>
      <c r="E887" s="50">
        <v>1500</v>
      </c>
      <c r="F887" s="50">
        <v>15</v>
      </c>
      <c r="G887" s="50">
        <v>25500</v>
      </c>
    </row>
    <row r="888" spans="1:7" ht="16.5" x14ac:dyDescent="0.25">
      <c r="A888" s="50">
        <v>887</v>
      </c>
      <c r="B888" s="50" t="s">
        <v>2509</v>
      </c>
      <c r="C888" s="50">
        <v>7</v>
      </c>
      <c r="D888" s="50" t="s">
        <v>1171</v>
      </c>
      <c r="E888" s="50">
        <v>1200</v>
      </c>
      <c r="F888" s="50">
        <v>0</v>
      </c>
      <c r="G888" s="50">
        <v>8400</v>
      </c>
    </row>
    <row r="889" spans="1:7" ht="16.5" x14ac:dyDescent="0.25">
      <c r="A889" s="50">
        <v>888</v>
      </c>
      <c r="B889" s="50" t="s">
        <v>2510</v>
      </c>
      <c r="C889" s="50">
        <v>12</v>
      </c>
      <c r="D889" s="50" t="s">
        <v>1198</v>
      </c>
      <c r="E889" s="50">
        <v>1500</v>
      </c>
      <c r="F889" s="50">
        <v>15</v>
      </c>
      <c r="G889" s="50">
        <v>15300</v>
      </c>
    </row>
    <row r="890" spans="1:7" ht="16.5" x14ac:dyDescent="0.25">
      <c r="A890" s="50">
        <v>889</v>
      </c>
      <c r="B890" s="50" t="s">
        <v>2511</v>
      </c>
      <c r="C890" s="50">
        <v>3</v>
      </c>
      <c r="D890" s="50" t="s">
        <v>1187</v>
      </c>
      <c r="E890" s="50">
        <v>800</v>
      </c>
      <c r="F890" s="50">
        <v>10</v>
      </c>
      <c r="G890" s="50">
        <v>2160</v>
      </c>
    </row>
    <row r="891" spans="1:7" ht="16.5" x14ac:dyDescent="0.25">
      <c r="A891" s="50">
        <v>890</v>
      </c>
      <c r="B891" s="50" t="s">
        <v>2512</v>
      </c>
      <c r="C891" s="50">
        <v>15</v>
      </c>
      <c r="D891" s="50" t="s">
        <v>1146</v>
      </c>
      <c r="E891" s="50">
        <v>1200</v>
      </c>
      <c r="F891" s="50">
        <v>15</v>
      </c>
      <c r="G891" s="50">
        <v>15300</v>
      </c>
    </row>
    <row r="892" spans="1:7" ht="16.5" x14ac:dyDescent="0.25">
      <c r="A892" s="50">
        <v>891</v>
      </c>
      <c r="B892" s="50" t="s">
        <v>2513</v>
      </c>
      <c r="C892" s="50">
        <v>5</v>
      </c>
      <c r="D892" s="50" t="s">
        <v>1171</v>
      </c>
      <c r="E892" s="50">
        <v>800</v>
      </c>
      <c r="F892" s="50">
        <v>15</v>
      </c>
      <c r="G892" s="50">
        <v>3400</v>
      </c>
    </row>
    <row r="893" spans="1:7" ht="16.5" x14ac:dyDescent="0.25">
      <c r="A893" s="50">
        <v>892</v>
      </c>
      <c r="B893" s="50" t="s">
        <v>2514</v>
      </c>
      <c r="C893" s="50">
        <v>17</v>
      </c>
      <c r="D893" s="50" t="s">
        <v>1161</v>
      </c>
      <c r="E893" s="50">
        <v>800</v>
      </c>
      <c r="F893" s="50">
        <v>10</v>
      </c>
      <c r="G893" s="50">
        <v>12240</v>
      </c>
    </row>
    <row r="894" spans="1:7" ht="16.5" x14ac:dyDescent="0.25">
      <c r="A894" s="50">
        <v>893</v>
      </c>
      <c r="B894" s="50" t="s">
        <v>2515</v>
      </c>
      <c r="C894" s="50">
        <v>5</v>
      </c>
      <c r="D894" s="50" t="s">
        <v>1161</v>
      </c>
      <c r="E894" s="50">
        <v>1500</v>
      </c>
      <c r="F894" s="50">
        <v>0</v>
      </c>
      <c r="G894" s="50">
        <v>7500</v>
      </c>
    </row>
    <row r="895" spans="1:7" ht="16.5" x14ac:dyDescent="0.25">
      <c r="A895" s="50">
        <v>894</v>
      </c>
      <c r="B895" s="50" t="s">
        <v>2516</v>
      </c>
      <c r="C895" s="50">
        <v>13</v>
      </c>
      <c r="D895" s="50" t="s">
        <v>1166</v>
      </c>
      <c r="E895" s="50">
        <v>800</v>
      </c>
      <c r="F895" s="50">
        <v>15</v>
      </c>
      <c r="G895" s="50">
        <v>8840</v>
      </c>
    </row>
    <row r="896" spans="1:7" ht="16.5" x14ac:dyDescent="0.25">
      <c r="A896" s="50">
        <v>895</v>
      </c>
      <c r="B896" s="50" t="s">
        <v>2517</v>
      </c>
      <c r="C896" s="50">
        <v>6</v>
      </c>
      <c r="D896" s="50" t="s">
        <v>1240</v>
      </c>
      <c r="E896" s="50">
        <v>1200</v>
      </c>
      <c r="F896" s="50">
        <v>5</v>
      </c>
      <c r="G896" s="50">
        <v>6840</v>
      </c>
    </row>
    <row r="897" spans="1:7" ht="16.5" x14ac:dyDescent="0.25">
      <c r="A897" s="50">
        <v>896</v>
      </c>
      <c r="B897" s="50" t="s">
        <v>2518</v>
      </c>
      <c r="C897" s="50">
        <v>16</v>
      </c>
      <c r="D897" s="50" t="s">
        <v>1218</v>
      </c>
      <c r="E897" s="50">
        <v>1200</v>
      </c>
      <c r="F897" s="50">
        <v>0</v>
      </c>
      <c r="G897" s="50">
        <v>19200</v>
      </c>
    </row>
    <row r="898" spans="1:7" ht="16.5" x14ac:dyDescent="0.25">
      <c r="A898" s="50">
        <v>897</v>
      </c>
      <c r="B898" s="50" t="s">
        <v>2519</v>
      </c>
      <c r="C898" s="50">
        <v>14</v>
      </c>
      <c r="D898" s="50" t="s">
        <v>1143</v>
      </c>
      <c r="E898" s="50">
        <v>1500</v>
      </c>
      <c r="F898" s="50">
        <v>10</v>
      </c>
      <c r="G898" s="50">
        <v>18900</v>
      </c>
    </row>
    <row r="899" spans="1:7" ht="16.5" x14ac:dyDescent="0.25">
      <c r="A899" s="50">
        <v>898</v>
      </c>
      <c r="B899" s="50" t="s">
        <v>2520</v>
      </c>
      <c r="C899" s="50">
        <v>17</v>
      </c>
      <c r="D899" s="50" t="s">
        <v>1174</v>
      </c>
      <c r="E899" s="50">
        <v>1500</v>
      </c>
      <c r="F899" s="50">
        <v>5</v>
      </c>
      <c r="G899" s="50">
        <v>24225</v>
      </c>
    </row>
    <row r="900" spans="1:7" ht="16.5" x14ac:dyDescent="0.25">
      <c r="A900" s="50">
        <v>899</v>
      </c>
      <c r="B900" s="50" t="s">
        <v>2521</v>
      </c>
      <c r="C900" s="50">
        <v>8</v>
      </c>
      <c r="D900" s="50" t="s">
        <v>1229</v>
      </c>
      <c r="E900" s="50">
        <v>1500</v>
      </c>
      <c r="F900" s="50">
        <v>15</v>
      </c>
      <c r="G900" s="50">
        <v>10200</v>
      </c>
    </row>
    <row r="901" spans="1:7" ht="16.5" x14ac:dyDescent="0.25">
      <c r="A901" s="50">
        <v>900</v>
      </c>
      <c r="B901" s="50" t="s">
        <v>2522</v>
      </c>
      <c r="C901" s="50">
        <v>11</v>
      </c>
      <c r="D901" s="50" t="s">
        <v>1174</v>
      </c>
      <c r="E901" s="50">
        <v>800</v>
      </c>
      <c r="F901" s="50">
        <v>5</v>
      </c>
      <c r="G901" s="50">
        <v>8360</v>
      </c>
    </row>
    <row r="902" spans="1:7" ht="16.5" x14ac:dyDescent="0.25">
      <c r="A902" s="50">
        <v>901</v>
      </c>
      <c r="B902" s="50" t="s">
        <v>2524</v>
      </c>
      <c r="C902" s="50">
        <v>6</v>
      </c>
      <c r="D902" s="50" t="s">
        <v>1166</v>
      </c>
      <c r="E902" s="50">
        <v>1500</v>
      </c>
      <c r="F902" s="50">
        <v>10</v>
      </c>
      <c r="G902" s="50">
        <v>8100</v>
      </c>
    </row>
    <row r="903" spans="1:7" ht="16.5" x14ac:dyDescent="0.25">
      <c r="A903" s="50">
        <v>902</v>
      </c>
      <c r="B903" s="50" t="s">
        <v>2525</v>
      </c>
      <c r="C903" s="50">
        <v>18</v>
      </c>
      <c r="D903" s="50" t="s">
        <v>1149</v>
      </c>
      <c r="E903" s="50">
        <v>1200</v>
      </c>
      <c r="F903" s="50">
        <v>10</v>
      </c>
      <c r="G903" s="50">
        <v>19440</v>
      </c>
    </row>
    <row r="904" spans="1:7" ht="16.5" x14ac:dyDescent="0.25">
      <c r="A904" s="50">
        <v>903</v>
      </c>
      <c r="B904" s="50" t="s">
        <v>2526</v>
      </c>
      <c r="C904" s="50">
        <v>18</v>
      </c>
      <c r="D904" s="50" t="s">
        <v>1137</v>
      </c>
      <c r="E904" s="50">
        <v>1200</v>
      </c>
      <c r="F904" s="50">
        <v>10</v>
      </c>
      <c r="G904" s="50">
        <v>19440</v>
      </c>
    </row>
    <row r="905" spans="1:7" ht="16.5" x14ac:dyDescent="0.25">
      <c r="A905" s="50">
        <v>904</v>
      </c>
      <c r="B905" s="50" t="s">
        <v>2527</v>
      </c>
      <c r="C905" s="50">
        <v>20</v>
      </c>
      <c r="D905" s="50" t="s">
        <v>1137</v>
      </c>
      <c r="E905" s="50">
        <v>1200</v>
      </c>
      <c r="F905" s="50">
        <v>15</v>
      </c>
      <c r="G905" s="50">
        <v>20400</v>
      </c>
    </row>
    <row r="906" spans="1:7" ht="16.5" x14ac:dyDescent="0.25">
      <c r="A906" s="50">
        <v>905</v>
      </c>
      <c r="B906" s="50" t="s">
        <v>2528</v>
      </c>
      <c r="C906" s="50">
        <v>18</v>
      </c>
      <c r="D906" s="50" t="s">
        <v>1198</v>
      </c>
      <c r="E906" s="50">
        <v>800</v>
      </c>
      <c r="F906" s="50">
        <v>15</v>
      </c>
      <c r="G906" s="50">
        <v>12240</v>
      </c>
    </row>
    <row r="907" spans="1:7" ht="16.5" x14ac:dyDescent="0.25">
      <c r="A907" s="50">
        <v>906</v>
      </c>
      <c r="B907" s="50" t="s">
        <v>2530</v>
      </c>
      <c r="C907" s="50">
        <v>18</v>
      </c>
      <c r="D907" s="50" t="s">
        <v>1146</v>
      </c>
      <c r="E907" s="50">
        <v>1500</v>
      </c>
      <c r="F907" s="50">
        <v>0</v>
      </c>
      <c r="G907" s="50">
        <v>27000</v>
      </c>
    </row>
    <row r="908" spans="1:7" ht="16.5" x14ac:dyDescent="0.25">
      <c r="A908" s="50">
        <v>907</v>
      </c>
      <c r="B908" s="50" t="s">
        <v>2531</v>
      </c>
      <c r="C908" s="50">
        <v>8</v>
      </c>
      <c r="D908" s="50" t="s">
        <v>1229</v>
      </c>
      <c r="E908" s="50">
        <v>1500</v>
      </c>
      <c r="F908" s="50">
        <v>15</v>
      </c>
      <c r="G908" s="50">
        <v>10200</v>
      </c>
    </row>
    <row r="909" spans="1:7" ht="16.5" x14ac:dyDescent="0.25">
      <c r="A909" s="50">
        <v>908</v>
      </c>
      <c r="B909" s="50" t="s">
        <v>2533</v>
      </c>
      <c r="C909" s="50">
        <v>6</v>
      </c>
      <c r="D909" s="50" t="s">
        <v>1171</v>
      </c>
      <c r="E909" s="50">
        <v>1500</v>
      </c>
      <c r="F909" s="50">
        <v>5</v>
      </c>
      <c r="G909" s="50">
        <v>8550</v>
      </c>
    </row>
    <row r="910" spans="1:7" ht="16.5" x14ac:dyDescent="0.25">
      <c r="A910" s="50">
        <v>909</v>
      </c>
      <c r="B910" s="50" t="s">
        <v>2534</v>
      </c>
      <c r="C910" s="50">
        <v>14</v>
      </c>
      <c r="D910" s="50" t="s">
        <v>1137</v>
      </c>
      <c r="E910" s="50">
        <v>1500</v>
      </c>
      <c r="F910" s="50">
        <v>0</v>
      </c>
      <c r="G910" s="50">
        <v>21000</v>
      </c>
    </row>
    <row r="911" spans="1:7" ht="16.5" x14ac:dyDescent="0.25">
      <c r="A911" s="50">
        <v>910</v>
      </c>
      <c r="B911" s="50" t="s">
        <v>2535</v>
      </c>
      <c r="C911" s="50">
        <v>9</v>
      </c>
      <c r="D911" s="50" t="s">
        <v>1187</v>
      </c>
      <c r="E911" s="50">
        <v>800</v>
      </c>
      <c r="F911" s="50">
        <v>5</v>
      </c>
      <c r="G911" s="50">
        <v>6840</v>
      </c>
    </row>
    <row r="912" spans="1:7" ht="16.5" x14ac:dyDescent="0.25">
      <c r="A912" s="50">
        <v>911</v>
      </c>
      <c r="B912" s="50" t="s">
        <v>2536</v>
      </c>
      <c r="C912" s="50">
        <v>2</v>
      </c>
      <c r="D912" s="50" t="s">
        <v>1166</v>
      </c>
      <c r="E912" s="50">
        <v>1500</v>
      </c>
      <c r="F912" s="50">
        <v>15</v>
      </c>
      <c r="G912" s="50">
        <v>2550</v>
      </c>
    </row>
    <row r="913" spans="1:7" ht="16.5" x14ac:dyDescent="0.25">
      <c r="A913" s="50">
        <v>912</v>
      </c>
      <c r="B913" s="50" t="s">
        <v>2537</v>
      </c>
      <c r="C913" s="50">
        <v>19</v>
      </c>
      <c r="D913" s="50" t="s">
        <v>1149</v>
      </c>
      <c r="E913" s="50">
        <v>1500</v>
      </c>
      <c r="F913" s="50">
        <v>0</v>
      </c>
      <c r="G913" s="50">
        <v>28500</v>
      </c>
    </row>
    <row r="914" spans="1:7" ht="16.5" x14ac:dyDescent="0.25">
      <c r="A914" s="50">
        <v>913</v>
      </c>
      <c r="B914" s="50" t="s">
        <v>2538</v>
      </c>
      <c r="C914" s="50">
        <v>15</v>
      </c>
      <c r="D914" s="50" t="s">
        <v>1187</v>
      </c>
      <c r="E914" s="50">
        <v>800</v>
      </c>
      <c r="F914" s="50">
        <v>15</v>
      </c>
      <c r="G914" s="50">
        <v>10200</v>
      </c>
    </row>
    <row r="915" spans="1:7" ht="16.5" x14ac:dyDescent="0.25">
      <c r="A915" s="50">
        <v>914</v>
      </c>
      <c r="B915" s="50" t="s">
        <v>2539</v>
      </c>
      <c r="C915" s="50">
        <v>5</v>
      </c>
      <c r="D915" s="50" t="s">
        <v>1342</v>
      </c>
      <c r="E915" s="50">
        <v>800</v>
      </c>
      <c r="F915" s="50">
        <v>5</v>
      </c>
      <c r="G915" s="50">
        <v>3800</v>
      </c>
    </row>
    <row r="916" spans="1:7" ht="16.5" x14ac:dyDescent="0.25">
      <c r="A916" s="50">
        <v>915</v>
      </c>
      <c r="B916" s="50" t="s">
        <v>2540</v>
      </c>
      <c r="C916" s="50">
        <v>3</v>
      </c>
      <c r="D916" s="50" t="s">
        <v>1342</v>
      </c>
      <c r="E916" s="50">
        <v>800</v>
      </c>
      <c r="F916" s="50">
        <v>0</v>
      </c>
      <c r="G916" s="50">
        <v>2400</v>
      </c>
    </row>
    <row r="917" spans="1:7" ht="16.5" x14ac:dyDescent="0.25">
      <c r="A917" s="50">
        <v>916</v>
      </c>
      <c r="B917" s="50" t="s">
        <v>2541</v>
      </c>
      <c r="C917" s="50">
        <v>7</v>
      </c>
      <c r="D917" s="50" t="s">
        <v>1192</v>
      </c>
      <c r="E917" s="50">
        <v>1200</v>
      </c>
      <c r="F917" s="50">
        <v>15</v>
      </c>
      <c r="G917" s="50">
        <v>7140</v>
      </c>
    </row>
    <row r="918" spans="1:7" ht="16.5" x14ac:dyDescent="0.25">
      <c r="A918" s="50">
        <v>917</v>
      </c>
      <c r="B918" s="50" t="s">
        <v>2542</v>
      </c>
      <c r="C918" s="50">
        <v>12</v>
      </c>
      <c r="D918" s="50" t="s">
        <v>1174</v>
      </c>
      <c r="E918" s="50">
        <v>1200</v>
      </c>
      <c r="F918" s="50">
        <v>10</v>
      </c>
      <c r="G918" s="50">
        <v>12960</v>
      </c>
    </row>
    <row r="919" spans="1:7" ht="16.5" x14ac:dyDescent="0.25">
      <c r="A919" s="50">
        <v>918</v>
      </c>
      <c r="B919" s="50" t="s">
        <v>2544</v>
      </c>
      <c r="C919" s="50">
        <v>9</v>
      </c>
      <c r="D919" s="50" t="s">
        <v>1158</v>
      </c>
      <c r="E919" s="50">
        <v>1200</v>
      </c>
      <c r="F919" s="50">
        <v>5</v>
      </c>
      <c r="G919" s="50">
        <v>10260</v>
      </c>
    </row>
    <row r="920" spans="1:7" ht="16.5" x14ac:dyDescent="0.25">
      <c r="A920" s="50">
        <v>919</v>
      </c>
      <c r="B920" s="50" t="s">
        <v>2546</v>
      </c>
      <c r="C920" s="50">
        <v>5</v>
      </c>
      <c r="D920" s="50" t="s">
        <v>1174</v>
      </c>
      <c r="E920" s="50">
        <v>1200</v>
      </c>
      <c r="F920" s="50">
        <v>5</v>
      </c>
      <c r="G920" s="50">
        <v>5700</v>
      </c>
    </row>
    <row r="921" spans="1:7" ht="16.5" x14ac:dyDescent="0.25">
      <c r="A921" s="50">
        <v>920</v>
      </c>
      <c r="B921" s="50" t="s">
        <v>2547</v>
      </c>
      <c r="C921" s="50">
        <v>10</v>
      </c>
      <c r="D921" s="50" t="s">
        <v>1171</v>
      </c>
      <c r="E921" s="50">
        <v>1200</v>
      </c>
      <c r="F921" s="50">
        <v>10</v>
      </c>
      <c r="G921" s="50">
        <v>10800</v>
      </c>
    </row>
    <row r="922" spans="1:7" ht="16.5" x14ac:dyDescent="0.25">
      <c r="A922" s="50">
        <v>921</v>
      </c>
      <c r="B922" s="50" t="s">
        <v>2548</v>
      </c>
      <c r="C922" s="50">
        <v>12</v>
      </c>
      <c r="D922" s="50" t="s">
        <v>1229</v>
      </c>
      <c r="E922" s="50">
        <v>800</v>
      </c>
      <c r="F922" s="50">
        <v>10</v>
      </c>
      <c r="G922" s="50">
        <v>8640</v>
      </c>
    </row>
    <row r="923" spans="1:7" ht="16.5" x14ac:dyDescent="0.25">
      <c r="A923" s="50">
        <v>922</v>
      </c>
      <c r="B923" s="50" t="s">
        <v>2549</v>
      </c>
      <c r="C923" s="50">
        <v>16</v>
      </c>
      <c r="D923" s="50" t="s">
        <v>1240</v>
      </c>
      <c r="E923" s="50">
        <v>800</v>
      </c>
      <c r="F923" s="50">
        <v>10</v>
      </c>
      <c r="G923" s="50">
        <v>11520</v>
      </c>
    </row>
    <row r="924" spans="1:7" ht="16.5" x14ac:dyDescent="0.25">
      <c r="A924" s="50">
        <v>923</v>
      </c>
      <c r="B924" s="50" t="s">
        <v>2551</v>
      </c>
      <c r="C924" s="50">
        <v>6</v>
      </c>
      <c r="D924" s="50" t="s">
        <v>1166</v>
      </c>
      <c r="E924" s="50">
        <v>1200</v>
      </c>
      <c r="F924" s="50">
        <v>15</v>
      </c>
      <c r="G924" s="50">
        <v>6120</v>
      </c>
    </row>
    <row r="925" spans="1:7" ht="16.5" x14ac:dyDescent="0.25">
      <c r="A925" s="50">
        <v>924</v>
      </c>
      <c r="B925" s="50" t="s">
        <v>2553</v>
      </c>
      <c r="C925" s="50">
        <v>3</v>
      </c>
      <c r="D925" s="50" t="s">
        <v>1161</v>
      </c>
      <c r="E925" s="50">
        <v>1200</v>
      </c>
      <c r="F925" s="50">
        <v>15</v>
      </c>
      <c r="G925" s="50">
        <v>3060</v>
      </c>
    </row>
    <row r="926" spans="1:7" ht="16.5" x14ac:dyDescent="0.25">
      <c r="A926" s="50">
        <v>925</v>
      </c>
      <c r="B926" s="50" t="s">
        <v>2554</v>
      </c>
      <c r="C926" s="50">
        <v>8</v>
      </c>
      <c r="D926" s="50" t="s">
        <v>1161</v>
      </c>
      <c r="E926" s="50">
        <v>800</v>
      </c>
      <c r="F926" s="50">
        <v>0</v>
      </c>
      <c r="G926" s="50">
        <v>6400</v>
      </c>
    </row>
    <row r="927" spans="1:7" ht="16.5" x14ac:dyDescent="0.25">
      <c r="A927" s="50">
        <v>926</v>
      </c>
      <c r="B927" s="50" t="s">
        <v>2555</v>
      </c>
      <c r="C927" s="50">
        <v>18</v>
      </c>
      <c r="D927" s="50" t="s">
        <v>1146</v>
      </c>
      <c r="E927" s="50">
        <v>800</v>
      </c>
      <c r="F927" s="50">
        <v>10</v>
      </c>
      <c r="G927" s="50">
        <v>12960</v>
      </c>
    </row>
    <row r="928" spans="1:7" ht="16.5" x14ac:dyDescent="0.25">
      <c r="A928" s="50">
        <v>927</v>
      </c>
      <c r="B928" s="50" t="s">
        <v>2556</v>
      </c>
      <c r="C928" s="50">
        <v>5</v>
      </c>
      <c r="D928" s="50" t="s">
        <v>1140</v>
      </c>
      <c r="E928" s="50">
        <v>800</v>
      </c>
      <c r="F928" s="50">
        <v>10</v>
      </c>
      <c r="G928" s="50">
        <v>3600</v>
      </c>
    </row>
    <row r="929" spans="1:7" ht="16.5" x14ac:dyDescent="0.25">
      <c r="A929" s="50">
        <v>928</v>
      </c>
      <c r="B929" s="50" t="s">
        <v>2558</v>
      </c>
      <c r="C929" s="50">
        <v>19</v>
      </c>
      <c r="D929" s="50" t="s">
        <v>1158</v>
      </c>
      <c r="E929" s="50">
        <v>1500</v>
      </c>
      <c r="F929" s="50">
        <v>0</v>
      </c>
      <c r="G929" s="50">
        <v>28500</v>
      </c>
    </row>
    <row r="930" spans="1:7" ht="16.5" x14ac:dyDescent="0.25">
      <c r="A930" s="50">
        <v>929</v>
      </c>
      <c r="B930" s="50" t="s">
        <v>2559</v>
      </c>
      <c r="C930" s="50">
        <v>11</v>
      </c>
      <c r="D930" s="50" t="s">
        <v>1198</v>
      </c>
      <c r="E930" s="50">
        <v>1500</v>
      </c>
      <c r="F930" s="50">
        <v>10</v>
      </c>
      <c r="G930" s="50">
        <v>14850</v>
      </c>
    </row>
    <row r="931" spans="1:7" ht="16.5" x14ac:dyDescent="0.25">
      <c r="A931" s="50">
        <v>930</v>
      </c>
      <c r="B931" s="50" t="s">
        <v>2560</v>
      </c>
      <c r="C931" s="50">
        <v>19</v>
      </c>
      <c r="D931" s="50" t="s">
        <v>1342</v>
      </c>
      <c r="E931" s="50">
        <v>800</v>
      </c>
      <c r="F931" s="50">
        <v>10</v>
      </c>
      <c r="G931" s="50">
        <v>13680</v>
      </c>
    </row>
    <row r="932" spans="1:7" ht="16.5" x14ac:dyDescent="0.25">
      <c r="A932" s="50">
        <v>931</v>
      </c>
      <c r="B932" s="50" t="s">
        <v>2561</v>
      </c>
      <c r="C932" s="50">
        <v>11</v>
      </c>
      <c r="D932" s="50" t="s">
        <v>1174</v>
      </c>
      <c r="E932" s="50">
        <v>800</v>
      </c>
      <c r="F932" s="50">
        <v>5</v>
      </c>
      <c r="G932" s="50">
        <v>8360</v>
      </c>
    </row>
    <row r="933" spans="1:7" ht="16.5" x14ac:dyDescent="0.25">
      <c r="A933" s="50">
        <v>932</v>
      </c>
      <c r="B933" s="50" t="s">
        <v>2563</v>
      </c>
      <c r="C933" s="50">
        <v>19</v>
      </c>
      <c r="D933" s="50" t="s">
        <v>1171</v>
      </c>
      <c r="E933" s="50">
        <v>800</v>
      </c>
      <c r="F933" s="50">
        <v>15</v>
      </c>
      <c r="G933" s="50">
        <v>12920</v>
      </c>
    </row>
    <row r="934" spans="1:7" ht="16.5" x14ac:dyDescent="0.25">
      <c r="A934" s="50">
        <v>933</v>
      </c>
      <c r="B934" s="50" t="s">
        <v>2564</v>
      </c>
      <c r="C934" s="50">
        <v>8</v>
      </c>
      <c r="D934" s="50" t="s">
        <v>1262</v>
      </c>
      <c r="E934" s="50">
        <v>1500</v>
      </c>
      <c r="F934" s="50">
        <v>0</v>
      </c>
      <c r="G934" s="50">
        <v>12000</v>
      </c>
    </row>
    <row r="935" spans="1:7" ht="16.5" x14ac:dyDescent="0.25">
      <c r="A935" s="50">
        <v>934</v>
      </c>
      <c r="B935" s="50" t="s">
        <v>2565</v>
      </c>
      <c r="C935" s="50">
        <v>17</v>
      </c>
      <c r="D935" s="50" t="s">
        <v>1229</v>
      </c>
      <c r="E935" s="50">
        <v>800</v>
      </c>
      <c r="F935" s="50">
        <v>0</v>
      </c>
      <c r="G935" s="50">
        <v>13600</v>
      </c>
    </row>
    <row r="936" spans="1:7" ht="16.5" x14ac:dyDescent="0.25">
      <c r="A936" s="50">
        <v>935</v>
      </c>
      <c r="B936" s="50" t="s">
        <v>2566</v>
      </c>
      <c r="C936" s="50">
        <v>11</v>
      </c>
      <c r="D936" s="50" t="s">
        <v>1152</v>
      </c>
      <c r="E936" s="50">
        <v>800</v>
      </c>
      <c r="F936" s="50">
        <v>0</v>
      </c>
      <c r="G936" s="50">
        <v>8800</v>
      </c>
    </row>
    <row r="937" spans="1:7" ht="16.5" x14ac:dyDescent="0.25">
      <c r="A937" s="50">
        <v>936</v>
      </c>
      <c r="B937" s="50" t="s">
        <v>2567</v>
      </c>
      <c r="C937" s="50">
        <v>14</v>
      </c>
      <c r="D937" s="50" t="s">
        <v>1171</v>
      </c>
      <c r="E937" s="50">
        <v>1500</v>
      </c>
      <c r="F937" s="50">
        <v>15</v>
      </c>
      <c r="G937" s="50">
        <v>17850</v>
      </c>
    </row>
    <row r="938" spans="1:7" ht="16.5" x14ac:dyDescent="0.25">
      <c r="A938" s="50">
        <v>937</v>
      </c>
      <c r="B938" s="50" t="s">
        <v>2569</v>
      </c>
      <c r="C938" s="50">
        <v>2</v>
      </c>
      <c r="D938" s="50" t="s">
        <v>1229</v>
      </c>
      <c r="E938" s="50">
        <v>800</v>
      </c>
      <c r="F938" s="50">
        <v>15</v>
      </c>
      <c r="G938" s="50">
        <v>1360</v>
      </c>
    </row>
    <row r="939" spans="1:7" ht="16.5" x14ac:dyDescent="0.25">
      <c r="A939" s="50">
        <v>938</v>
      </c>
      <c r="B939" s="50" t="s">
        <v>2570</v>
      </c>
      <c r="C939" s="50">
        <v>12</v>
      </c>
      <c r="D939" s="50" t="s">
        <v>1161</v>
      </c>
      <c r="E939" s="50">
        <v>1500</v>
      </c>
      <c r="F939" s="50">
        <v>15</v>
      </c>
      <c r="G939" s="50">
        <v>15300</v>
      </c>
    </row>
    <row r="940" spans="1:7" ht="16.5" x14ac:dyDescent="0.25">
      <c r="A940" s="50">
        <v>939</v>
      </c>
      <c r="B940" s="50" t="s">
        <v>2572</v>
      </c>
      <c r="C940" s="50">
        <v>9</v>
      </c>
      <c r="D940" s="50" t="s">
        <v>1171</v>
      </c>
      <c r="E940" s="50">
        <v>1500</v>
      </c>
      <c r="F940" s="50">
        <v>15</v>
      </c>
      <c r="G940" s="50">
        <v>11475</v>
      </c>
    </row>
    <row r="941" spans="1:7" ht="16.5" x14ac:dyDescent="0.25">
      <c r="A941" s="50">
        <v>940</v>
      </c>
      <c r="B941" s="50" t="s">
        <v>2573</v>
      </c>
      <c r="C941" s="50">
        <v>15</v>
      </c>
      <c r="D941" s="50" t="s">
        <v>1149</v>
      </c>
      <c r="E941" s="50">
        <v>1200</v>
      </c>
      <c r="F941" s="50">
        <v>10</v>
      </c>
      <c r="G941" s="50">
        <v>16200</v>
      </c>
    </row>
    <row r="942" spans="1:7" ht="16.5" x14ac:dyDescent="0.25">
      <c r="A942" s="50">
        <v>941</v>
      </c>
      <c r="B942" s="50" t="s">
        <v>2574</v>
      </c>
      <c r="C942" s="50">
        <v>7</v>
      </c>
      <c r="D942" s="50" t="s">
        <v>1174</v>
      </c>
      <c r="E942" s="50">
        <v>1500</v>
      </c>
      <c r="F942" s="50">
        <v>10</v>
      </c>
      <c r="G942" s="50">
        <v>9450</v>
      </c>
    </row>
    <row r="943" spans="1:7" ht="16.5" x14ac:dyDescent="0.25">
      <c r="A943" s="50">
        <v>942</v>
      </c>
      <c r="B943" s="50" t="s">
        <v>2575</v>
      </c>
      <c r="C943" s="50">
        <v>6</v>
      </c>
      <c r="D943" s="50" t="s">
        <v>1192</v>
      </c>
      <c r="E943" s="50">
        <v>800</v>
      </c>
      <c r="F943" s="50">
        <v>5</v>
      </c>
      <c r="G943" s="50">
        <v>4560</v>
      </c>
    </row>
    <row r="944" spans="1:7" ht="16.5" x14ac:dyDescent="0.25">
      <c r="A944" s="50">
        <v>943</v>
      </c>
      <c r="B944" s="50" t="s">
        <v>2576</v>
      </c>
      <c r="C944" s="50">
        <v>9</v>
      </c>
      <c r="D944" s="50" t="s">
        <v>1143</v>
      </c>
      <c r="E944" s="50">
        <v>800</v>
      </c>
      <c r="F944" s="50">
        <v>0</v>
      </c>
      <c r="G944" s="50">
        <v>7200</v>
      </c>
    </row>
    <row r="945" spans="1:7" ht="16.5" x14ac:dyDescent="0.25">
      <c r="A945" s="50">
        <v>944</v>
      </c>
      <c r="B945" s="50" t="s">
        <v>2577</v>
      </c>
      <c r="C945" s="50">
        <v>15</v>
      </c>
      <c r="D945" s="50" t="s">
        <v>1262</v>
      </c>
      <c r="E945" s="50">
        <v>1500</v>
      </c>
      <c r="F945" s="50">
        <v>5</v>
      </c>
      <c r="G945" s="50">
        <v>21375</v>
      </c>
    </row>
    <row r="946" spans="1:7" ht="16.5" x14ac:dyDescent="0.25">
      <c r="A946" s="50">
        <v>945</v>
      </c>
      <c r="B946" s="50" t="s">
        <v>2579</v>
      </c>
      <c r="C946" s="50">
        <v>16</v>
      </c>
      <c r="D946" s="50" t="s">
        <v>1137</v>
      </c>
      <c r="E946" s="50">
        <v>1200</v>
      </c>
      <c r="F946" s="50">
        <v>15</v>
      </c>
      <c r="G946" s="50">
        <v>16320</v>
      </c>
    </row>
    <row r="947" spans="1:7" ht="16.5" x14ac:dyDescent="0.25">
      <c r="A947" s="50">
        <v>946</v>
      </c>
      <c r="B947" s="50" t="s">
        <v>2580</v>
      </c>
      <c r="C947" s="50">
        <v>11</v>
      </c>
      <c r="D947" s="50" t="s">
        <v>1229</v>
      </c>
      <c r="E947" s="50">
        <v>800</v>
      </c>
      <c r="F947" s="50">
        <v>15</v>
      </c>
      <c r="G947" s="50">
        <v>7480</v>
      </c>
    </row>
    <row r="948" spans="1:7" ht="16.5" x14ac:dyDescent="0.25">
      <c r="A948" s="50">
        <v>947</v>
      </c>
      <c r="B948" s="50" t="s">
        <v>2581</v>
      </c>
      <c r="C948" s="50">
        <v>17</v>
      </c>
      <c r="D948" s="50" t="s">
        <v>1198</v>
      </c>
      <c r="E948" s="50">
        <v>1500</v>
      </c>
      <c r="F948" s="50">
        <v>15</v>
      </c>
      <c r="G948" s="50">
        <v>21675</v>
      </c>
    </row>
    <row r="949" spans="1:7" ht="16.5" x14ac:dyDescent="0.25">
      <c r="A949" s="50">
        <v>948</v>
      </c>
      <c r="B949" s="50" t="s">
        <v>2582</v>
      </c>
      <c r="C949" s="50">
        <v>11</v>
      </c>
      <c r="D949" s="50" t="s">
        <v>1171</v>
      </c>
      <c r="E949" s="50">
        <v>800</v>
      </c>
      <c r="F949" s="50">
        <v>10</v>
      </c>
      <c r="G949" s="50">
        <v>7920</v>
      </c>
    </row>
    <row r="950" spans="1:7" ht="16.5" x14ac:dyDescent="0.25">
      <c r="A950" s="50">
        <v>949</v>
      </c>
      <c r="B950" s="50" t="s">
        <v>2583</v>
      </c>
      <c r="C950" s="50">
        <v>7</v>
      </c>
      <c r="D950" s="50" t="s">
        <v>1158</v>
      </c>
      <c r="E950" s="50">
        <v>1500</v>
      </c>
      <c r="F950" s="50">
        <v>5</v>
      </c>
      <c r="G950" s="50">
        <v>9975</v>
      </c>
    </row>
    <row r="951" spans="1:7" ht="16.5" x14ac:dyDescent="0.25">
      <c r="A951" s="50">
        <v>950</v>
      </c>
      <c r="B951" s="50" t="s">
        <v>2584</v>
      </c>
      <c r="C951" s="50">
        <v>11</v>
      </c>
      <c r="D951" s="50" t="s">
        <v>1166</v>
      </c>
      <c r="E951" s="50">
        <v>1500</v>
      </c>
      <c r="F951" s="50">
        <v>15</v>
      </c>
      <c r="G951" s="50">
        <v>14025</v>
      </c>
    </row>
    <row r="952" spans="1:7" ht="16.5" x14ac:dyDescent="0.25">
      <c r="A952" s="50">
        <v>951</v>
      </c>
      <c r="B952" s="50" t="s">
        <v>2585</v>
      </c>
      <c r="C952" s="50">
        <v>1</v>
      </c>
      <c r="D952" s="50" t="s">
        <v>1158</v>
      </c>
      <c r="E952" s="50">
        <v>800</v>
      </c>
      <c r="F952" s="50">
        <v>0</v>
      </c>
      <c r="G952" s="50">
        <v>800</v>
      </c>
    </row>
    <row r="953" spans="1:7" ht="16.5" x14ac:dyDescent="0.25">
      <c r="A953" s="50">
        <v>952</v>
      </c>
      <c r="B953" s="50" t="s">
        <v>2586</v>
      </c>
      <c r="C953" s="50">
        <v>3</v>
      </c>
      <c r="D953" s="50" t="s">
        <v>1240</v>
      </c>
      <c r="E953" s="50">
        <v>1200</v>
      </c>
      <c r="F953" s="50">
        <v>10</v>
      </c>
      <c r="G953" s="50">
        <v>3240</v>
      </c>
    </row>
    <row r="954" spans="1:7" ht="16.5" x14ac:dyDescent="0.25">
      <c r="A954" s="50">
        <v>953</v>
      </c>
      <c r="B954" s="50" t="s">
        <v>2587</v>
      </c>
      <c r="C954" s="50">
        <v>16</v>
      </c>
      <c r="D954" s="50" t="s">
        <v>1262</v>
      </c>
      <c r="E954" s="50">
        <v>1200</v>
      </c>
      <c r="F954" s="50">
        <v>5</v>
      </c>
      <c r="G954" s="50">
        <v>18240</v>
      </c>
    </row>
    <row r="955" spans="1:7" ht="16.5" x14ac:dyDescent="0.25">
      <c r="A955" s="50">
        <v>954</v>
      </c>
      <c r="B955" s="50" t="s">
        <v>2588</v>
      </c>
      <c r="C955" s="50">
        <v>4</v>
      </c>
      <c r="D955" s="50" t="s">
        <v>1161</v>
      </c>
      <c r="E955" s="50">
        <v>1500</v>
      </c>
      <c r="F955" s="50">
        <v>0</v>
      </c>
      <c r="G955" s="50">
        <v>6000</v>
      </c>
    </row>
    <row r="956" spans="1:7" ht="16.5" x14ac:dyDescent="0.25">
      <c r="A956" s="50">
        <v>955</v>
      </c>
      <c r="B956" s="50" t="s">
        <v>2589</v>
      </c>
      <c r="C956" s="50">
        <v>13</v>
      </c>
      <c r="D956" s="50" t="s">
        <v>1192</v>
      </c>
      <c r="E956" s="50">
        <v>800</v>
      </c>
      <c r="F956" s="50">
        <v>5</v>
      </c>
      <c r="G956" s="50">
        <v>9880</v>
      </c>
    </row>
    <row r="957" spans="1:7" ht="16.5" x14ac:dyDescent="0.25">
      <c r="A957" s="50">
        <v>956</v>
      </c>
      <c r="B957" s="50" t="s">
        <v>2590</v>
      </c>
      <c r="C957" s="50">
        <v>10</v>
      </c>
      <c r="D957" s="50" t="s">
        <v>1140</v>
      </c>
      <c r="E957" s="50">
        <v>1200</v>
      </c>
      <c r="F957" s="50">
        <v>5</v>
      </c>
      <c r="G957" s="50">
        <v>11400</v>
      </c>
    </row>
    <row r="958" spans="1:7" ht="16.5" x14ac:dyDescent="0.25">
      <c r="A958" s="50">
        <v>957</v>
      </c>
      <c r="B958" s="50" t="s">
        <v>2591</v>
      </c>
      <c r="C958" s="50">
        <v>13</v>
      </c>
      <c r="D958" s="50" t="s">
        <v>1174</v>
      </c>
      <c r="E958" s="50">
        <v>1500</v>
      </c>
      <c r="F958" s="50">
        <v>0</v>
      </c>
      <c r="G958" s="50">
        <v>19500</v>
      </c>
    </row>
    <row r="959" spans="1:7" ht="16.5" x14ac:dyDescent="0.25">
      <c r="A959" s="50">
        <v>958</v>
      </c>
      <c r="B959" s="50" t="s">
        <v>2592</v>
      </c>
      <c r="C959" s="50">
        <v>12</v>
      </c>
      <c r="D959" s="50" t="s">
        <v>1161</v>
      </c>
      <c r="E959" s="50">
        <v>1200</v>
      </c>
      <c r="F959" s="50">
        <v>10</v>
      </c>
      <c r="G959" s="50">
        <v>12960</v>
      </c>
    </row>
    <row r="960" spans="1:7" ht="16.5" x14ac:dyDescent="0.25">
      <c r="A960" s="50">
        <v>959</v>
      </c>
      <c r="B960" s="50" t="s">
        <v>2593</v>
      </c>
      <c r="C960" s="50">
        <v>2</v>
      </c>
      <c r="D960" s="50" t="s">
        <v>1140</v>
      </c>
      <c r="E960" s="50">
        <v>1500</v>
      </c>
      <c r="F960" s="50">
        <v>10</v>
      </c>
      <c r="G960" s="50">
        <v>2700</v>
      </c>
    </row>
    <row r="961" spans="1:7" ht="16.5" x14ac:dyDescent="0.25">
      <c r="A961" s="50">
        <v>960</v>
      </c>
      <c r="B961" s="50" t="s">
        <v>2594</v>
      </c>
      <c r="C961" s="50">
        <v>1</v>
      </c>
      <c r="D961" s="50" t="s">
        <v>1192</v>
      </c>
      <c r="E961" s="50">
        <v>1500</v>
      </c>
      <c r="F961" s="50">
        <v>15</v>
      </c>
      <c r="G961" s="50">
        <v>1275</v>
      </c>
    </row>
    <row r="962" spans="1:7" ht="16.5" x14ac:dyDescent="0.25">
      <c r="A962" s="50">
        <v>961</v>
      </c>
      <c r="B962" s="50" t="s">
        <v>2595</v>
      </c>
      <c r="C962" s="50">
        <v>4</v>
      </c>
      <c r="D962" s="50" t="s">
        <v>1140</v>
      </c>
      <c r="E962" s="50">
        <v>1200</v>
      </c>
      <c r="F962" s="50">
        <v>10</v>
      </c>
      <c r="G962" s="50">
        <v>4320</v>
      </c>
    </row>
    <row r="963" spans="1:7" ht="16.5" x14ac:dyDescent="0.25">
      <c r="A963" s="50">
        <v>962</v>
      </c>
      <c r="B963" s="50" t="s">
        <v>2596</v>
      </c>
      <c r="C963" s="50">
        <v>13</v>
      </c>
      <c r="D963" s="50" t="s">
        <v>1187</v>
      </c>
      <c r="E963" s="50">
        <v>1500</v>
      </c>
      <c r="F963" s="50">
        <v>15</v>
      </c>
      <c r="G963" s="50">
        <v>16575</v>
      </c>
    </row>
    <row r="964" spans="1:7" ht="16.5" x14ac:dyDescent="0.25">
      <c r="A964" s="50">
        <v>963</v>
      </c>
      <c r="B964" s="50" t="s">
        <v>2598</v>
      </c>
      <c r="C964" s="50">
        <v>19</v>
      </c>
      <c r="D964" s="50" t="s">
        <v>1152</v>
      </c>
      <c r="E964" s="50">
        <v>1500</v>
      </c>
      <c r="F964" s="50">
        <v>15</v>
      </c>
      <c r="G964" s="50">
        <v>24225</v>
      </c>
    </row>
    <row r="965" spans="1:7" ht="16.5" x14ac:dyDescent="0.25">
      <c r="A965" s="50">
        <v>964</v>
      </c>
      <c r="B965" s="50" t="s">
        <v>2599</v>
      </c>
      <c r="C965" s="50">
        <v>15</v>
      </c>
      <c r="D965" s="50" t="s">
        <v>1152</v>
      </c>
      <c r="E965" s="50">
        <v>1500</v>
      </c>
      <c r="F965" s="50">
        <v>0</v>
      </c>
      <c r="G965" s="50">
        <v>22500</v>
      </c>
    </row>
    <row r="966" spans="1:7" ht="16.5" x14ac:dyDescent="0.25">
      <c r="A966" s="50">
        <v>965</v>
      </c>
      <c r="B966" s="50" t="s">
        <v>2601</v>
      </c>
      <c r="C966" s="50">
        <v>11</v>
      </c>
      <c r="D966" s="50" t="s">
        <v>1146</v>
      </c>
      <c r="E966" s="50">
        <v>1500</v>
      </c>
      <c r="F966" s="50">
        <v>5</v>
      </c>
      <c r="G966" s="50">
        <v>15675</v>
      </c>
    </row>
    <row r="967" spans="1:7" ht="16.5" x14ac:dyDescent="0.25">
      <c r="A967" s="50">
        <v>966</v>
      </c>
      <c r="B967" s="50" t="s">
        <v>2602</v>
      </c>
      <c r="C967" s="50">
        <v>11</v>
      </c>
      <c r="D967" s="50" t="s">
        <v>1155</v>
      </c>
      <c r="E967" s="50">
        <v>1200</v>
      </c>
      <c r="F967" s="50">
        <v>0</v>
      </c>
      <c r="G967" s="50">
        <v>13200</v>
      </c>
    </row>
    <row r="968" spans="1:7" ht="16.5" x14ac:dyDescent="0.25">
      <c r="A968" s="50">
        <v>967</v>
      </c>
      <c r="B968" s="50" t="s">
        <v>2603</v>
      </c>
      <c r="C968" s="50">
        <v>20</v>
      </c>
      <c r="D968" s="50" t="s">
        <v>1155</v>
      </c>
      <c r="E968" s="50">
        <v>800</v>
      </c>
      <c r="F968" s="50">
        <v>15</v>
      </c>
      <c r="G968" s="50">
        <v>13600</v>
      </c>
    </row>
    <row r="969" spans="1:7" ht="16.5" x14ac:dyDescent="0.25">
      <c r="A969" s="50">
        <v>968</v>
      </c>
      <c r="B969" s="50" t="s">
        <v>2604</v>
      </c>
      <c r="C969" s="50">
        <v>9</v>
      </c>
      <c r="D969" s="50" t="s">
        <v>1262</v>
      </c>
      <c r="E969" s="50">
        <v>1200</v>
      </c>
      <c r="F969" s="50">
        <v>10</v>
      </c>
      <c r="G969" s="50">
        <v>9720</v>
      </c>
    </row>
    <row r="970" spans="1:7" ht="16.5" x14ac:dyDescent="0.25">
      <c r="A970" s="50">
        <v>969</v>
      </c>
      <c r="B970" s="50" t="s">
        <v>2605</v>
      </c>
      <c r="C970" s="50">
        <v>5</v>
      </c>
      <c r="D970" s="50" t="s">
        <v>1166</v>
      </c>
      <c r="E970" s="50">
        <v>1500</v>
      </c>
      <c r="F970" s="50">
        <v>15</v>
      </c>
      <c r="G970" s="50">
        <v>6375</v>
      </c>
    </row>
    <row r="971" spans="1:7" ht="16.5" x14ac:dyDescent="0.25">
      <c r="A971" s="50">
        <v>970</v>
      </c>
      <c r="B971" s="50" t="s">
        <v>2607</v>
      </c>
      <c r="C971" s="50">
        <v>11</v>
      </c>
      <c r="D971" s="50" t="s">
        <v>1218</v>
      </c>
      <c r="E971" s="50">
        <v>800</v>
      </c>
      <c r="F971" s="50">
        <v>15</v>
      </c>
      <c r="G971" s="50">
        <v>7480</v>
      </c>
    </row>
    <row r="972" spans="1:7" ht="16.5" x14ac:dyDescent="0.25">
      <c r="A972" s="50">
        <v>971</v>
      </c>
      <c r="B972" s="50" t="s">
        <v>2608</v>
      </c>
      <c r="C972" s="50">
        <v>17</v>
      </c>
      <c r="D972" s="50" t="s">
        <v>1140</v>
      </c>
      <c r="E972" s="50">
        <v>800</v>
      </c>
      <c r="F972" s="50">
        <v>15</v>
      </c>
      <c r="G972" s="50">
        <v>11560</v>
      </c>
    </row>
    <row r="973" spans="1:7" ht="16.5" x14ac:dyDescent="0.25">
      <c r="A973" s="50">
        <v>972</v>
      </c>
      <c r="B973" s="50" t="s">
        <v>2609</v>
      </c>
      <c r="C973" s="50">
        <v>7</v>
      </c>
      <c r="D973" s="50" t="s">
        <v>1171</v>
      </c>
      <c r="E973" s="50">
        <v>1500</v>
      </c>
      <c r="F973" s="50">
        <v>15</v>
      </c>
      <c r="G973" s="50">
        <v>8925</v>
      </c>
    </row>
    <row r="974" spans="1:7" ht="16.5" x14ac:dyDescent="0.25">
      <c r="A974" s="50">
        <v>973</v>
      </c>
      <c r="B974" s="50" t="s">
        <v>2610</v>
      </c>
      <c r="C974" s="50">
        <v>19</v>
      </c>
      <c r="D974" s="50" t="s">
        <v>1137</v>
      </c>
      <c r="E974" s="50">
        <v>1500</v>
      </c>
      <c r="F974" s="50">
        <v>5</v>
      </c>
      <c r="G974" s="50">
        <v>27075</v>
      </c>
    </row>
    <row r="975" spans="1:7" ht="16.5" x14ac:dyDescent="0.25">
      <c r="A975" s="50">
        <v>974</v>
      </c>
      <c r="B975" s="50" t="s">
        <v>2611</v>
      </c>
      <c r="C975" s="50">
        <v>20</v>
      </c>
      <c r="D975" s="50" t="s">
        <v>1143</v>
      </c>
      <c r="E975" s="50">
        <v>800</v>
      </c>
      <c r="F975" s="50">
        <v>10</v>
      </c>
      <c r="G975" s="50">
        <v>14400</v>
      </c>
    </row>
    <row r="976" spans="1:7" ht="16.5" x14ac:dyDescent="0.25">
      <c r="A976" s="50">
        <v>975</v>
      </c>
      <c r="B976" s="50" t="s">
        <v>2612</v>
      </c>
      <c r="C976" s="50">
        <v>13</v>
      </c>
      <c r="D976" s="50" t="s">
        <v>1166</v>
      </c>
      <c r="E976" s="50">
        <v>1500</v>
      </c>
      <c r="F976" s="50">
        <v>15</v>
      </c>
      <c r="G976" s="50">
        <v>16575</v>
      </c>
    </row>
    <row r="977" spans="1:7" ht="16.5" x14ac:dyDescent="0.25">
      <c r="A977" s="50">
        <v>976</v>
      </c>
      <c r="B977" s="50" t="s">
        <v>2613</v>
      </c>
      <c r="C977" s="50">
        <v>1</v>
      </c>
      <c r="D977" s="50" t="s">
        <v>1152</v>
      </c>
      <c r="E977" s="50">
        <v>1200</v>
      </c>
      <c r="F977" s="50">
        <v>5</v>
      </c>
      <c r="G977" s="50">
        <v>1140</v>
      </c>
    </row>
    <row r="978" spans="1:7" ht="16.5" x14ac:dyDescent="0.25">
      <c r="A978" s="50">
        <v>977</v>
      </c>
      <c r="B978" s="50" t="s">
        <v>2614</v>
      </c>
      <c r="C978" s="50">
        <v>2</v>
      </c>
      <c r="D978" s="50" t="s">
        <v>1218</v>
      </c>
      <c r="E978" s="50">
        <v>1500</v>
      </c>
      <c r="F978" s="50">
        <v>15</v>
      </c>
      <c r="G978" s="50">
        <v>2550</v>
      </c>
    </row>
    <row r="979" spans="1:7" ht="16.5" x14ac:dyDescent="0.25">
      <c r="A979" s="50">
        <v>978</v>
      </c>
      <c r="B979" s="50" t="s">
        <v>2615</v>
      </c>
      <c r="C979" s="50">
        <v>18</v>
      </c>
      <c r="D979" s="50" t="s">
        <v>1198</v>
      </c>
      <c r="E979" s="50">
        <v>800</v>
      </c>
      <c r="F979" s="50">
        <v>0</v>
      </c>
      <c r="G979" s="50">
        <v>14400</v>
      </c>
    </row>
    <row r="980" spans="1:7" ht="16.5" x14ac:dyDescent="0.25">
      <c r="A980" s="50">
        <v>979</v>
      </c>
      <c r="B980" s="50" t="s">
        <v>2616</v>
      </c>
      <c r="C980" s="50">
        <v>16</v>
      </c>
      <c r="D980" s="50" t="s">
        <v>1152</v>
      </c>
      <c r="E980" s="50">
        <v>800</v>
      </c>
      <c r="F980" s="50">
        <v>10</v>
      </c>
      <c r="G980" s="50">
        <v>11520</v>
      </c>
    </row>
    <row r="981" spans="1:7" ht="16.5" x14ac:dyDescent="0.25">
      <c r="A981" s="50">
        <v>980</v>
      </c>
      <c r="B981" s="50" t="s">
        <v>2617</v>
      </c>
      <c r="C981" s="50">
        <v>20</v>
      </c>
      <c r="D981" s="50" t="s">
        <v>1262</v>
      </c>
      <c r="E981" s="50">
        <v>1200</v>
      </c>
      <c r="F981" s="50">
        <v>15</v>
      </c>
      <c r="G981" s="50">
        <v>20400</v>
      </c>
    </row>
    <row r="982" spans="1:7" ht="16.5" x14ac:dyDescent="0.25">
      <c r="A982" s="50">
        <v>981</v>
      </c>
      <c r="B982" s="50" t="s">
        <v>2618</v>
      </c>
      <c r="C982" s="50">
        <v>13</v>
      </c>
      <c r="D982" s="50" t="s">
        <v>1201</v>
      </c>
      <c r="E982" s="50">
        <v>1200</v>
      </c>
      <c r="F982" s="50">
        <v>5</v>
      </c>
      <c r="G982" s="50">
        <v>14820</v>
      </c>
    </row>
    <row r="983" spans="1:7" ht="16.5" x14ac:dyDescent="0.25">
      <c r="A983" s="50">
        <v>982</v>
      </c>
      <c r="B983" s="50" t="s">
        <v>2619</v>
      </c>
      <c r="C983" s="50">
        <v>12</v>
      </c>
      <c r="D983" s="50" t="s">
        <v>1187</v>
      </c>
      <c r="E983" s="50">
        <v>800</v>
      </c>
      <c r="F983" s="50">
        <v>0</v>
      </c>
      <c r="G983" s="50">
        <v>9600</v>
      </c>
    </row>
    <row r="984" spans="1:7" ht="16.5" x14ac:dyDescent="0.25">
      <c r="A984" s="50">
        <v>983</v>
      </c>
      <c r="B984" s="50" t="s">
        <v>2620</v>
      </c>
      <c r="C984" s="50">
        <v>3</v>
      </c>
      <c r="D984" s="50" t="s">
        <v>1174</v>
      </c>
      <c r="E984" s="50">
        <v>1500</v>
      </c>
      <c r="F984" s="50">
        <v>0</v>
      </c>
      <c r="G984" s="50">
        <v>4500</v>
      </c>
    </row>
    <row r="985" spans="1:7" ht="16.5" x14ac:dyDescent="0.25">
      <c r="A985" s="50">
        <v>984</v>
      </c>
      <c r="B985" s="50" t="s">
        <v>2621</v>
      </c>
      <c r="C985" s="50">
        <v>8</v>
      </c>
      <c r="D985" s="50" t="s">
        <v>1174</v>
      </c>
      <c r="E985" s="50">
        <v>800</v>
      </c>
      <c r="F985" s="50">
        <v>0</v>
      </c>
      <c r="G985" s="50">
        <v>6400</v>
      </c>
    </row>
    <row r="986" spans="1:7" ht="16.5" x14ac:dyDescent="0.25">
      <c r="A986" s="50">
        <v>985</v>
      </c>
      <c r="B986" s="50" t="s">
        <v>2622</v>
      </c>
      <c r="C986" s="50">
        <v>1</v>
      </c>
      <c r="D986" s="50" t="s">
        <v>1166</v>
      </c>
      <c r="E986" s="50">
        <v>1200</v>
      </c>
      <c r="F986" s="50">
        <v>5</v>
      </c>
      <c r="G986" s="50">
        <v>1140</v>
      </c>
    </row>
    <row r="987" spans="1:7" ht="16.5" x14ac:dyDescent="0.25">
      <c r="A987" s="50">
        <v>986</v>
      </c>
      <c r="B987" s="50" t="s">
        <v>2624</v>
      </c>
      <c r="C987" s="50">
        <v>8</v>
      </c>
      <c r="D987" s="50" t="s">
        <v>1240</v>
      </c>
      <c r="E987" s="50">
        <v>800</v>
      </c>
      <c r="F987" s="50">
        <v>0</v>
      </c>
      <c r="G987" s="50">
        <v>6400</v>
      </c>
    </row>
    <row r="988" spans="1:7" ht="16.5" x14ac:dyDescent="0.25">
      <c r="A988" s="50">
        <v>987</v>
      </c>
      <c r="B988" s="50" t="s">
        <v>2625</v>
      </c>
      <c r="C988" s="50">
        <v>18</v>
      </c>
      <c r="D988" s="50" t="s">
        <v>1137</v>
      </c>
      <c r="E988" s="50">
        <v>800</v>
      </c>
      <c r="F988" s="50">
        <v>10</v>
      </c>
      <c r="G988" s="50">
        <v>12960</v>
      </c>
    </row>
    <row r="989" spans="1:7" ht="16.5" x14ac:dyDescent="0.25">
      <c r="A989" s="50">
        <v>988</v>
      </c>
      <c r="B989" s="50" t="s">
        <v>2626</v>
      </c>
      <c r="C989" s="50">
        <v>10</v>
      </c>
      <c r="D989" s="50" t="s">
        <v>1171</v>
      </c>
      <c r="E989" s="50">
        <v>800</v>
      </c>
      <c r="F989" s="50">
        <v>0</v>
      </c>
      <c r="G989" s="50">
        <v>8000</v>
      </c>
    </row>
    <row r="990" spans="1:7" ht="16.5" x14ac:dyDescent="0.25">
      <c r="A990" s="50">
        <v>989</v>
      </c>
      <c r="B990" s="50" t="s">
        <v>2627</v>
      </c>
      <c r="C990" s="50">
        <v>7</v>
      </c>
      <c r="D990" s="50" t="s">
        <v>1146</v>
      </c>
      <c r="E990" s="50">
        <v>800</v>
      </c>
      <c r="F990" s="50">
        <v>10</v>
      </c>
      <c r="G990" s="50">
        <v>5040</v>
      </c>
    </row>
    <row r="991" spans="1:7" ht="16.5" x14ac:dyDescent="0.25">
      <c r="A991" s="50">
        <v>990</v>
      </c>
      <c r="B991" s="50" t="s">
        <v>2628</v>
      </c>
      <c r="C991" s="50">
        <v>20</v>
      </c>
      <c r="D991" s="50" t="s">
        <v>1137</v>
      </c>
      <c r="E991" s="50">
        <v>800</v>
      </c>
      <c r="F991" s="50">
        <v>10</v>
      </c>
      <c r="G991" s="50">
        <v>14400</v>
      </c>
    </row>
    <row r="992" spans="1:7" ht="16.5" x14ac:dyDescent="0.25">
      <c r="A992" s="50">
        <v>991</v>
      </c>
      <c r="B992" s="50" t="s">
        <v>2630</v>
      </c>
      <c r="C992" s="50">
        <v>11</v>
      </c>
      <c r="D992" s="50" t="s">
        <v>1158</v>
      </c>
      <c r="E992" s="50">
        <v>1500</v>
      </c>
      <c r="F992" s="50">
        <v>10</v>
      </c>
      <c r="G992" s="50">
        <v>14850</v>
      </c>
    </row>
    <row r="993" spans="1:7" ht="16.5" x14ac:dyDescent="0.25">
      <c r="A993" s="50">
        <v>992</v>
      </c>
      <c r="B993" s="50" t="s">
        <v>2632</v>
      </c>
      <c r="C993" s="50">
        <v>18</v>
      </c>
      <c r="D993" s="50" t="s">
        <v>1152</v>
      </c>
      <c r="E993" s="50">
        <v>800</v>
      </c>
      <c r="F993" s="50">
        <v>15</v>
      </c>
      <c r="G993" s="50">
        <v>12240</v>
      </c>
    </row>
    <row r="994" spans="1:7" ht="16.5" x14ac:dyDescent="0.25">
      <c r="A994" s="50">
        <v>993</v>
      </c>
      <c r="B994" s="50" t="s">
        <v>2633</v>
      </c>
      <c r="C994" s="50">
        <v>10</v>
      </c>
      <c r="D994" s="50" t="s">
        <v>1143</v>
      </c>
      <c r="E994" s="50">
        <v>800</v>
      </c>
      <c r="F994" s="50">
        <v>5</v>
      </c>
      <c r="G994" s="50">
        <v>7600</v>
      </c>
    </row>
    <row r="995" spans="1:7" ht="16.5" x14ac:dyDescent="0.25">
      <c r="A995" s="50">
        <v>994</v>
      </c>
      <c r="B995" s="50" t="s">
        <v>2634</v>
      </c>
      <c r="C995" s="50">
        <v>17</v>
      </c>
      <c r="D995" s="50" t="s">
        <v>1229</v>
      </c>
      <c r="E995" s="50">
        <v>800</v>
      </c>
      <c r="F995" s="50">
        <v>15</v>
      </c>
      <c r="G995" s="50">
        <v>11560</v>
      </c>
    </row>
    <row r="996" spans="1:7" ht="16.5" x14ac:dyDescent="0.25">
      <c r="A996" s="50">
        <v>995</v>
      </c>
      <c r="B996" s="50" t="s">
        <v>2635</v>
      </c>
      <c r="C996" s="50">
        <v>8</v>
      </c>
      <c r="D996" s="50" t="s">
        <v>1158</v>
      </c>
      <c r="E996" s="50">
        <v>1200</v>
      </c>
      <c r="F996" s="50">
        <v>0</v>
      </c>
      <c r="G996" s="50">
        <v>9600</v>
      </c>
    </row>
    <row r="997" spans="1:7" ht="16.5" x14ac:dyDescent="0.25">
      <c r="A997" s="50">
        <v>996</v>
      </c>
      <c r="B997" s="50" t="s">
        <v>2637</v>
      </c>
      <c r="C997" s="50">
        <v>7</v>
      </c>
      <c r="D997" s="50" t="s">
        <v>1140</v>
      </c>
      <c r="E997" s="50">
        <v>1500</v>
      </c>
      <c r="F997" s="50">
        <v>0</v>
      </c>
      <c r="G997" s="50">
        <v>10500</v>
      </c>
    </row>
    <row r="998" spans="1:7" ht="16.5" x14ac:dyDescent="0.25">
      <c r="A998" s="50">
        <v>997</v>
      </c>
      <c r="B998" s="50" t="s">
        <v>2638</v>
      </c>
      <c r="C998" s="50">
        <v>3</v>
      </c>
      <c r="D998" s="50" t="s">
        <v>1174</v>
      </c>
      <c r="E998" s="50">
        <v>800</v>
      </c>
      <c r="F998" s="50">
        <v>15</v>
      </c>
      <c r="G998" s="50">
        <v>2040</v>
      </c>
    </row>
    <row r="999" spans="1:7" ht="16.5" x14ac:dyDescent="0.25">
      <c r="A999" s="50">
        <v>998</v>
      </c>
      <c r="B999" s="50" t="s">
        <v>2639</v>
      </c>
      <c r="C999" s="50">
        <v>19</v>
      </c>
      <c r="D999" s="50" t="s">
        <v>1229</v>
      </c>
      <c r="E999" s="50">
        <v>1500</v>
      </c>
      <c r="F999" s="50">
        <v>0</v>
      </c>
      <c r="G999" s="50">
        <v>28500</v>
      </c>
    </row>
    <row r="1000" spans="1:7" ht="16.5" x14ac:dyDescent="0.25">
      <c r="A1000" s="50">
        <v>999</v>
      </c>
      <c r="B1000" s="50" t="s">
        <v>2640</v>
      </c>
      <c r="C1000" s="50">
        <v>19</v>
      </c>
      <c r="D1000" s="50" t="s">
        <v>1342</v>
      </c>
      <c r="E1000" s="50">
        <v>1500</v>
      </c>
      <c r="F1000" s="50">
        <v>10</v>
      </c>
      <c r="G1000" s="50">
        <v>25650</v>
      </c>
    </row>
    <row r="1001" spans="1:7" ht="16.5" x14ac:dyDescent="0.25">
      <c r="A1001" s="50">
        <v>1000</v>
      </c>
      <c r="B1001" s="50" t="s">
        <v>2641</v>
      </c>
      <c r="C1001" s="50">
        <v>5</v>
      </c>
      <c r="D1001" s="50" t="s">
        <v>1158</v>
      </c>
      <c r="E1001" s="50">
        <v>1200</v>
      </c>
      <c r="F1001" s="50">
        <v>15</v>
      </c>
      <c r="G1001" s="50">
        <v>5100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3"/>
  <sheetViews>
    <sheetView zoomScaleNormal="100" workbookViewId="0">
      <selection activeCell="C1" sqref="C1"/>
    </sheetView>
  </sheetViews>
  <sheetFormatPr defaultRowHeight="15" customHeight="1" x14ac:dyDescent="0.25"/>
  <cols>
    <col min="1" max="1" width="1.7109375" customWidth="1"/>
    <col min="2" max="2" width="30.7109375" customWidth="1"/>
    <col min="3" max="3" width="55" customWidth="1"/>
    <col min="4" max="4" width="62.42578125" customWidth="1"/>
    <col min="5" max="5" width="30.7109375" customWidth="1"/>
    <col min="6" max="6" width="1.7109375" customWidth="1"/>
  </cols>
  <sheetData>
    <row r="1" spans="2:5" s="3" customFormat="1" ht="93" customHeight="1" x14ac:dyDescent="0.25">
      <c r="C1" s="48" t="s">
        <v>1117</v>
      </c>
    </row>
    <row r="2" spans="2:5" s="3" customFormat="1" ht="15" customHeight="1" x14ac:dyDescent="0.25">
      <c r="C2" s="3" t="s">
        <v>1118</v>
      </c>
    </row>
    <row r="3" spans="2:5" s="3" customFormat="1" ht="15" customHeight="1" x14ac:dyDescent="0.25">
      <c r="C3" s="3" t="s">
        <v>1119</v>
      </c>
    </row>
    <row r="4" spans="2:5" s="3" customFormat="1" ht="15" customHeight="1" x14ac:dyDescent="0.25">
      <c r="C4" s="3" t="s">
        <v>1120</v>
      </c>
    </row>
    <row r="5" spans="2:5" s="3" customFormat="1" ht="15" customHeight="1" x14ac:dyDescent="0.25">
      <c r="C5" s="3" t="s">
        <v>1121</v>
      </c>
    </row>
    <row r="6" spans="2:5" ht="15" customHeight="1" x14ac:dyDescent="0.25">
      <c r="C6" s="3" t="s">
        <v>1122</v>
      </c>
    </row>
    <row r="7" spans="2:5" ht="15" customHeight="1" x14ac:dyDescent="0.25">
      <c r="B7" s="46"/>
      <c r="C7" s="47" t="s">
        <v>1123</v>
      </c>
      <c r="D7" s="46"/>
      <c r="E7" s="46"/>
    </row>
    <row r="8" spans="2:5" ht="15" customHeight="1" x14ac:dyDescent="0.25">
      <c r="C8" s="3" t="s">
        <v>1124</v>
      </c>
      <c r="D8" t="s">
        <v>2663</v>
      </c>
    </row>
    <row r="9" spans="2:5" ht="15" customHeight="1" x14ac:dyDescent="0.25">
      <c r="B9" s="41"/>
      <c r="C9" s="43" t="s">
        <v>1125</v>
      </c>
      <c r="D9" s="41"/>
      <c r="E9" s="41"/>
    </row>
    <row r="10" spans="2:5" ht="15" customHeight="1" x14ac:dyDescent="0.25">
      <c r="B10" s="40"/>
      <c r="C10" s="42"/>
      <c r="D10" s="43" t="s">
        <v>2657</v>
      </c>
      <c r="E10" s="44"/>
    </row>
    <row r="11" spans="2:5" ht="15" customHeight="1" x14ac:dyDescent="0.25">
      <c r="B11" s="40"/>
      <c r="C11" s="42"/>
      <c r="D11" s="43" t="s">
        <v>2658</v>
      </c>
      <c r="E11" s="44"/>
    </row>
    <row r="12" spans="2:5" ht="15" customHeight="1" x14ac:dyDescent="0.35">
      <c r="B12" s="40"/>
      <c r="C12" s="60"/>
      <c r="D12" s="43" t="s">
        <v>2659</v>
      </c>
      <c r="E12" s="44"/>
    </row>
    <row r="13" spans="2:5" ht="15" customHeight="1" x14ac:dyDescent="0.25">
      <c r="B13" s="40"/>
      <c r="C13" s="61"/>
      <c r="D13" s="43" t="s">
        <v>2660</v>
      </c>
      <c r="E13" s="44"/>
    </row>
    <row r="14" spans="2:5" ht="15" customHeight="1" x14ac:dyDescent="0.35">
      <c r="C14" s="60"/>
      <c r="D14" s="43" t="s">
        <v>2661</v>
      </c>
    </row>
    <row r="15" spans="2:5" ht="15" customHeight="1" x14ac:dyDescent="0.35">
      <c r="C15" s="57"/>
      <c r="D15" s="43" t="s">
        <v>2662</v>
      </c>
    </row>
    <row r="16" spans="2:5" ht="15" customHeight="1" x14ac:dyDescent="0.35">
      <c r="C16" s="57"/>
    </row>
    <row r="27" spans="2:5" ht="15" customHeight="1" x14ac:dyDescent="0.25">
      <c r="B27" s="45"/>
      <c r="C27" s="45"/>
      <c r="D27" s="45"/>
      <c r="E27" s="45"/>
    </row>
    <row r="29" spans="2:5" ht="15" customHeight="1" x14ac:dyDescent="0.25">
      <c r="B29" s="41"/>
      <c r="C29" s="41"/>
      <c r="D29" s="41"/>
      <c r="E29" s="41"/>
    </row>
    <row r="30" spans="2:5" ht="15" customHeight="1" x14ac:dyDescent="0.25">
      <c r="B30" s="40"/>
      <c r="C30" s="42"/>
      <c r="D30" s="43"/>
      <c r="E30" s="44"/>
    </row>
    <row r="31" spans="2:5" ht="15" customHeight="1" x14ac:dyDescent="0.25">
      <c r="B31" s="40"/>
      <c r="C31" s="42"/>
      <c r="D31" s="43"/>
      <c r="E31" s="44"/>
    </row>
    <row r="32" spans="2:5" ht="15" customHeight="1" x14ac:dyDescent="0.25">
      <c r="B32" s="40"/>
      <c r="C32" s="42"/>
      <c r="D32" s="43"/>
      <c r="E32" s="44"/>
    </row>
    <row r="46" spans="2:5" ht="15" customHeight="1" x14ac:dyDescent="0.25">
      <c r="B46" s="46"/>
      <c r="C46" s="46"/>
      <c r="D46" s="46"/>
      <c r="E46" s="46"/>
    </row>
    <row r="48" spans="2:5" ht="15" customHeight="1" x14ac:dyDescent="0.25">
      <c r="B48" s="41"/>
      <c r="C48" s="41"/>
      <c r="D48" s="41"/>
      <c r="E48" s="41"/>
    </row>
    <row r="49" spans="2:5" ht="15" customHeight="1" x14ac:dyDescent="0.25">
      <c r="B49" s="40"/>
      <c r="C49" s="42"/>
      <c r="D49" s="43"/>
      <c r="E49" s="44"/>
    </row>
    <row r="50" spans="2:5" ht="15" customHeight="1" x14ac:dyDescent="0.25">
      <c r="B50" s="40"/>
      <c r="C50" s="42"/>
      <c r="D50" s="43"/>
      <c r="E50" s="44"/>
    </row>
    <row r="51" spans="2:5" ht="15" customHeight="1" x14ac:dyDescent="0.25">
      <c r="B51" s="40"/>
      <c r="C51" s="42"/>
      <c r="D51" s="43"/>
      <c r="E51" s="44"/>
    </row>
    <row r="52" spans="2:5" ht="15" customHeight="1" x14ac:dyDescent="0.25">
      <c r="B52" s="40"/>
      <c r="C52" s="42"/>
      <c r="D52" s="43"/>
      <c r="E52" s="44"/>
    </row>
    <row r="53" spans="2:5" ht="15" customHeight="1" x14ac:dyDescent="0.25">
      <c r="B53" s="40"/>
      <c r="C53" s="42"/>
      <c r="D53" s="43"/>
      <c r="E53" s="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7"/>
  <sheetViews>
    <sheetView showGridLines="0" zoomScaleNormal="100" zoomScaleSheetLayoutView="80" workbookViewId="0">
      <pane ySplit="3" topLeftCell="A4" activePane="bottomLeft" state="frozen"/>
      <selection activeCell="E9" sqref="E9:N10"/>
      <selection pane="bottomLeft" activeCell="E9" sqref="E9:N10"/>
    </sheetView>
  </sheetViews>
  <sheetFormatPr defaultColWidth="0" defaultRowHeight="20.100000000000001" customHeight="1" zeroHeight="1" x14ac:dyDescent="0.25"/>
  <cols>
    <col min="1" max="1" width="1.7109375" style="3" customWidth="1"/>
    <col min="2" max="2" width="25.7109375" style="3" customWidth="1"/>
    <col min="3" max="4" width="1.7109375" style="3" customWidth="1"/>
    <col min="5" max="16" width="15.7109375" style="3" customWidth="1"/>
    <col min="17" max="17" width="5.7109375" style="3" customWidth="1"/>
    <col min="18" max="16384" width="9.140625" style="3" hidden="1"/>
  </cols>
  <sheetData>
    <row r="1" spans="1:17" ht="20.100000000000001" customHeight="1" x14ac:dyDescent="0.25">
      <c r="A1" s="1"/>
      <c r="B1" s="1"/>
      <c r="C1" s="1"/>
      <c r="D1" s="2"/>
      <c r="E1" s="130" t="s">
        <v>0</v>
      </c>
      <c r="F1" s="130"/>
      <c r="G1" s="130"/>
      <c r="H1" s="130"/>
      <c r="I1" s="1"/>
      <c r="J1" s="1"/>
      <c r="K1" s="1"/>
      <c r="L1" s="1"/>
      <c r="M1" s="1"/>
      <c r="N1" s="1"/>
      <c r="O1" s="1"/>
      <c r="P1" s="1"/>
      <c r="Q1" s="1"/>
    </row>
    <row r="2" spans="1:17" ht="20.100000000000001" customHeight="1" x14ac:dyDescent="0.25">
      <c r="A2" s="1"/>
      <c r="B2" s="1"/>
      <c r="C2" s="1"/>
      <c r="D2" s="2"/>
      <c r="E2" s="130"/>
      <c r="F2" s="130"/>
      <c r="G2" s="130"/>
      <c r="H2" s="130"/>
      <c r="I2" s="1"/>
      <c r="J2" s="1"/>
      <c r="K2" s="1"/>
      <c r="L2" s="1"/>
      <c r="M2" s="1"/>
      <c r="N2" s="1"/>
      <c r="O2" s="1"/>
      <c r="P2" s="1"/>
      <c r="Q2" s="1"/>
    </row>
    <row r="3" spans="1:17" ht="20.100000000000001" customHeight="1" x14ac:dyDescent="0.25">
      <c r="A3" s="4"/>
      <c r="B3" s="4"/>
      <c r="C3" s="4"/>
      <c r="D3" s="5"/>
      <c r="E3" s="130"/>
      <c r="F3" s="130"/>
      <c r="G3" s="130"/>
      <c r="H3" s="130"/>
      <c r="I3" s="1"/>
      <c r="J3" s="1"/>
      <c r="K3" s="1"/>
      <c r="L3" s="1"/>
      <c r="M3" s="1"/>
      <c r="N3" s="1"/>
      <c r="O3" s="1"/>
      <c r="P3" s="1"/>
      <c r="Q3" s="1"/>
    </row>
    <row r="4" spans="1:17" ht="20.100000000000001" customHeight="1" x14ac:dyDescent="0.25">
      <c r="A4" s="1"/>
      <c r="B4" s="1"/>
      <c r="C4" s="6"/>
    </row>
    <row r="5" spans="1:17" ht="20.100000000000001" customHeight="1" x14ac:dyDescent="0.25">
      <c r="A5" s="1"/>
      <c r="B5" s="7"/>
      <c r="C5" s="6"/>
    </row>
    <row r="6" spans="1:17" ht="20.100000000000001" customHeight="1" x14ac:dyDescent="0.25">
      <c r="A6" s="1"/>
      <c r="B6" s="7"/>
      <c r="C6" s="6"/>
      <c r="E6" s="8"/>
    </row>
    <row r="7" spans="1:17" ht="20.100000000000001" customHeight="1" x14ac:dyDescent="0.25">
      <c r="A7" s="1"/>
      <c r="B7" s="7"/>
      <c r="C7" s="6"/>
      <c r="E7" s="8"/>
    </row>
    <row r="8" spans="1:17" ht="20.100000000000001" customHeight="1" x14ac:dyDescent="0.25">
      <c r="A8" s="1"/>
      <c r="B8" s="7"/>
      <c r="C8" s="6"/>
      <c r="E8" s="131" t="s">
        <v>1</v>
      </c>
      <c r="F8" s="124"/>
      <c r="G8" s="124"/>
      <c r="H8" s="124"/>
      <c r="I8" s="125"/>
    </row>
    <row r="9" spans="1:17" ht="20.100000000000001" customHeight="1" x14ac:dyDescent="0.25">
      <c r="A9" s="1"/>
      <c r="B9" s="7"/>
      <c r="C9" s="6"/>
      <c r="E9" s="132" t="s">
        <v>2</v>
      </c>
      <c r="F9" s="133"/>
      <c r="G9" s="133"/>
      <c r="H9" s="133"/>
      <c r="I9" s="134"/>
    </row>
    <row r="10" spans="1:17" ht="20.100000000000001" customHeight="1" x14ac:dyDescent="0.25">
      <c r="A10" s="1"/>
      <c r="B10" s="7"/>
      <c r="C10" s="6"/>
      <c r="E10" s="132"/>
      <c r="F10" s="133"/>
      <c r="G10" s="133"/>
      <c r="H10" s="133"/>
      <c r="I10" s="134"/>
    </row>
    <row r="11" spans="1:17" ht="20.100000000000001" customHeight="1" x14ac:dyDescent="0.25">
      <c r="A11" s="1"/>
      <c r="B11" s="7"/>
      <c r="C11" s="6"/>
    </row>
    <row r="12" spans="1:17" ht="20.100000000000001" customHeight="1" x14ac:dyDescent="0.25">
      <c r="A12" s="1"/>
      <c r="B12" s="7"/>
      <c r="C12" s="6"/>
      <c r="E12" s="127" t="s">
        <v>3</v>
      </c>
      <c r="F12" s="128"/>
      <c r="G12" s="129"/>
      <c r="I12" s="127" t="s">
        <v>4</v>
      </c>
      <c r="J12" s="128"/>
      <c r="K12" s="128"/>
      <c r="L12" s="128"/>
      <c r="M12" s="128"/>
      <c r="N12" s="129"/>
    </row>
    <row r="13" spans="1:17" ht="20.100000000000001" customHeight="1" x14ac:dyDescent="0.25">
      <c r="A13" s="1"/>
      <c r="B13" s="7"/>
      <c r="C13" s="6"/>
      <c r="E13" s="9" t="s">
        <v>5</v>
      </c>
      <c r="F13" s="10" t="s">
        <v>6</v>
      </c>
      <c r="G13" s="11" t="s">
        <v>7</v>
      </c>
      <c r="I13" s="9" t="s">
        <v>5</v>
      </c>
      <c r="J13" s="10" t="s">
        <v>6</v>
      </c>
      <c r="K13" s="10" t="s">
        <v>7</v>
      </c>
      <c r="L13" s="10" t="s">
        <v>8</v>
      </c>
      <c r="M13" s="10" t="s">
        <v>9</v>
      </c>
      <c r="N13" s="11" t="s">
        <v>10</v>
      </c>
    </row>
    <row r="14" spans="1:17" ht="20.100000000000001" customHeight="1" x14ac:dyDescent="0.25">
      <c r="A14" s="1"/>
      <c r="B14" s="7"/>
      <c r="C14" s="6"/>
      <c r="E14" s="12" t="s">
        <v>11</v>
      </c>
      <c r="F14" s="13">
        <v>2.4900000000000002</v>
      </c>
      <c r="G14" s="13" t="s">
        <v>12</v>
      </c>
      <c r="I14" s="14" t="s">
        <v>13</v>
      </c>
      <c r="J14" s="15"/>
      <c r="K14" s="15"/>
      <c r="L14" s="16">
        <v>0.5</v>
      </c>
      <c r="M14" s="17"/>
      <c r="N14" s="15"/>
    </row>
    <row r="15" spans="1:17" ht="20.100000000000001" customHeight="1" x14ac:dyDescent="0.25">
      <c r="A15" s="1"/>
      <c r="B15" s="7"/>
      <c r="C15" s="6"/>
      <c r="E15" s="12" t="s">
        <v>14</v>
      </c>
      <c r="F15" s="13">
        <v>1.79</v>
      </c>
      <c r="G15" s="13" t="s">
        <v>12</v>
      </c>
      <c r="I15" s="14" t="s">
        <v>14</v>
      </c>
      <c r="J15" s="15"/>
      <c r="K15" s="15"/>
      <c r="L15" s="16">
        <v>3</v>
      </c>
      <c r="M15" s="17"/>
      <c r="N15" s="15"/>
    </row>
    <row r="16" spans="1:17" ht="20.100000000000001" customHeight="1" x14ac:dyDescent="0.25">
      <c r="A16" s="1"/>
      <c r="B16" s="7"/>
      <c r="C16" s="6"/>
      <c r="E16" s="18" t="s">
        <v>15</v>
      </c>
      <c r="F16" s="13">
        <v>1.99</v>
      </c>
      <c r="G16" s="13" t="s">
        <v>12</v>
      </c>
      <c r="I16" s="14" t="s">
        <v>16</v>
      </c>
      <c r="J16" s="15"/>
      <c r="K16" s="15"/>
      <c r="L16" s="16">
        <v>2</v>
      </c>
      <c r="M16" s="17"/>
      <c r="N16" s="15"/>
    </row>
    <row r="17" spans="1:15" ht="20.100000000000001" customHeight="1" x14ac:dyDescent="0.25">
      <c r="A17" s="1"/>
      <c r="B17" s="7"/>
      <c r="C17" s="6"/>
      <c r="E17" s="18" t="s">
        <v>16</v>
      </c>
      <c r="F17" s="13">
        <v>4.99</v>
      </c>
      <c r="G17" s="13" t="s">
        <v>12</v>
      </c>
      <c r="I17" s="14" t="s">
        <v>17</v>
      </c>
      <c r="J17" s="15"/>
      <c r="K17" s="15"/>
      <c r="L17" s="16"/>
      <c r="M17" s="17">
        <v>4</v>
      </c>
      <c r="N17" s="15"/>
    </row>
    <row r="18" spans="1:15" ht="20.100000000000001" customHeight="1" x14ac:dyDescent="0.25">
      <c r="A18" s="1"/>
      <c r="B18" s="7"/>
      <c r="C18" s="6"/>
      <c r="E18" s="18" t="s">
        <v>18</v>
      </c>
      <c r="F18" s="13">
        <v>2.99</v>
      </c>
      <c r="G18" s="13" t="s">
        <v>12</v>
      </c>
      <c r="I18" s="14" t="s">
        <v>19</v>
      </c>
      <c r="J18" s="15"/>
      <c r="K18" s="15"/>
      <c r="L18" s="16"/>
      <c r="M18" s="17">
        <v>3</v>
      </c>
      <c r="N18" s="15"/>
    </row>
    <row r="19" spans="1:15" ht="20.100000000000001" customHeight="1" x14ac:dyDescent="0.25">
      <c r="A19" s="1"/>
      <c r="B19" s="7"/>
      <c r="C19" s="6"/>
      <c r="E19" s="18" t="s">
        <v>20</v>
      </c>
      <c r="F19" s="13">
        <v>0.98</v>
      </c>
      <c r="G19" s="13" t="s">
        <v>12</v>
      </c>
      <c r="I19" s="14"/>
      <c r="J19" s="15"/>
      <c r="K19" s="15"/>
      <c r="L19" s="16"/>
      <c r="M19" s="17"/>
      <c r="N19" s="15"/>
    </row>
    <row r="20" spans="1:15" ht="20.100000000000001" customHeight="1" x14ac:dyDescent="0.25">
      <c r="A20" s="1"/>
      <c r="B20" s="7"/>
      <c r="C20" s="6"/>
      <c r="E20" s="18" t="s">
        <v>21</v>
      </c>
      <c r="F20" s="13">
        <v>40</v>
      </c>
      <c r="G20" s="13" t="s">
        <v>12</v>
      </c>
      <c r="I20" s="14"/>
      <c r="J20" s="15"/>
      <c r="K20" s="15"/>
      <c r="L20" s="16"/>
      <c r="M20" s="17"/>
      <c r="N20" s="15"/>
    </row>
    <row r="21" spans="1:15" ht="20.100000000000001" customHeight="1" x14ac:dyDescent="0.25">
      <c r="A21" s="1"/>
      <c r="B21" s="7"/>
      <c r="C21" s="6"/>
      <c r="E21" s="18" t="s">
        <v>22</v>
      </c>
      <c r="F21" s="13">
        <v>3</v>
      </c>
      <c r="G21" s="13" t="s">
        <v>12</v>
      </c>
      <c r="I21" s="14"/>
      <c r="J21" s="15"/>
      <c r="K21" s="15"/>
      <c r="L21" s="16"/>
      <c r="M21" s="17"/>
      <c r="N21" s="15"/>
    </row>
    <row r="22" spans="1:15" ht="20.100000000000001" customHeight="1" x14ac:dyDescent="0.25">
      <c r="A22" s="1"/>
      <c r="B22" s="7"/>
      <c r="C22" s="6"/>
      <c r="E22" s="18" t="s">
        <v>13</v>
      </c>
      <c r="F22" s="13">
        <v>15</v>
      </c>
      <c r="G22" s="13" t="s">
        <v>12</v>
      </c>
      <c r="I22" s="14"/>
      <c r="J22" s="15"/>
      <c r="K22" s="15"/>
      <c r="L22" s="16"/>
      <c r="M22" s="17"/>
      <c r="N22" s="15"/>
    </row>
    <row r="23" spans="1:15" ht="20.100000000000001" customHeight="1" x14ac:dyDescent="0.25">
      <c r="A23" s="1"/>
      <c r="B23" s="7"/>
      <c r="C23" s="6"/>
      <c r="E23" s="18" t="s">
        <v>17</v>
      </c>
      <c r="F23" s="13">
        <v>2.2000000000000002</v>
      </c>
      <c r="G23" s="13" t="s">
        <v>23</v>
      </c>
      <c r="I23" s="14"/>
      <c r="J23" s="15"/>
      <c r="K23" s="15"/>
      <c r="L23" s="16"/>
      <c r="M23" s="17"/>
      <c r="N23" s="15"/>
    </row>
    <row r="24" spans="1:15" ht="20.100000000000001" customHeight="1" x14ac:dyDescent="0.25">
      <c r="A24" s="1"/>
      <c r="B24" s="7"/>
      <c r="C24" s="6"/>
      <c r="E24" s="18" t="s">
        <v>24</v>
      </c>
      <c r="F24" s="13">
        <v>2</v>
      </c>
      <c r="G24" s="13" t="s">
        <v>23</v>
      </c>
      <c r="I24" s="14"/>
      <c r="J24" s="15"/>
      <c r="K24" s="15"/>
      <c r="L24" s="16"/>
      <c r="M24" s="17"/>
      <c r="N24" s="15"/>
    </row>
    <row r="25" spans="1:15" ht="20.100000000000001" customHeight="1" x14ac:dyDescent="0.25">
      <c r="A25" s="1"/>
      <c r="B25" s="7"/>
      <c r="C25" s="6"/>
      <c r="E25" s="18" t="s">
        <v>19</v>
      </c>
      <c r="F25" s="13">
        <v>5</v>
      </c>
      <c r="G25" s="13" t="s">
        <v>23</v>
      </c>
      <c r="I25" s="14"/>
      <c r="J25" s="15"/>
      <c r="K25" s="15"/>
      <c r="L25" s="16"/>
      <c r="M25" s="17"/>
      <c r="N25" s="15"/>
    </row>
    <row r="26" spans="1:15" ht="20.100000000000001" customHeight="1" x14ac:dyDescent="0.25">
      <c r="A26" s="1"/>
      <c r="B26" s="7"/>
      <c r="C26" s="6"/>
      <c r="E26" s="18"/>
      <c r="F26" s="13"/>
      <c r="G26" s="13"/>
      <c r="I26" s="14"/>
      <c r="J26" s="15"/>
      <c r="K26" s="15"/>
      <c r="L26" s="16"/>
      <c r="M26" s="17"/>
      <c r="N26" s="15"/>
    </row>
    <row r="27" spans="1:15" ht="20.100000000000001" customHeight="1" x14ac:dyDescent="0.25">
      <c r="A27" s="1"/>
      <c r="B27" s="7"/>
      <c r="C27" s="6"/>
      <c r="E27" s="18"/>
      <c r="F27" s="13"/>
      <c r="G27" s="13"/>
      <c r="I27" s="14"/>
      <c r="J27" s="15"/>
      <c r="K27" s="15"/>
      <c r="L27" s="16"/>
      <c r="M27" s="17"/>
      <c r="N27" s="15"/>
    </row>
    <row r="28" spans="1:15" ht="20.100000000000001" customHeight="1" x14ac:dyDescent="0.25">
      <c r="A28" s="1"/>
      <c r="B28" s="7"/>
      <c r="C28" s="6"/>
      <c r="E28" s="18"/>
      <c r="F28" s="13"/>
      <c r="G28" s="13"/>
      <c r="I28" s="14"/>
      <c r="J28" s="15"/>
      <c r="K28" s="15"/>
      <c r="L28" s="16"/>
      <c r="M28" s="17"/>
      <c r="N28" s="15"/>
    </row>
    <row r="29" spans="1:15" ht="20.100000000000001" customHeight="1" x14ac:dyDescent="0.25">
      <c r="A29" s="1"/>
      <c r="B29" s="7"/>
      <c r="C29" s="6"/>
      <c r="E29" s="18"/>
      <c r="F29" s="13"/>
      <c r="G29" s="13"/>
      <c r="I29" s="9"/>
      <c r="J29" s="10"/>
      <c r="K29" s="10"/>
      <c r="L29" s="10"/>
      <c r="M29" s="10" t="s">
        <v>25</v>
      </c>
      <c r="N29" s="15"/>
    </row>
    <row r="30" spans="1:15" ht="20.100000000000001" customHeight="1" x14ac:dyDescent="0.25">
      <c r="A30" s="1"/>
      <c r="B30" s="7"/>
      <c r="C30" s="6"/>
      <c r="E30" s="19"/>
    </row>
    <row r="31" spans="1:15" ht="20.100000000000001" customHeight="1" x14ac:dyDescent="0.25">
      <c r="A31" s="1"/>
      <c r="B31" s="7"/>
      <c r="C31" s="6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15" ht="20.100000000000001" customHeight="1" x14ac:dyDescent="0.25">
      <c r="A32" s="1"/>
      <c r="B32" s="7"/>
      <c r="C32" s="6"/>
    </row>
    <row r="33" spans="1:16" ht="20.100000000000001" customHeight="1" x14ac:dyDescent="0.25">
      <c r="A33" s="1"/>
      <c r="B33" s="7"/>
      <c r="C33" s="6"/>
    </row>
    <row r="34" spans="1:16" ht="20.100000000000001" customHeight="1" x14ac:dyDescent="0.25">
      <c r="A34" s="1"/>
      <c r="B34" s="7"/>
      <c r="C34" s="6"/>
      <c r="E34" s="127" t="s">
        <v>26</v>
      </c>
      <c r="F34" s="128"/>
      <c r="G34" s="128"/>
      <c r="H34" s="128"/>
      <c r="I34" s="128"/>
      <c r="J34" s="128"/>
      <c r="K34" s="129"/>
      <c r="M34" s="127" t="s">
        <v>27</v>
      </c>
      <c r="N34" s="128"/>
      <c r="O34" s="129"/>
    </row>
    <row r="35" spans="1:16" ht="20.100000000000001" customHeight="1" x14ac:dyDescent="0.25">
      <c r="A35" s="1"/>
      <c r="B35" s="7"/>
      <c r="C35" s="6"/>
      <c r="E35" s="9" t="s">
        <v>28</v>
      </c>
      <c r="F35" s="10" t="s">
        <v>29</v>
      </c>
      <c r="G35" s="10" t="s">
        <v>30</v>
      </c>
      <c r="H35" s="10" t="s">
        <v>31</v>
      </c>
      <c r="I35" s="10" t="s">
        <v>32</v>
      </c>
      <c r="J35" s="124" t="s">
        <v>33</v>
      </c>
      <c r="K35" s="125"/>
      <c r="L35"/>
      <c r="M35" s="21" t="s">
        <v>28</v>
      </c>
      <c r="N35" s="126"/>
      <c r="O35" s="126"/>
    </row>
    <row r="36" spans="1:16" ht="20.100000000000001" customHeight="1" x14ac:dyDescent="0.25">
      <c r="A36" s="1"/>
      <c r="B36" s="7"/>
      <c r="C36" s="6"/>
      <c r="E36" s="22"/>
      <c r="F36" s="23" t="s">
        <v>34</v>
      </c>
      <c r="G36" s="23" t="s">
        <v>35</v>
      </c>
      <c r="H36" s="23" t="s">
        <v>36</v>
      </c>
      <c r="I36" s="23" t="s">
        <v>37</v>
      </c>
      <c r="J36" s="121" t="s">
        <v>38</v>
      </c>
      <c r="K36" s="122"/>
      <c r="L36"/>
      <c r="M36" s="21" t="s">
        <v>29</v>
      </c>
      <c r="N36" s="123"/>
      <c r="O36" s="123"/>
    </row>
    <row r="37" spans="1:16" ht="20.100000000000001" customHeight="1" x14ac:dyDescent="0.25">
      <c r="A37" s="1"/>
      <c r="B37" s="7"/>
      <c r="C37" s="6"/>
      <c r="E37" s="22"/>
      <c r="F37" s="23" t="s">
        <v>39</v>
      </c>
      <c r="G37" s="23" t="s">
        <v>40</v>
      </c>
      <c r="H37" s="23" t="s">
        <v>36</v>
      </c>
      <c r="I37" s="23" t="s">
        <v>37</v>
      </c>
      <c r="J37" s="121" t="s">
        <v>41</v>
      </c>
      <c r="K37" s="122"/>
      <c r="L37"/>
      <c r="M37" s="21" t="s">
        <v>30</v>
      </c>
      <c r="N37" s="123"/>
      <c r="O37" s="123"/>
    </row>
    <row r="38" spans="1:16" ht="20.100000000000001" customHeight="1" x14ac:dyDescent="0.25">
      <c r="A38" s="1"/>
      <c r="B38" s="7"/>
      <c r="C38" s="6"/>
      <c r="E38" s="22"/>
      <c r="F38" s="23" t="s">
        <v>42</v>
      </c>
      <c r="G38" s="23" t="s">
        <v>43</v>
      </c>
      <c r="H38" s="23" t="s">
        <v>36</v>
      </c>
      <c r="I38" s="23" t="s">
        <v>44</v>
      </c>
      <c r="J38" s="121" t="s">
        <v>45</v>
      </c>
      <c r="K38" s="122"/>
      <c r="L38"/>
      <c r="M38" s="21" t="s">
        <v>31</v>
      </c>
      <c r="N38" s="123"/>
      <c r="O38" s="123"/>
    </row>
    <row r="39" spans="1:16" ht="20.100000000000001" customHeight="1" x14ac:dyDescent="0.25">
      <c r="A39" s="1"/>
      <c r="B39" s="7"/>
      <c r="C39" s="6"/>
      <c r="E39" s="22"/>
      <c r="F39" s="23" t="s">
        <v>46</v>
      </c>
      <c r="G39" s="23" t="s">
        <v>47</v>
      </c>
      <c r="H39" s="23" t="s">
        <v>48</v>
      </c>
      <c r="I39" s="23" t="s">
        <v>44</v>
      </c>
      <c r="J39" s="121" t="s">
        <v>49</v>
      </c>
      <c r="K39" s="122"/>
      <c r="L39"/>
      <c r="M39" s="21" t="s">
        <v>32</v>
      </c>
      <c r="N39" s="123"/>
      <c r="O39" s="123"/>
    </row>
    <row r="40" spans="1:16" ht="20.100000000000001" customHeight="1" x14ac:dyDescent="0.25">
      <c r="A40" s="1"/>
      <c r="B40" s="7"/>
      <c r="C40" s="6"/>
      <c r="E40" s="22"/>
      <c r="F40" s="23" t="s">
        <v>50</v>
      </c>
      <c r="G40" s="23" t="s">
        <v>51</v>
      </c>
      <c r="H40" s="23" t="s">
        <v>48</v>
      </c>
      <c r="I40" s="23" t="s">
        <v>52</v>
      </c>
      <c r="J40" s="121" t="s">
        <v>53</v>
      </c>
      <c r="K40" s="122"/>
      <c r="L40"/>
      <c r="M40" s="21" t="s">
        <v>33</v>
      </c>
      <c r="N40" s="123"/>
      <c r="O40" s="123"/>
    </row>
    <row r="41" spans="1:16" ht="20.100000000000001" customHeight="1" x14ac:dyDescent="0.25">
      <c r="A41" s="1"/>
      <c r="B41" s="7"/>
      <c r="C41" s="6"/>
      <c r="E41" s="22"/>
      <c r="F41" s="23" t="s">
        <v>54</v>
      </c>
      <c r="G41" s="23" t="s">
        <v>55</v>
      </c>
      <c r="H41" s="23" t="s">
        <v>56</v>
      </c>
      <c r="I41" s="23" t="s">
        <v>52</v>
      </c>
      <c r="J41" s="121" t="s">
        <v>57</v>
      </c>
      <c r="K41" s="122"/>
      <c r="L41"/>
      <c r="M41"/>
      <c r="N41"/>
      <c r="O41"/>
    </row>
    <row r="42" spans="1:16" ht="20.100000000000001" customHeight="1" x14ac:dyDescent="0.25">
      <c r="A42" s="1"/>
      <c r="B42" s="7"/>
      <c r="C42" s="6"/>
      <c r="E42" s="22"/>
      <c r="F42" s="23" t="s">
        <v>58</v>
      </c>
      <c r="G42" s="23" t="s">
        <v>59</v>
      </c>
      <c r="H42" s="23" t="s">
        <v>56</v>
      </c>
      <c r="I42" s="23" t="s">
        <v>44</v>
      </c>
      <c r="J42" s="121" t="s">
        <v>60</v>
      </c>
      <c r="K42" s="122"/>
      <c r="L42"/>
    </row>
    <row r="43" spans="1:16" ht="20.100000000000001" customHeight="1" x14ac:dyDescent="0.25">
      <c r="A43" s="1"/>
      <c r="B43" s="7"/>
      <c r="C43" s="6"/>
      <c r="E43" s="22"/>
      <c r="F43" s="23" t="s">
        <v>61</v>
      </c>
      <c r="G43" s="23" t="s">
        <v>62</v>
      </c>
      <c r="H43" s="23" t="s">
        <v>63</v>
      </c>
      <c r="I43" s="23" t="s">
        <v>44</v>
      </c>
      <c r="J43" s="121" t="s">
        <v>64</v>
      </c>
      <c r="K43" s="122"/>
      <c r="L43"/>
    </row>
    <row r="44" spans="1:16" ht="20.100000000000001" customHeight="1" x14ac:dyDescent="0.25">
      <c r="A44" s="1"/>
      <c r="B44" s="7"/>
      <c r="C44" s="6"/>
      <c r="E44" s="22"/>
      <c r="F44" s="23" t="s">
        <v>65</v>
      </c>
      <c r="G44" s="23" t="s">
        <v>66</v>
      </c>
      <c r="H44" s="23" t="s">
        <v>63</v>
      </c>
      <c r="I44" s="23" t="s">
        <v>52</v>
      </c>
      <c r="J44" s="121" t="s">
        <v>67</v>
      </c>
      <c r="K44" s="122"/>
      <c r="L44"/>
    </row>
    <row r="45" spans="1:16" ht="20.100000000000001" customHeight="1" x14ac:dyDescent="0.25">
      <c r="A45" s="1"/>
      <c r="B45" s="7"/>
      <c r="C45" s="6"/>
      <c r="E45" s="19"/>
    </row>
    <row r="46" spans="1:16" ht="20.100000000000001" customHeight="1" x14ac:dyDescent="0.25">
      <c r="A46" s="1"/>
      <c r="B46" s="7"/>
      <c r="C46" s="6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 ht="20.100000000000001" customHeight="1" x14ac:dyDescent="0.25">
      <c r="A47" s="1"/>
      <c r="B47" s="7"/>
      <c r="C47" s="6"/>
    </row>
    <row r="48" spans="1:16" ht="20.100000000000001" customHeight="1" x14ac:dyDescent="0.25">
      <c r="A48" s="1"/>
      <c r="B48" s="7"/>
      <c r="C48" s="6"/>
      <c r="J48"/>
      <c r="K48"/>
    </row>
    <row r="49" spans="1:16" ht="20.100000000000001" customHeight="1" x14ac:dyDescent="0.25">
      <c r="A49" s="1"/>
      <c r="B49" s="7"/>
      <c r="C49" s="6"/>
      <c r="E49" s="117" t="s">
        <v>68</v>
      </c>
      <c r="F49" s="117"/>
      <c r="G49" s="117"/>
      <c r="H49" s="117"/>
      <c r="I49" s="117"/>
      <c r="J49" s="117"/>
      <c r="K49"/>
      <c r="L49" s="117" t="s">
        <v>69</v>
      </c>
      <c r="M49" s="117"/>
      <c r="O49" s="117" t="s">
        <v>70</v>
      </c>
      <c r="P49" s="117"/>
    </row>
    <row r="50" spans="1:16" ht="20.100000000000001" customHeight="1" x14ac:dyDescent="0.25">
      <c r="A50" s="1"/>
      <c r="B50" s="7"/>
      <c r="C50" s="6"/>
      <c r="E50" s="24" t="s">
        <v>71</v>
      </c>
      <c r="F50" s="9" t="s">
        <v>34</v>
      </c>
      <c r="G50" s="10" t="s">
        <v>39</v>
      </c>
      <c r="H50" s="10" t="s">
        <v>42</v>
      </c>
      <c r="I50" s="10" t="s">
        <v>72</v>
      </c>
      <c r="J50" s="11" t="s">
        <v>58</v>
      </c>
      <c r="K50"/>
      <c r="L50" s="118" t="s">
        <v>73</v>
      </c>
      <c r="M50" s="118"/>
      <c r="O50" s="23" t="s">
        <v>74</v>
      </c>
      <c r="P50" s="23">
        <v>2</v>
      </c>
    </row>
    <row r="51" spans="1:16" ht="20.100000000000001" customHeight="1" x14ac:dyDescent="0.25">
      <c r="A51" s="1"/>
      <c r="B51" s="7"/>
      <c r="C51" s="6"/>
      <c r="E51" s="12" t="s">
        <v>74</v>
      </c>
      <c r="F51" s="13">
        <v>32432</v>
      </c>
      <c r="G51" s="13">
        <v>56356</v>
      </c>
      <c r="H51" s="13">
        <v>12353</v>
      </c>
      <c r="I51" s="13">
        <v>32523</v>
      </c>
      <c r="J51" s="13">
        <v>54675</v>
      </c>
      <c r="L51" s="18" t="s">
        <v>34</v>
      </c>
      <c r="M51" s="15"/>
      <c r="O51" s="23" t="s">
        <v>75</v>
      </c>
      <c r="P51" s="23">
        <v>3</v>
      </c>
    </row>
    <row r="52" spans="1:16" ht="20.100000000000001" customHeight="1" x14ac:dyDescent="0.25">
      <c r="A52" s="1"/>
      <c r="B52" s="7"/>
      <c r="C52" s="6"/>
      <c r="E52" s="12" t="s">
        <v>75</v>
      </c>
      <c r="F52" s="13">
        <v>54675</v>
      </c>
      <c r="G52" s="13">
        <v>12353</v>
      </c>
      <c r="H52" s="13">
        <v>12353</v>
      </c>
      <c r="I52" s="13">
        <v>56356</v>
      </c>
      <c r="J52" s="13">
        <v>56356</v>
      </c>
      <c r="O52" s="23" t="s">
        <v>76</v>
      </c>
      <c r="P52" s="23">
        <v>4</v>
      </c>
    </row>
    <row r="53" spans="1:16" ht="20.100000000000001" customHeight="1" x14ac:dyDescent="0.25">
      <c r="A53" s="1"/>
      <c r="B53" s="7"/>
      <c r="C53" s="6"/>
      <c r="E53" s="12" t="s">
        <v>76</v>
      </c>
      <c r="F53" s="13">
        <v>32523</v>
      </c>
      <c r="G53" s="13">
        <v>65335</v>
      </c>
      <c r="H53" s="13">
        <v>54675</v>
      </c>
      <c r="I53" s="13">
        <v>12353</v>
      </c>
      <c r="J53" s="13">
        <v>12353</v>
      </c>
      <c r="L53" s="117" t="s">
        <v>77</v>
      </c>
      <c r="M53" s="117"/>
      <c r="O53" s="23" t="s">
        <v>78</v>
      </c>
      <c r="P53" s="23">
        <v>5</v>
      </c>
    </row>
    <row r="54" spans="1:16" ht="20.100000000000001" customHeight="1" x14ac:dyDescent="0.25">
      <c r="A54" s="1"/>
      <c r="B54" s="7"/>
      <c r="C54" s="6"/>
      <c r="E54" s="12" t="s">
        <v>78</v>
      </c>
      <c r="F54" s="13">
        <v>34325</v>
      </c>
      <c r="G54" s="13">
        <v>32523</v>
      </c>
      <c r="H54" s="13">
        <v>56356</v>
      </c>
      <c r="I54" s="13">
        <v>65335</v>
      </c>
      <c r="J54" s="13">
        <v>65335</v>
      </c>
      <c r="L54" s="118" t="s">
        <v>79</v>
      </c>
      <c r="M54" s="118"/>
      <c r="O54" s="23" t="s">
        <v>80</v>
      </c>
      <c r="P54" s="23">
        <v>6</v>
      </c>
    </row>
    <row r="55" spans="1:16" ht="20.100000000000001" customHeight="1" x14ac:dyDescent="0.25">
      <c r="A55" s="1"/>
      <c r="B55" s="7"/>
      <c r="C55" s="6"/>
      <c r="E55" s="12" t="s">
        <v>80</v>
      </c>
      <c r="F55" s="13">
        <v>3786</v>
      </c>
      <c r="G55" s="13">
        <v>34325</v>
      </c>
      <c r="H55" s="13">
        <v>12353</v>
      </c>
      <c r="I55" s="13">
        <v>32523</v>
      </c>
      <c r="J55" s="13">
        <v>56356</v>
      </c>
      <c r="L55" s="25" t="s">
        <v>39</v>
      </c>
      <c r="M55" s="25" t="s">
        <v>75</v>
      </c>
      <c r="O55" s="23" t="s">
        <v>81</v>
      </c>
      <c r="P55" s="23">
        <v>7</v>
      </c>
    </row>
    <row r="56" spans="1:16" ht="20.100000000000001" customHeight="1" x14ac:dyDescent="0.25">
      <c r="A56" s="1"/>
      <c r="B56" s="7"/>
      <c r="C56" s="6"/>
      <c r="E56" s="12" t="s">
        <v>81</v>
      </c>
      <c r="F56" s="13">
        <v>56735</v>
      </c>
      <c r="G56" s="13">
        <v>12353</v>
      </c>
      <c r="H56" s="13">
        <v>65335</v>
      </c>
      <c r="I56" s="13">
        <v>34325</v>
      </c>
      <c r="J56" s="13">
        <v>12353</v>
      </c>
      <c r="L56" s="119"/>
      <c r="M56" s="119"/>
    </row>
    <row r="57" spans="1:16" ht="20.100000000000001" customHeight="1" x14ac:dyDescent="0.25">
      <c r="A57" s="1"/>
      <c r="B57" s="7"/>
      <c r="C57" s="6"/>
      <c r="E57" s="12" t="s">
        <v>25</v>
      </c>
      <c r="F57" s="15"/>
      <c r="G57" s="15"/>
      <c r="H57" s="15"/>
      <c r="I57" s="15"/>
      <c r="J57" s="15"/>
      <c r="K57"/>
      <c r="L57" s="120"/>
      <c r="M57" s="120"/>
    </row>
    <row r="58" spans="1:16" ht="20.100000000000001" customHeight="1" x14ac:dyDescent="0.25">
      <c r="A58" s="1"/>
      <c r="B58" s="7"/>
      <c r="C58" s="6"/>
      <c r="E58" s="19"/>
      <c r="F58"/>
      <c r="G58"/>
      <c r="H58"/>
      <c r="I58"/>
      <c r="J58"/>
      <c r="K58"/>
    </row>
    <row r="59" spans="1:16" ht="20.100000000000001" customHeight="1" x14ac:dyDescent="0.25">
      <c r="A59" s="1"/>
      <c r="B59" s="7"/>
      <c r="C59" s="6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ht="20.100000000000001" customHeight="1" x14ac:dyDescent="0.25">
      <c r="A60" s="1"/>
      <c r="B60" s="7"/>
      <c r="C60" s="6"/>
    </row>
    <row r="61" spans="1:16" ht="20.100000000000001" customHeight="1" x14ac:dyDescent="0.25">
      <c r="A61" s="1"/>
      <c r="B61" s="7"/>
      <c r="C61" s="6"/>
    </row>
    <row r="62" spans="1:16" ht="20.100000000000001" customHeight="1" x14ac:dyDescent="0.25">
      <c r="A62" s="1"/>
      <c r="B62" s="7"/>
      <c r="C62" s="6"/>
      <c r="E62" s="103" t="s">
        <v>82</v>
      </c>
      <c r="F62" s="104"/>
      <c r="G62" s="104"/>
      <c r="H62" s="104"/>
    </row>
    <row r="63" spans="1:16" ht="20.100000000000001" customHeight="1" x14ac:dyDescent="0.25">
      <c r="A63" s="1"/>
      <c r="B63" s="7"/>
      <c r="C63" s="6"/>
      <c r="E63" s="26" t="s">
        <v>29</v>
      </c>
      <c r="F63" s="27" t="s">
        <v>79</v>
      </c>
      <c r="G63" s="27" t="s">
        <v>83</v>
      </c>
      <c r="H63" s="28" t="s">
        <v>84</v>
      </c>
      <c r="J63" s="105" t="s">
        <v>85</v>
      </c>
      <c r="K63" s="105"/>
      <c r="L63" s="105"/>
    </row>
    <row r="64" spans="1:16" ht="20.100000000000001" customHeight="1" x14ac:dyDescent="0.25">
      <c r="A64" s="1"/>
      <c r="B64" s="7"/>
      <c r="C64" s="6"/>
      <c r="E64" s="29" t="s">
        <v>50</v>
      </c>
      <c r="F64" s="13">
        <v>6000</v>
      </c>
      <c r="G64" s="23" t="s">
        <v>86</v>
      </c>
      <c r="H64" s="15"/>
      <c r="J64" s="13">
        <v>1</v>
      </c>
      <c r="K64" s="13">
        <v>4999</v>
      </c>
      <c r="L64" s="30">
        <v>0.01</v>
      </c>
    </row>
    <row r="65" spans="1:16" ht="20.100000000000001" customHeight="1" x14ac:dyDescent="0.25">
      <c r="A65" s="1"/>
      <c r="B65" s="7"/>
      <c r="C65" s="6"/>
      <c r="E65" s="29" t="s">
        <v>42</v>
      </c>
      <c r="F65" s="13">
        <v>17800</v>
      </c>
      <c r="G65" s="23" t="s">
        <v>87</v>
      </c>
      <c r="H65" s="15"/>
      <c r="J65" s="13">
        <v>5000</v>
      </c>
      <c r="K65" s="13">
        <v>9999</v>
      </c>
      <c r="L65" s="30">
        <v>1.4999999999999999E-2</v>
      </c>
    </row>
    <row r="66" spans="1:16" ht="20.100000000000001" customHeight="1" x14ac:dyDescent="0.25">
      <c r="A66" s="1"/>
      <c r="B66" s="7"/>
      <c r="C66" s="6"/>
      <c r="E66" s="29" t="s">
        <v>34</v>
      </c>
      <c r="F66" s="13">
        <v>18000</v>
      </c>
      <c r="G66" s="23" t="s">
        <v>86</v>
      </c>
      <c r="H66" s="15"/>
      <c r="J66" s="13">
        <v>10000</v>
      </c>
      <c r="K66" s="23" t="s">
        <v>88</v>
      </c>
      <c r="L66" s="30">
        <v>0.02</v>
      </c>
    </row>
    <row r="67" spans="1:16" ht="20.100000000000001" customHeight="1" x14ac:dyDescent="0.25">
      <c r="A67" s="1"/>
      <c r="B67" s="7"/>
      <c r="C67" s="6"/>
      <c r="E67" s="29" t="s">
        <v>89</v>
      </c>
      <c r="F67" s="13">
        <v>3000</v>
      </c>
      <c r="G67" s="23" t="s">
        <v>87</v>
      </c>
      <c r="H67" s="15"/>
    </row>
    <row r="68" spans="1:16" ht="20.100000000000001" customHeight="1" x14ac:dyDescent="0.25">
      <c r="A68" s="1"/>
      <c r="B68" s="7"/>
      <c r="C68" s="6"/>
      <c r="E68" s="29" t="s">
        <v>90</v>
      </c>
      <c r="F68" s="13">
        <v>10000</v>
      </c>
      <c r="G68" s="23" t="s">
        <v>86</v>
      </c>
      <c r="H68" s="15"/>
    </row>
    <row r="69" spans="1:16" ht="20.100000000000001" customHeight="1" x14ac:dyDescent="0.25">
      <c r="A69" s="1"/>
      <c r="B69" s="7"/>
      <c r="C69" s="6"/>
      <c r="E69" s="29" t="s">
        <v>39</v>
      </c>
      <c r="F69" s="13">
        <v>17800</v>
      </c>
      <c r="G69" s="23" t="s">
        <v>87</v>
      </c>
      <c r="H69" s="15"/>
      <c r="J69" s="106" t="s">
        <v>91</v>
      </c>
      <c r="K69" s="107"/>
      <c r="L69" s="108"/>
    </row>
    <row r="70" spans="1:16" ht="20.100000000000001" customHeight="1" x14ac:dyDescent="0.25">
      <c r="A70" s="1"/>
      <c r="B70" s="7"/>
      <c r="C70" s="6"/>
      <c r="E70" s="29" t="s">
        <v>61</v>
      </c>
      <c r="F70" s="13">
        <v>24519</v>
      </c>
      <c r="G70" s="23" t="s">
        <v>86</v>
      </c>
      <c r="H70" s="15"/>
      <c r="J70" s="109"/>
      <c r="K70" s="110"/>
      <c r="L70" s="111"/>
    </row>
    <row r="71" spans="1:16" ht="20.100000000000001" customHeight="1" x14ac:dyDescent="0.25">
      <c r="A71" s="1"/>
      <c r="B71" s="7"/>
      <c r="C71" s="6"/>
      <c r="E71" s="29" t="s">
        <v>58</v>
      </c>
      <c r="F71" s="13">
        <v>3000</v>
      </c>
      <c r="G71" s="23" t="s">
        <v>87</v>
      </c>
      <c r="H71" s="15"/>
      <c r="J71" s="109"/>
      <c r="K71" s="110"/>
      <c r="L71" s="111"/>
    </row>
    <row r="72" spans="1:16" ht="20.100000000000001" customHeight="1" x14ac:dyDescent="0.25">
      <c r="A72" s="1"/>
      <c r="B72" s="7"/>
      <c r="C72" s="6"/>
      <c r="E72" s="29" t="s">
        <v>65</v>
      </c>
      <c r="F72" s="13">
        <v>98000</v>
      </c>
      <c r="G72" s="23" t="s">
        <v>86</v>
      </c>
      <c r="H72" s="15"/>
      <c r="J72" s="109"/>
      <c r="K72" s="110"/>
      <c r="L72" s="111"/>
    </row>
    <row r="73" spans="1:16" ht="20.100000000000001" customHeight="1" x14ac:dyDescent="0.25">
      <c r="A73" s="1"/>
      <c r="B73" s="7"/>
      <c r="C73" s="6"/>
      <c r="E73" s="29" t="s">
        <v>92</v>
      </c>
      <c r="F73" s="13">
        <v>32000</v>
      </c>
      <c r="G73" s="23" t="s">
        <v>87</v>
      </c>
      <c r="H73" s="15"/>
      <c r="J73" s="112"/>
      <c r="K73" s="113"/>
      <c r="L73" s="114"/>
    </row>
    <row r="74" spans="1:16" ht="20.100000000000001" customHeight="1" x14ac:dyDescent="0.25">
      <c r="A74" s="1"/>
      <c r="B74" s="7"/>
      <c r="C74" s="6"/>
      <c r="E74" s="19"/>
    </row>
    <row r="75" spans="1:16" ht="20.100000000000001" customHeight="1" x14ac:dyDescent="0.25">
      <c r="A75" s="1"/>
      <c r="B75" s="7"/>
      <c r="C75" s="6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ht="20.100000000000001" customHeight="1" x14ac:dyDescent="0.25">
      <c r="A76" s="1"/>
      <c r="B76" s="7"/>
      <c r="C76" s="6"/>
    </row>
    <row r="77" spans="1:16" ht="20.100000000000001" customHeight="1" x14ac:dyDescent="0.25">
      <c r="A77" s="1"/>
      <c r="B77" s="7"/>
      <c r="C77" s="6"/>
    </row>
    <row r="78" spans="1:16" ht="20.100000000000001" customHeight="1" x14ac:dyDescent="0.25">
      <c r="A78" s="1"/>
      <c r="B78" s="7"/>
      <c r="C78" s="6"/>
      <c r="E78" s="31" t="s">
        <v>29</v>
      </c>
      <c r="F78" s="32" t="s">
        <v>93</v>
      </c>
      <c r="G78" s="32" t="s">
        <v>94</v>
      </c>
      <c r="H78" s="33" t="s">
        <v>95</v>
      </c>
      <c r="J78" s="115" t="s">
        <v>96</v>
      </c>
      <c r="K78" s="116"/>
    </row>
    <row r="79" spans="1:16" ht="20.100000000000001" customHeight="1" x14ac:dyDescent="0.25">
      <c r="A79" s="1"/>
      <c r="B79" s="7"/>
      <c r="C79" s="6"/>
      <c r="E79" s="18" t="s">
        <v>34</v>
      </c>
      <c r="F79" s="34">
        <v>32602</v>
      </c>
      <c r="G79" s="35"/>
      <c r="H79" s="35"/>
      <c r="J79" s="23">
        <v>1</v>
      </c>
      <c r="K79" s="23" t="s">
        <v>97</v>
      </c>
    </row>
    <row r="80" spans="1:16" ht="20.100000000000001" customHeight="1" x14ac:dyDescent="0.25">
      <c r="A80" s="1"/>
      <c r="B80" s="7"/>
      <c r="C80" s="6"/>
      <c r="E80" s="18" t="s">
        <v>39</v>
      </c>
      <c r="F80" s="34">
        <v>34700</v>
      </c>
      <c r="G80" s="35"/>
      <c r="H80" s="35"/>
      <c r="J80" s="23">
        <v>18</v>
      </c>
      <c r="K80" s="23" t="s">
        <v>98</v>
      </c>
    </row>
    <row r="81" spans="1:11" ht="20.100000000000001" customHeight="1" x14ac:dyDescent="0.25">
      <c r="A81" s="1"/>
      <c r="B81" s="7"/>
      <c r="C81" s="6"/>
      <c r="E81" s="18" t="s">
        <v>99</v>
      </c>
      <c r="F81" s="34">
        <v>42095</v>
      </c>
      <c r="G81" s="35"/>
      <c r="H81" s="35"/>
      <c r="J81" s="23">
        <v>25</v>
      </c>
      <c r="K81" s="23" t="s">
        <v>100</v>
      </c>
    </row>
    <row r="82" spans="1:11" ht="20.100000000000001" customHeight="1" x14ac:dyDescent="0.25">
      <c r="A82" s="1"/>
      <c r="B82" s="7"/>
      <c r="C82" s="6"/>
      <c r="E82" s="18" t="s">
        <v>58</v>
      </c>
      <c r="F82" s="34">
        <v>27921</v>
      </c>
      <c r="G82" s="35"/>
      <c r="H82" s="35"/>
      <c r="J82" s="23">
        <v>35</v>
      </c>
      <c r="K82" s="23" t="s">
        <v>101</v>
      </c>
    </row>
    <row r="83" spans="1:11" ht="20.100000000000001" customHeight="1" x14ac:dyDescent="0.25">
      <c r="A83" s="1"/>
      <c r="B83" s="7"/>
      <c r="C83" s="6"/>
      <c r="E83" s="18" t="s">
        <v>102</v>
      </c>
      <c r="F83" s="34">
        <v>19885</v>
      </c>
      <c r="G83" s="35"/>
      <c r="H83" s="35"/>
      <c r="J83" s="23">
        <v>45</v>
      </c>
      <c r="K83" s="23" t="s">
        <v>103</v>
      </c>
    </row>
    <row r="84" spans="1:11" ht="20.100000000000001" customHeight="1" x14ac:dyDescent="0.25">
      <c r="A84" s="1"/>
      <c r="B84" s="7"/>
      <c r="C84" s="6"/>
      <c r="E84" s="18" t="s">
        <v>72</v>
      </c>
      <c r="F84" s="34">
        <v>27921</v>
      </c>
      <c r="G84" s="35"/>
      <c r="H84" s="35"/>
      <c r="J84" s="23">
        <v>55</v>
      </c>
      <c r="K84" s="23" t="s">
        <v>104</v>
      </c>
    </row>
    <row r="85" spans="1:11" ht="20.100000000000001" customHeight="1" x14ac:dyDescent="0.25">
      <c r="A85" s="1"/>
      <c r="B85" s="7"/>
      <c r="C85" s="6"/>
      <c r="E85" s="18" t="s">
        <v>105</v>
      </c>
      <c r="F85" s="34">
        <v>19885</v>
      </c>
      <c r="G85" s="35"/>
      <c r="H85" s="35"/>
      <c r="J85" s="23">
        <v>65</v>
      </c>
      <c r="K85" s="23" t="s">
        <v>106</v>
      </c>
    </row>
    <row r="86" spans="1:11" ht="20.100000000000001" customHeight="1" x14ac:dyDescent="0.25">
      <c r="A86" s="1"/>
      <c r="B86" s="7"/>
      <c r="C86" s="6"/>
    </row>
    <row r="87" spans="1:11" ht="20.100000000000001" customHeight="1" x14ac:dyDescent="0.25">
      <c r="A87" s="1"/>
      <c r="B87" s="7"/>
      <c r="C87" s="6"/>
    </row>
  </sheetData>
  <mergeCells count="35">
    <mergeCell ref="E34:K34"/>
    <mergeCell ref="M34:O34"/>
    <mergeCell ref="E1:H3"/>
    <mergeCell ref="E8:I8"/>
    <mergeCell ref="E9:I10"/>
    <mergeCell ref="E12:G12"/>
    <mergeCell ref="I12:N12"/>
    <mergeCell ref="J35:K35"/>
    <mergeCell ref="N35:O35"/>
    <mergeCell ref="J36:K36"/>
    <mergeCell ref="N36:O36"/>
    <mergeCell ref="J37:K37"/>
    <mergeCell ref="N37:O37"/>
    <mergeCell ref="J38:K38"/>
    <mergeCell ref="N38:O38"/>
    <mergeCell ref="J39:K39"/>
    <mergeCell ref="N39:O39"/>
    <mergeCell ref="J40:K40"/>
    <mergeCell ref="N40:O40"/>
    <mergeCell ref="J41:K41"/>
    <mergeCell ref="J42:K42"/>
    <mergeCell ref="J43:K43"/>
    <mergeCell ref="J44:K44"/>
    <mergeCell ref="E49:J49"/>
    <mergeCell ref="E62:H62"/>
    <mergeCell ref="J63:L63"/>
    <mergeCell ref="J69:L73"/>
    <mergeCell ref="J78:K78"/>
    <mergeCell ref="O49:P49"/>
    <mergeCell ref="L50:M50"/>
    <mergeCell ref="L53:M53"/>
    <mergeCell ref="L54:M54"/>
    <mergeCell ref="L56:M56"/>
    <mergeCell ref="L57:M57"/>
    <mergeCell ref="L49:M49"/>
  </mergeCells>
  <dataValidations count="4">
    <dataValidation type="list" allowBlank="1" showInputMessage="1" showErrorMessage="1" sqref="M55">
      <formula1>$E$51:$E$56</formula1>
    </dataValidation>
    <dataValidation type="list" allowBlank="1" showInputMessage="1" showErrorMessage="1" sqref="L51 L55">
      <formula1>$F$50:$J$50</formula1>
    </dataValidation>
    <dataValidation type="list" allowBlank="1" showInputMessage="1" showErrorMessage="1" sqref="N35:O35">
      <formula1>$E$36:$E$44</formula1>
    </dataValidation>
    <dataValidation type="list" allowBlank="1" showInputMessage="1" showErrorMessage="1" sqref="I14:I28">
      <formula1>$E$14:$E$29</formula1>
    </dataValidation>
  </dataValidations>
  <pageMargins left="0.511811024" right="0.511811024" top="0.78740157499999996" bottom="0.78740157499999996" header="0.31496062000000002" footer="0.31496062000000002"/>
  <pageSetup paperSize="9" scale="72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2"/>
  <sheetViews>
    <sheetView showGridLines="0" zoomScaleNormal="100" zoomScaleSheetLayoutView="80" workbookViewId="0">
      <selection activeCell="E9" sqref="E9:N10"/>
    </sheetView>
  </sheetViews>
  <sheetFormatPr defaultColWidth="9.140625" defaultRowHeight="20.100000000000001" customHeight="1" x14ac:dyDescent="0.25"/>
  <cols>
    <col min="1" max="1" width="1.7109375" customWidth="1"/>
    <col min="2" max="3" width="15.7109375" customWidth="1"/>
    <col min="4" max="16" width="15.7109375" style="3" customWidth="1"/>
    <col min="17" max="17" width="5.7109375" style="3" customWidth="1"/>
    <col min="18" max="16384" width="9.140625" style="3"/>
  </cols>
  <sheetData>
    <row r="1" spans="1:17" ht="20.100000000000001" customHeight="1" x14ac:dyDescent="0.25">
      <c r="A1" s="1"/>
      <c r="B1" s="1"/>
      <c r="C1" s="1"/>
      <c r="D1" s="130" t="s">
        <v>107</v>
      </c>
      <c r="E1" s="130"/>
      <c r="F1" s="130"/>
      <c r="G1" s="2"/>
      <c r="H1" s="2"/>
      <c r="I1" s="1"/>
      <c r="J1" s="1"/>
      <c r="K1" s="1"/>
      <c r="L1" s="1"/>
      <c r="M1" s="1"/>
      <c r="N1" s="1"/>
      <c r="O1" s="1"/>
      <c r="P1" s="1"/>
      <c r="Q1" s="1"/>
    </row>
    <row r="2" spans="1:17" ht="20.100000000000001" customHeight="1" x14ac:dyDescent="0.25">
      <c r="A2" s="1"/>
      <c r="B2" s="1"/>
      <c r="C2" s="1"/>
      <c r="D2" s="130"/>
      <c r="E2" s="130"/>
      <c r="F2" s="130"/>
      <c r="G2" s="2"/>
      <c r="H2" s="2"/>
      <c r="I2" s="1"/>
      <c r="J2" s="1"/>
      <c r="K2" s="1"/>
      <c r="L2" s="1"/>
      <c r="M2" s="1"/>
      <c r="N2" s="1"/>
      <c r="O2" s="1"/>
      <c r="P2" s="1"/>
      <c r="Q2" s="1"/>
    </row>
    <row r="3" spans="1:17" ht="20.100000000000001" customHeight="1" x14ac:dyDescent="0.25">
      <c r="A3" s="4"/>
      <c r="B3" s="4"/>
      <c r="C3" s="4"/>
      <c r="D3" s="135"/>
      <c r="E3" s="135"/>
      <c r="F3" s="135"/>
      <c r="G3" s="5"/>
      <c r="H3" s="5"/>
      <c r="I3" s="4"/>
      <c r="J3" s="4"/>
      <c r="K3" s="4"/>
      <c r="L3" s="4"/>
      <c r="M3" s="4"/>
      <c r="N3" s="4"/>
      <c r="O3" s="1"/>
      <c r="P3" s="1"/>
      <c r="Q3" s="1"/>
    </row>
    <row r="6" spans="1:17" ht="20.100000000000001" customHeight="1" x14ac:dyDescent="0.25">
      <c r="E6" s="8"/>
    </row>
    <row r="7" spans="1:17" ht="20.100000000000001" customHeight="1" x14ac:dyDescent="0.25">
      <c r="E7" s="8"/>
    </row>
    <row r="9" spans="1:17" ht="20.100000000000001" customHeight="1" x14ac:dyDescent="0.25">
      <c r="E9" s="127" t="s">
        <v>3</v>
      </c>
      <c r="F9" s="128"/>
      <c r="G9" s="129"/>
      <c r="I9" s="127" t="s">
        <v>4</v>
      </c>
      <c r="J9" s="128"/>
      <c r="K9" s="128"/>
      <c r="L9" s="128"/>
      <c r="M9" s="128"/>
      <c r="N9" s="129"/>
    </row>
    <row r="10" spans="1:17" ht="20.100000000000001" customHeight="1" x14ac:dyDescent="0.25">
      <c r="E10" s="9" t="s">
        <v>5</v>
      </c>
      <c r="F10" s="10" t="s">
        <v>6</v>
      </c>
      <c r="G10" s="11" t="s">
        <v>7</v>
      </c>
      <c r="I10" s="9" t="s">
        <v>5</v>
      </c>
      <c r="J10" s="10" t="s">
        <v>6</v>
      </c>
      <c r="K10" s="10" t="s">
        <v>7</v>
      </c>
      <c r="L10" s="10" t="s">
        <v>8</v>
      </c>
      <c r="M10" s="10" t="s">
        <v>9</v>
      </c>
      <c r="N10" s="11" t="s">
        <v>10</v>
      </c>
    </row>
    <row r="11" spans="1:17" ht="20.100000000000001" customHeight="1" x14ac:dyDescent="0.25">
      <c r="E11" s="12" t="s">
        <v>11</v>
      </c>
      <c r="F11" s="13">
        <v>2.4900000000000002</v>
      </c>
      <c r="G11" s="13" t="s">
        <v>12</v>
      </c>
      <c r="I11" s="14" t="s">
        <v>13</v>
      </c>
      <c r="J11" s="15"/>
      <c r="K11" s="15"/>
      <c r="L11" s="16">
        <v>0.5</v>
      </c>
      <c r="M11" s="17"/>
      <c r="N11" s="15"/>
    </row>
    <row r="12" spans="1:17" ht="20.100000000000001" customHeight="1" x14ac:dyDescent="0.25">
      <c r="E12" s="12" t="s">
        <v>14</v>
      </c>
      <c r="F12" s="13">
        <v>1.79</v>
      </c>
      <c r="G12" s="13" t="s">
        <v>12</v>
      </c>
      <c r="I12" s="14" t="s">
        <v>14</v>
      </c>
      <c r="J12" s="15"/>
      <c r="K12" s="15"/>
      <c r="L12" s="16">
        <v>3</v>
      </c>
      <c r="M12" s="17"/>
      <c r="N12" s="15"/>
    </row>
    <row r="13" spans="1:17" ht="20.100000000000001" customHeight="1" x14ac:dyDescent="0.25">
      <c r="E13" s="18" t="s">
        <v>15</v>
      </c>
      <c r="F13" s="13">
        <v>1.99</v>
      </c>
      <c r="G13" s="13" t="s">
        <v>12</v>
      </c>
      <c r="I13" s="14" t="s">
        <v>16</v>
      </c>
      <c r="J13" s="15"/>
      <c r="K13" s="15"/>
      <c r="L13" s="16">
        <v>2</v>
      </c>
      <c r="M13" s="17"/>
      <c r="N13" s="15"/>
    </row>
    <row r="14" spans="1:17" ht="20.100000000000001" customHeight="1" x14ac:dyDescent="0.25">
      <c r="E14" s="18" t="s">
        <v>16</v>
      </c>
      <c r="F14" s="13">
        <v>4.99</v>
      </c>
      <c r="G14" s="13" t="s">
        <v>12</v>
      </c>
      <c r="I14" s="14" t="s">
        <v>17</v>
      </c>
      <c r="J14" s="15"/>
      <c r="K14" s="15"/>
      <c r="L14" s="16"/>
      <c r="M14" s="17">
        <v>4</v>
      </c>
      <c r="N14" s="15"/>
    </row>
    <row r="15" spans="1:17" ht="20.100000000000001" customHeight="1" x14ac:dyDescent="0.25">
      <c r="E15" s="18" t="s">
        <v>18</v>
      </c>
      <c r="F15" s="13">
        <v>2.99</v>
      </c>
      <c r="G15" s="13" t="s">
        <v>12</v>
      </c>
      <c r="I15" s="14" t="s">
        <v>19</v>
      </c>
      <c r="J15" s="15"/>
      <c r="K15" s="15"/>
      <c r="L15" s="16"/>
      <c r="M15" s="17">
        <v>3</v>
      </c>
      <c r="N15" s="15"/>
    </row>
    <row r="16" spans="1:17" ht="20.100000000000001" customHeight="1" x14ac:dyDescent="0.25">
      <c r="E16" s="18" t="s">
        <v>20</v>
      </c>
      <c r="F16" s="13">
        <v>0.98</v>
      </c>
      <c r="G16" s="13" t="s">
        <v>12</v>
      </c>
      <c r="I16" s="14"/>
      <c r="J16" s="15"/>
      <c r="K16" s="15"/>
      <c r="L16" s="16"/>
      <c r="M16" s="17"/>
      <c r="N16" s="15"/>
    </row>
    <row r="17" spans="5:15" ht="20.100000000000001" customHeight="1" x14ac:dyDescent="0.25">
      <c r="E17" s="18" t="s">
        <v>21</v>
      </c>
      <c r="F17" s="13">
        <v>40</v>
      </c>
      <c r="G17" s="13" t="s">
        <v>12</v>
      </c>
      <c r="I17" s="14"/>
      <c r="J17" s="15"/>
      <c r="K17" s="15"/>
      <c r="L17" s="16"/>
      <c r="M17" s="17"/>
      <c r="N17" s="15"/>
    </row>
    <row r="18" spans="5:15" ht="20.100000000000001" customHeight="1" x14ac:dyDescent="0.25">
      <c r="E18" s="18" t="s">
        <v>22</v>
      </c>
      <c r="F18" s="13">
        <v>3</v>
      </c>
      <c r="G18" s="13" t="s">
        <v>12</v>
      </c>
      <c r="I18" s="14"/>
      <c r="J18" s="15"/>
      <c r="K18" s="15"/>
      <c r="L18" s="16"/>
      <c r="M18" s="17"/>
      <c r="N18" s="15"/>
    </row>
    <row r="19" spans="5:15" ht="20.100000000000001" customHeight="1" x14ac:dyDescent="0.25">
      <c r="E19" s="18" t="s">
        <v>13</v>
      </c>
      <c r="F19" s="13">
        <v>15</v>
      </c>
      <c r="G19" s="13" t="s">
        <v>12</v>
      </c>
      <c r="I19" s="14"/>
      <c r="J19" s="15"/>
      <c r="K19" s="15"/>
      <c r="L19" s="16"/>
      <c r="M19" s="17"/>
      <c r="N19" s="15"/>
    </row>
    <row r="20" spans="5:15" ht="20.100000000000001" customHeight="1" x14ac:dyDescent="0.25">
      <c r="E20" s="18" t="s">
        <v>17</v>
      </c>
      <c r="F20" s="13">
        <v>2.2000000000000002</v>
      </c>
      <c r="G20" s="13" t="s">
        <v>23</v>
      </c>
      <c r="I20" s="14"/>
      <c r="J20" s="15"/>
      <c r="K20" s="15"/>
      <c r="L20" s="16"/>
      <c r="M20" s="17"/>
      <c r="N20" s="15"/>
    </row>
    <row r="21" spans="5:15" ht="20.100000000000001" customHeight="1" x14ac:dyDescent="0.25">
      <c r="E21" s="18" t="s">
        <v>24</v>
      </c>
      <c r="F21" s="13">
        <v>2</v>
      </c>
      <c r="G21" s="13" t="s">
        <v>23</v>
      </c>
      <c r="I21" s="14"/>
      <c r="J21" s="15"/>
      <c r="K21" s="15"/>
      <c r="L21" s="16"/>
      <c r="M21" s="17"/>
      <c r="N21" s="15"/>
    </row>
    <row r="22" spans="5:15" ht="20.100000000000001" customHeight="1" x14ac:dyDescent="0.25">
      <c r="E22" s="18" t="s">
        <v>19</v>
      </c>
      <c r="F22" s="13">
        <v>5</v>
      </c>
      <c r="G22" s="13" t="s">
        <v>23</v>
      </c>
      <c r="I22" s="14"/>
      <c r="J22" s="15"/>
      <c r="K22" s="15"/>
      <c r="L22" s="16"/>
      <c r="M22" s="17"/>
      <c r="N22" s="15"/>
    </row>
    <row r="23" spans="5:15" ht="20.100000000000001" customHeight="1" x14ac:dyDescent="0.25">
      <c r="E23" s="18"/>
      <c r="F23" s="13"/>
      <c r="G23" s="13"/>
      <c r="I23" s="14"/>
      <c r="J23" s="15"/>
      <c r="K23" s="15"/>
      <c r="L23" s="16"/>
      <c r="M23" s="17"/>
      <c r="N23" s="15"/>
    </row>
    <row r="24" spans="5:15" ht="20.100000000000001" customHeight="1" x14ac:dyDescent="0.25">
      <c r="E24" s="18"/>
      <c r="F24" s="13"/>
      <c r="G24" s="13"/>
      <c r="I24" s="14"/>
      <c r="J24" s="15"/>
      <c r="K24" s="15"/>
      <c r="L24" s="16"/>
      <c r="M24" s="17"/>
      <c r="N24" s="15"/>
    </row>
    <row r="25" spans="5:15" ht="20.100000000000001" customHeight="1" x14ac:dyDescent="0.25">
      <c r="E25" s="18"/>
      <c r="F25" s="13"/>
      <c r="G25" s="13"/>
      <c r="I25" s="14"/>
      <c r="J25" s="15"/>
      <c r="K25" s="15"/>
      <c r="L25" s="16"/>
      <c r="M25" s="17"/>
      <c r="N25" s="15"/>
    </row>
    <row r="26" spans="5:15" ht="20.100000000000001" customHeight="1" x14ac:dyDescent="0.25">
      <c r="E26" s="18"/>
      <c r="F26" s="13"/>
      <c r="G26" s="13"/>
      <c r="I26" s="9"/>
      <c r="J26" s="10"/>
      <c r="K26" s="10"/>
      <c r="L26" s="10"/>
      <c r="M26" s="10" t="s">
        <v>25</v>
      </c>
      <c r="N26" s="15"/>
    </row>
    <row r="27" spans="5:15" ht="20.100000000000001" customHeight="1" x14ac:dyDescent="0.25">
      <c r="E27" s="19"/>
    </row>
    <row r="28" spans="5:15" ht="20.100000000000001" customHeight="1" x14ac:dyDescent="0.25"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31" spans="5:15" ht="20.100000000000001" customHeight="1" x14ac:dyDescent="0.25">
      <c r="E31" s="127" t="s">
        <v>26</v>
      </c>
      <c r="F31" s="128"/>
      <c r="G31" s="128"/>
      <c r="H31" s="128"/>
      <c r="I31" s="128"/>
      <c r="J31" s="128"/>
      <c r="K31" s="129"/>
      <c r="M31" s="127" t="s">
        <v>27</v>
      </c>
      <c r="N31" s="128"/>
      <c r="O31" s="129"/>
    </row>
    <row r="32" spans="5:15" ht="20.100000000000001" customHeight="1" x14ac:dyDescent="0.25">
      <c r="E32" s="9" t="s">
        <v>28</v>
      </c>
      <c r="F32" s="10" t="s">
        <v>29</v>
      </c>
      <c r="G32" s="10" t="s">
        <v>30</v>
      </c>
      <c r="H32" s="10" t="s">
        <v>31</v>
      </c>
      <c r="I32" s="10" t="s">
        <v>32</v>
      </c>
      <c r="J32" s="124" t="s">
        <v>33</v>
      </c>
      <c r="K32" s="125"/>
      <c r="L32"/>
      <c r="M32" s="21" t="s">
        <v>28</v>
      </c>
      <c r="N32" s="126"/>
      <c r="O32" s="126"/>
    </row>
    <row r="33" spans="5:16" ht="20.100000000000001" customHeight="1" x14ac:dyDescent="0.25">
      <c r="E33" s="22"/>
      <c r="F33" s="23" t="s">
        <v>34</v>
      </c>
      <c r="G33" s="23" t="s">
        <v>35</v>
      </c>
      <c r="H33" s="23" t="s">
        <v>36</v>
      </c>
      <c r="I33" s="23" t="s">
        <v>37</v>
      </c>
      <c r="J33" s="121" t="s">
        <v>38</v>
      </c>
      <c r="K33" s="122"/>
      <c r="L33"/>
      <c r="M33" s="21" t="s">
        <v>29</v>
      </c>
      <c r="N33" s="123"/>
      <c r="O33" s="123"/>
    </row>
    <row r="34" spans="5:16" ht="20.100000000000001" customHeight="1" x14ac:dyDescent="0.25">
      <c r="E34" s="22"/>
      <c r="F34" s="23" t="s">
        <v>39</v>
      </c>
      <c r="G34" s="23" t="s">
        <v>40</v>
      </c>
      <c r="H34" s="23" t="s">
        <v>36</v>
      </c>
      <c r="I34" s="23" t="s">
        <v>37</v>
      </c>
      <c r="J34" s="121" t="s">
        <v>41</v>
      </c>
      <c r="K34" s="122"/>
      <c r="L34"/>
      <c r="M34" s="21" t="s">
        <v>30</v>
      </c>
      <c r="N34" s="123"/>
      <c r="O34" s="123"/>
    </row>
    <row r="35" spans="5:16" ht="20.100000000000001" customHeight="1" x14ac:dyDescent="0.25">
      <c r="E35" s="22"/>
      <c r="F35" s="23" t="s">
        <v>42</v>
      </c>
      <c r="G35" s="23" t="s">
        <v>43</v>
      </c>
      <c r="H35" s="23" t="s">
        <v>36</v>
      </c>
      <c r="I35" s="23" t="s">
        <v>44</v>
      </c>
      <c r="J35" s="121" t="s">
        <v>45</v>
      </c>
      <c r="K35" s="122"/>
      <c r="L35"/>
      <c r="M35" s="21" t="s">
        <v>31</v>
      </c>
      <c r="N35" s="123"/>
      <c r="O35" s="123"/>
    </row>
    <row r="36" spans="5:16" ht="20.100000000000001" customHeight="1" x14ac:dyDescent="0.25">
      <c r="E36" s="22"/>
      <c r="F36" s="23" t="s">
        <v>46</v>
      </c>
      <c r="G36" s="23" t="s">
        <v>47</v>
      </c>
      <c r="H36" s="23" t="s">
        <v>48</v>
      </c>
      <c r="I36" s="23" t="s">
        <v>44</v>
      </c>
      <c r="J36" s="121" t="s">
        <v>49</v>
      </c>
      <c r="K36" s="122"/>
      <c r="L36"/>
      <c r="M36" s="21" t="s">
        <v>32</v>
      </c>
      <c r="N36" s="123"/>
      <c r="O36" s="123"/>
    </row>
    <row r="37" spans="5:16" ht="20.100000000000001" customHeight="1" x14ac:dyDescent="0.25">
      <c r="E37" s="22"/>
      <c r="F37" s="23" t="s">
        <v>50</v>
      </c>
      <c r="G37" s="23" t="s">
        <v>51</v>
      </c>
      <c r="H37" s="23" t="s">
        <v>48</v>
      </c>
      <c r="I37" s="23" t="s">
        <v>52</v>
      </c>
      <c r="J37" s="121" t="s">
        <v>53</v>
      </c>
      <c r="K37" s="122"/>
      <c r="L37"/>
      <c r="M37" s="21" t="s">
        <v>33</v>
      </c>
      <c r="N37" s="123"/>
      <c r="O37" s="123"/>
    </row>
    <row r="38" spans="5:16" ht="20.100000000000001" customHeight="1" x14ac:dyDescent="0.25">
      <c r="E38" s="22"/>
      <c r="F38" s="23" t="s">
        <v>54</v>
      </c>
      <c r="G38" s="23" t="s">
        <v>55</v>
      </c>
      <c r="H38" s="23" t="s">
        <v>56</v>
      </c>
      <c r="I38" s="23" t="s">
        <v>52</v>
      </c>
      <c r="J38" s="121" t="s">
        <v>57</v>
      </c>
      <c r="K38" s="122"/>
      <c r="L38"/>
      <c r="M38"/>
      <c r="N38"/>
      <c r="O38"/>
    </row>
    <row r="39" spans="5:16" ht="20.100000000000001" customHeight="1" x14ac:dyDescent="0.25">
      <c r="E39" s="22"/>
      <c r="F39" s="23" t="s">
        <v>58</v>
      </c>
      <c r="G39" s="23" t="s">
        <v>59</v>
      </c>
      <c r="H39" s="23" t="s">
        <v>56</v>
      </c>
      <c r="I39" s="23" t="s">
        <v>44</v>
      </c>
      <c r="J39" s="121" t="s">
        <v>60</v>
      </c>
      <c r="K39" s="122"/>
      <c r="L39"/>
    </row>
    <row r="40" spans="5:16" ht="20.100000000000001" customHeight="1" x14ac:dyDescent="0.25">
      <c r="E40" s="22"/>
      <c r="F40" s="23" t="s">
        <v>61</v>
      </c>
      <c r="G40" s="23" t="s">
        <v>62</v>
      </c>
      <c r="H40" s="23" t="s">
        <v>63</v>
      </c>
      <c r="I40" s="23" t="s">
        <v>44</v>
      </c>
      <c r="J40" s="121" t="s">
        <v>64</v>
      </c>
      <c r="K40" s="122"/>
      <c r="L40"/>
    </row>
    <row r="41" spans="5:16" ht="20.100000000000001" customHeight="1" x14ac:dyDescent="0.25">
      <c r="E41" s="22"/>
      <c r="F41" s="23" t="s">
        <v>65</v>
      </c>
      <c r="G41" s="23" t="s">
        <v>66</v>
      </c>
      <c r="H41" s="23" t="s">
        <v>63</v>
      </c>
      <c r="I41" s="23" t="s">
        <v>52</v>
      </c>
      <c r="J41" s="121" t="s">
        <v>67</v>
      </c>
      <c r="K41" s="122"/>
      <c r="L41"/>
    </row>
    <row r="42" spans="5:16" ht="20.100000000000001" customHeight="1" x14ac:dyDescent="0.25">
      <c r="E42" s="19"/>
    </row>
    <row r="43" spans="5:16" ht="20.100000000000001" customHeight="1" x14ac:dyDescent="0.25"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5" spans="5:16" ht="20.100000000000001" customHeight="1" x14ac:dyDescent="0.25">
      <c r="J45"/>
      <c r="K45"/>
    </row>
    <row r="46" spans="5:16" ht="20.100000000000001" customHeight="1" x14ac:dyDescent="0.25">
      <c r="E46" s="117" t="s">
        <v>68</v>
      </c>
      <c r="F46" s="117"/>
      <c r="G46" s="117"/>
      <c r="H46" s="117"/>
      <c r="I46" s="117"/>
      <c r="J46" s="117"/>
      <c r="K46"/>
      <c r="L46" s="117" t="s">
        <v>69</v>
      </c>
      <c r="M46" s="117"/>
      <c r="O46" s="117" t="s">
        <v>70</v>
      </c>
      <c r="P46" s="117"/>
    </row>
    <row r="47" spans="5:16" ht="20.100000000000001" customHeight="1" x14ac:dyDescent="0.25">
      <c r="E47" s="24" t="s">
        <v>71</v>
      </c>
      <c r="F47" s="9" t="s">
        <v>34</v>
      </c>
      <c r="G47" s="10" t="s">
        <v>39</v>
      </c>
      <c r="H47" s="10" t="s">
        <v>42</v>
      </c>
      <c r="I47" s="10" t="s">
        <v>72</v>
      </c>
      <c r="J47" s="11" t="s">
        <v>58</v>
      </c>
      <c r="K47"/>
      <c r="L47" s="118" t="s">
        <v>73</v>
      </c>
      <c r="M47" s="118"/>
      <c r="O47" s="23" t="s">
        <v>74</v>
      </c>
      <c r="P47" s="23">
        <v>2</v>
      </c>
    </row>
    <row r="48" spans="5:16" ht="20.100000000000001" customHeight="1" x14ac:dyDescent="0.25">
      <c r="E48" s="12" t="s">
        <v>74</v>
      </c>
      <c r="F48" s="13">
        <v>32432</v>
      </c>
      <c r="G48" s="13">
        <v>56356</v>
      </c>
      <c r="H48" s="13">
        <v>12353</v>
      </c>
      <c r="I48" s="13">
        <v>32523</v>
      </c>
      <c r="J48" s="13">
        <v>54675</v>
      </c>
      <c r="L48" s="18" t="s">
        <v>34</v>
      </c>
      <c r="M48" s="15"/>
      <c r="O48" s="23" t="s">
        <v>75</v>
      </c>
      <c r="P48" s="23">
        <v>3</v>
      </c>
    </row>
    <row r="49" spans="5:16" ht="20.100000000000001" customHeight="1" x14ac:dyDescent="0.25">
      <c r="E49" s="12" t="s">
        <v>75</v>
      </c>
      <c r="F49" s="13">
        <v>54675</v>
      </c>
      <c r="G49" s="13">
        <v>12353</v>
      </c>
      <c r="H49" s="13">
        <v>12353</v>
      </c>
      <c r="I49" s="13">
        <v>56356</v>
      </c>
      <c r="J49" s="13">
        <v>56356</v>
      </c>
      <c r="O49" s="23" t="s">
        <v>76</v>
      </c>
      <c r="P49" s="23">
        <v>4</v>
      </c>
    </row>
    <row r="50" spans="5:16" ht="20.100000000000001" customHeight="1" x14ac:dyDescent="0.25">
      <c r="E50" s="12" t="s">
        <v>76</v>
      </c>
      <c r="F50" s="13">
        <v>32523</v>
      </c>
      <c r="G50" s="13">
        <v>65335</v>
      </c>
      <c r="H50" s="13">
        <v>54675</v>
      </c>
      <c r="I50" s="13">
        <v>12353</v>
      </c>
      <c r="J50" s="13">
        <v>12353</v>
      </c>
      <c r="L50" s="117" t="s">
        <v>77</v>
      </c>
      <c r="M50" s="117"/>
      <c r="O50" s="23" t="s">
        <v>78</v>
      </c>
      <c r="P50" s="23">
        <v>5</v>
      </c>
    </row>
    <row r="51" spans="5:16" ht="20.100000000000001" customHeight="1" x14ac:dyDescent="0.25">
      <c r="E51" s="12" t="s">
        <v>78</v>
      </c>
      <c r="F51" s="13">
        <v>34325</v>
      </c>
      <c r="G51" s="13">
        <v>32523</v>
      </c>
      <c r="H51" s="13">
        <v>56356</v>
      </c>
      <c r="I51" s="13">
        <v>65335</v>
      </c>
      <c r="J51" s="13">
        <v>65335</v>
      </c>
      <c r="L51" s="118" t="s">
        <v>79</v>
      </c>
      <c r="M51" s="118"/>
      <c r="O51" s="23" t="s">
        <v>80</v>
      </c>
      <c r="P51" s="23">
        <v>6</v>
      </c>
    </row>
    <row r="52" spans="5:16" ht="20.100000000000001" customHeight="1" x14ac:dyDescent="0.25">
      <c r="E52" s="12" t="s">
        <v>80</v>
      </c>
      <c r="F52" s="13">
        <v>3786</v>
      </c>
      <c r="G52" s="13">
        <v>34325</v>
      </c>
      <c r="H52" s="13">
        <v>12353</v>
      </c>
      <c r="I52" s="13">
        <v>32523</v>
      </c>
      <c r="J52" s="13">
        <v>56356</v>
      </c>
      <c r="L52" s="25" t="s">
        <v>39</v>
      </c>
      <c r="M52" s="25" t="s">
        <v>75</v>
      </c>
      <c r="O52" s="23" t="s">
        <v>81</v>
      </c>
      <c r="P52" s="23">
        <v>7</v>
      </c>
    </row>
    <row r="53" spans="5:16" ht="20.100000000000001" customHeight="1" x14ac:dyDescent="0.25">
      <c r="E53" s="12" t="s">
        <v>81</v>
      </c>
      <c r="F53" s="13">
        <v>56735</v>
      </c>
      <c r="G53" s="13">
        <v>12353</v>
      </c>
      <c r="H53" s="13">
        <v>65335</v>
      </c>
      <c r="I53" s="13">
        <v>34325</v>
      </c>
      <c r="J53" s="13">
        <v>12353</v>
      </c>
      <c r="L53" s="119"/>
      <c r="M53" s="119"/>
    </row>
    <row r="54" spans="5:16" ht="20.100000000000001" customHeight="1" x14ac:dyDescent="0.25">
      <c r="E54" s="12" t="s">
        <v>25</v>
      </c>
      <c r="F54" s="15"/>
      <c r="G54" s="15"/>
      <c r="H54" s="15"/>
      <c r="I54" s="15"/>
      <c r="J54" s="15"/>
      <c r="K54"/>
      <c r="L54" s="120"/>
      <c r="M54" s="120"/>
    </row>
    <row r="55" spans="5:16" ht="20.100000000000001" customHeight="1" x14ac:dyDescent="0.25">
      <c r="E55" s="19"/>
      <c r="F55"/>
      <c r="G55"/>
      <c r="H55"/>
      <c r="I55"/>
      <c r="J55"/>
      <c r="K55"/>
    </row>
    <row r="56" spans="5:16" ht="20.100000000000001" customHeight="1" x14ac:dyDescent="0.25"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9" spans="5:16" ht="20.100000000000001" customHeight="1" x14ac:dyDescent="0.25">
      <c r="E59" s="103" t="s">
        <v>82</v>
      </c>
      <c r="F59" s="104"/>
      <c r="G59" s="104"/>
      <c r="H59" s="104"/>
    </row>
    <row r="60" spans="5:16" ht="20.100000000000001" customHeight="1" x14ac:dyDescent="0.25">
      <c r="E60" s="26" t="s">
        <v>29</v>
      </c>
      <c r="F60" s="27" t="s">
        <v>79</v>
      </c>
      <c r="G60" s="27" t="s">
        <v>83</v>
      </c>
      <c r="H60" s="28" t="s">
        <v>84</v>
      </c>
      <c r="J60" s="105" t="s">
        <v>85</v>
      </c>
      <c r="K60" s="105"/>
      <c r="L60" s="105"/>
    </row>
    <row r="61" spans="5:16" ht="20.100000000000001" customHeight="1" x14ac:dyDescent="0.25">
      <c r="E61" s="29" t="s">
        <v>50</v>
      </c>
      <c r="F61" s="13">
        <v>6000</v>
      </c>
      <c r="G61" s="23" t="s">
        <v>86</v>
      </c>
      <c r="H61" s="15"/>
      <c r="J61" s="13">
        <v>1</v>
      </c>
      <c r="K61" s="13">
        <v>4999</v>
      </c>
      <c r="L61" s="30">
        <v>0.01</v>
      </c>
    </row>
    <row r="62" spans="5:16" ht="20.100000000000001" customHeight="1" x14ac:dyDescent="0.25">
      <c r="E62" s="29" t="s">
        <v>42</v>
      </c>
      <c r="F62" s="13">
        <v>17800</v>
      </c>
      <c r="G62" s="23" t="s">
        <v>87</v>
      </c>
      <c r="H62" s="15"/>
      <c r="J62" s="13">
        <v>5000</v>
      </c>
      <c r="K62" s="13">
        <v>9999</v>
      </c>
      <c r="L62" s="30">
        <v>1.4999999999999999E-2</v>
      </c>
    </row>
    <row r="63" spans="5:16" ht="20.100000000000001" customHeight="1" x14ac:dyDescent="0.25">
      <c r="E63" s="29" t="s">
        <v>34</v>
      </c>
      <c r="F63" s="13">
        <v>18000</v>
      </c>
      <c r="G63" s="23" t="s">
        <v>86</v>
      </c>
      <c r="H63" s="15"/>
      <c r="J63" s="13">
        <v>10000</v>
      </c>
      <c r="K63" s="23" t="s">
        <v>88</v>
      </c>
      <c r="L63" s="30">
        <v>0.02</v>
      </c>
    </row>
    <row r="64" spans="5:16" ht="20.100000000000001" customHeight="1" x14ac:dyDescent="0.25">
      <c r="E64" s="29" t="s">
        <v>89</v>
      </c>
      <c r="F64" s="13">
        <v>3000</v>
      </c>
      <c r="G64" s="23" t="s">
        <v>87</v>
      </c>
      <c r="H64" s="15"/>
    </row>
    <row r="65" spans="5:16" ht="20.100000000000001" customHeight="1" x14ac:dyDescent="0.25">
      <c r="E65" s="29" t="s">
        <v>90</v>
      </c>
      <c r="F65" s="13">
        <v>10000</v>
      </c>
      <c r="G65" s="23" t="s">
        <v>86</v>
      </c>
      <c r="H65" s="15"/>
    </row>
    <row r="66" spans="5:16" ht="20.100000000000001" customHeight="1" x14ac:dyDescent="0.25">
      <c r="E66" s="29" t="s">
        <v>39</v>
      </c>
      <c r="F66" s="13">
        <v>17800</v>
      </c>
      <c r="G66" s="23" t="s">
        <v>87</v>
      </c>
      <c r="H66" s="15"/>
      <c r="J66" s="106" t="s">
        <v>91</v>
      </c>
      <c r="K66" s="107"/>
      <c r="L66" s="108"/>
    </row>
    <row r="67" spans="5:16" ht="20.100000000000001" customHeight="1" x14ac:dyDescent="0.25">
      <c r="E67" s="29" t="s">
        <v>61</v>
      </c>
      <c r="F67" s="13">
        <v>24519</v>
      </c>
      <c r="G67" s="23" t="s">
        <v>86</v>
      </c>
      <c r="H67" s="15"/>
      <c r="J67" s="109"/>
      <c r="K67" s="110"/>
      <c r="L67" s="111"/>
    </row>
    <row r="68" spans="5:16" ht="20.100000000000001" customHeight="1" x14ac:dyDescent="0.25">
      <c r="E68" s="29" t="s">
        <v>58</v>
      </c>
      <c r="F68" s="13">
        <v>3000</v>
      </c>
      <c r="G68" s="23" t="s">
        <v>87</v>
      </c>
      <c r="H68" s="15"/>
      <c r="J68" s="109"/>
      <c r="K68" s="110"/>
      <c r="L68" s="111"/>
    </row>
    <row r="69" spans="5:16" ht="20.100000000000001" customHeight="1" x14ac:dyDescent="0.25">
      <c r="E69" s="29" t="s">
        <v>65</v>
      </c>
      <c r="F69" s="13">
        <v>98000</v>
      </c>
      <c r="G69" s="23" t="s">
        <v>86</v>
      </c>
      <c r="H69" s="15"/>
      <c r="J69" s="109"/>
      <c r="K69" s="110"/>
      <c r="L69" s="111"/>
    </row>
    <row r="70" spans="5:16" ht="20.100000000000001" customHeight="1" x14ac:dyDescent="0.25">
      <c r="E70" s="29" t="s">
        <v>92</v>
      </c>
      <c r="F70" s="13">
        <v>32000</v>
      </c>
      <c r="G70" s="23" t="s">
        <v>87</v>
      </c>
      <c r="H70" s="15"/>
      <c r="J70" s="112"/>
      <c r="K70" s="113"/>
      <c r="L70" s="114"/>
    </row>
    <row r="71" spans="5:16" ht="20.100000000000001" customHeight="1" x14ac:dyDescent="0.25">
      <c r="E71" s="19"/>
    </row>
    <row r="72" spans="5:16" ht="20.100000000000001" customHeight="1" x14ac:dyDescent="0.25"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5" spans="5:16" ht="20.100000000000001" customHeight="1" x14ac:dyDescent="0.25">
      <c r="E75" s="31" t="s">
        <v>29</v>
      </c>
      <c r="F75" s="32" t="s">
        <v>93</v>
      </c>
      <c r="G75" s="32" t="s">
        <v>94</v>
      </c>
      <c r="H75" s="33" t="s">
        <v>95</v>
      </c>
      <c r="J75" s="115" t="s">
        <v>96</v>
      </c>
      <c r="K75" s="116"/>
    </row>
    <row r="76" spans="5:16" ht="20.100000000000001" customHeight="1" x14ac:dyDescent="0.25">
      <c r="E76" s="18" t="s">
        <v>34</v>
      </c>
      <c r="F76" s="34">
        <v>32602</v>
      </c>
      <c r="G76" s="35"/>
      <c r="H76" s="35"/>
      <c r="J76" s="23">
        <v>1</v>
      </c>
      <c r="K76" s="23" t="s">
        <v>97</v>
      </c>
    </row>
    <row r="77" spans="5:16" ht="20.100000000000001" customHeight="1" x14ac:dyDescent="0.25">
      <c r="E77" s="18" t="s">
        <v>39</v>
      </c>
      <c r="F77" s="34">
        <v>34700</v>
      </c>
      <c r="G77" s="35"/>
      <c r="H77" s="35"/>
      <c r="J77" s="23">
        <v>18</v>
      </c>
      <c r="K77" s="23" t="s">
        <v>98</v>
      </c>
    </row>
    <row r="78" spans="5:16" ht="20.100000000000001" customHeight="1" x14ac:dyDescent="0.25">
      <c r="E78" s="18" t="s">
        <v>99</v>
      </c>
      <c r="F78" s="34">
        <v>42095</v>
      </c>
      <c r="G78" s="35"/>
      <c r="H78" s="35"/>
      <c r="J78" s="23">
        <v>25</v>
      </c>
      <c r="K78" s="23" t="s">
        <v>100</v>
      </c>
    </row>
    <row r="79" spans="5:16" ht="20.100000000000001" customHeight="1" x14ac:dyDescent="0.25">
      <c r="E79" s="18" t="s">
        <v>58</v>
      </c>
      <c r="F79" s="34">
        <v>27921</v>
      </c>
      <c r="G79" s="35"/>
      <c r="H79" s="35"/>
      <c r="J79" s="23">
        <v>35</v>
      </c>
      <c r="K79" s="23" t="s">
        <v>101</v>
      </c>
    </row>
    <row r="80" spans="5:16" ht="20.100000000000001" customHeight="1" x14ac:dyDescent="0.25">
      <c r="E80" s="18" t="s">
        <v>102</v>
      </c>
      <c r="F80" s="34">
        <v>19885</v>
      </c>
      <c r="G80" s="35"/>
      <c r="H80" s="35"/>
      <c r="J80" s="23">
        <v>45</v>
      </c>
      <c r="K80" s="23" t="s">
        <v>103</v>
      </c>
    </row>
    <row r="81" spans="5:11" ht="20.100000000000001" customHeight="1" x14ac:dyDescent="0.25">
      <c r="E81" s="18" t="s">
        <v>72</v>
      </c>
      <c r="F81" s="34">
        <v>27921</v>
      </c>
      <c r="G81" s="35"/>
      <c r="H81" s="35"/>
      <c r="J81" s="23">
        <v>55</v>
      </c>
      <c r="K81" s="23" t="s">
        <v>104</v>
      </c>
    </row>
    <row r="82" spans="5:11" ht="20.100000000000001" customHeight="1" x14ac:dyDescent="0.25">
      <c r="E82" s="18" t="s">
        <v>105</v>
      </c>
      <c r="F82" s="34">
        <v>19885</v>
      </c>
      <c r="G82" s="35"/>
      <c r="H82" s="35"/>
      <c r="J82" s="23">
        <v>65</v>
      </c>
      <c r="K82" s="23" t="s">
        <v>106</v>
      </c>
    </row>
  </sheetData>
  <mergeCells count="33">
    <mergeCell ref="J32:K32"/>
    <mergeCell ref="N32:O32"/>
    <mergeCell ref="D1:F3"/>
    <mergeCell ref="E9:G9"/>
    <mergeCell ref="I9:N9"/>
    <mergeCell ref="E31:K31"/>
    <mergeCell ref="M31:O31"/>
    <mergeCell ref="J33:K33"/>
    <mergeCell ref="N33:O33"/>
    <mergeCell ref="J34:K34"/>
    <mergeCell ref="N34:O34"/>
    <mergeCell ref="J35:K35"/>
    <mergeCell ref="N35:O35"/>
    <mergeCell ref="O46:P46"/>
    <mergeCell ref="L47:M47"/>
    <mergeCell ref="J36:K36"/>
    <mergeCell ref="N36:O36"/>
    <mergeCell ref="J37:K37"/>
    <mergeCell ref="N37:O37"/>
    <mergeCell ref="J38:K38"/>
    <mergeCell ref="J39:K39"/>
    <mergeCell ref="E59:H59"/>
    <mergeCell ref="J60:L60"/>
    <mergeCell ref="J40:K40"/>
    <mergeCell ref="J41:K41"/>
    <mergeCell ref="E46:J46"/>
    <mergeCell ref="L46:M46"/>
    <mergeCell ref="J66:L70"/>
    <mergeCell ref="J75:K75"/>
    <mergeCell ref="L50:M50"/>
    <mergeCell ref="L51:M51"/>
    <mergeCell ref="L53:M53"/>
    <mergeCell ref="L54:M54"/>
  </mergeCells>
  <dataValidations count="4">
    <dataValidation type="list" allowBlank="1" showInputMessage="1" showErrorMessage="1" sqref="M52">
      <formula1>$E$48:$E$53</formula1>
    </dataValidation>
    <dataValidation type="list" allowBlank="1" showInputMessage="1" showErrorMessage="1" sqref="L48 L52">
      <formula1>$F$47:$J$47</formula1>
    </dataValidation>
    <dataValidation type="list" allowBlank="1" showInputMessage="1" showErrorMessage="1" sqref="N32:O32">
      <formula1>$E$33:$E$41</formula1>
    </dataValidation>
    <dataValidation type="list" allowBlank="1" showInputMessage="1" showErrorMessage="1" sqref="I11:I25">
      <formula1>$E$11:$E$26</formula1>
    </dataValidation>
  </dataValidations>
  <pageMargins left="0.511811024" right="0.511811024" top="0.78740157499999996" bottom="0.78740157499999996" header="0.31496062000000002" footer="0.31496062000000002"/>
  <pageSetup paperSize="9" scale="72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Base</vt:lpstr>
      <vt:lpstr>Relatório</vt:lpstr>
      <vt:lpstr>Dashboard</vt:lpstr>
      <vt:lpstr>Tabela Dinamica1</vt:lpstr>
      <vt:lpstr>Tabela_Dinamica2</vt:lpstr>
      <vt:lpstr>Apoio</vt:lpstr>
      <vt:lpstr>Materia</vt:lpstr>
      <vt:lpstr>Teoria (2)</vt:lpstr>
      <vt:lpstr>Teoria (3)</vt:lpstr>
      <vt:lpstr>anaaa</vt:lpstr>
      <vt:lpstr>biiiii</vt:lpstr>
      <vt:lpstr>cieenn</vt:lpstr>
      <vt:lpstr>ciencia</vt:lpstr>
      <vt:lpstr>Excel</vt:lpstr>
      <vt:lpstr>Total_1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Terra</dc:creator>
  <cp:lastModifiedBy>Eterna Aprendiz</cp:lastModifiedBy>
  <dcterms:created xsi:type="dcterms:W3CDTF">2018-11-25T17:30:39Z</dcterms:created>
  <dcterms:modified xsi:type="dcterms:W3CDTF">2026-01-09T10:50:16Z</dcterms:modified>
</cp:coreProperties>
</file>